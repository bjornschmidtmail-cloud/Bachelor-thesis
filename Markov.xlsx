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bjsch_ug_kth_se/Documents/KEX/Scripts/Jämförelse strikt och lös/Markov/"/>
    </mc:Choice>
  </mc:AlternateContent>
  <xr:revisionPtr revIDLastSave="274" documentId="11_AB55D9AFE7834FFCDCD4AEA5E34205A1B9D4FB68" xr6:coauthVersionLast="47" xr6:coauthVersionMax="47" xr10:uidLastSave="{278591BF-CD5A-408F-80DC-7F30A31C56B8}"/>
  <bookViews>
    <workbookView xWindow="-110" yWindow="-110" windowWidth="22780" windowHeight="14540" firstSheet="3" activeTab="3" xr2:uid="{00000000-000D-0000-FFFF-FFFF00000000}"/>
  </bookViews>
  <sheets>
    <sheet name="Data" sheetId="1" r:id="rId1"/>
    <sheet name="Parametrar" sheetId="2" r:id="rId2"/>
    <sheet name="Rebaserat_Basår" sheetId="3" r:id="rId3"/>
    <sheet name="MoM" sheetId="4" r:id="rId4"/>
    <sheet name="Markovserien" sheetId="7" r:id="rId5"/>
    <sheet name="Confus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4" l="1" a="1"/>
  <c r="V5" i="4" s="1"/>
  <c r="M5" i="4"/>
  <c r="H5" i="4"/>
  <c r="V6" i="4" a="1"/>
  <c r="V6" i="4" s="1"/>
  <c r="V7" i="4" a="1"/>
  <c r="V7" i="4"/>
  <c r="V8" i="4" a="1"/>
  <c r="V8" i="4"/>
  <c r="V9" i="4" a="1"/>
  <c r="V9" i="4"/>
  <c r="V10" i="4" a="1"/>
  <c r="V10" i="4" s="1"/>
  <c r="V11" i="4" a="1"/>
  <c r="V11" i="4"/>
  <c r="V12" i="4" a="1"/>
  <c r="V12" i="4"/>
  <c r="V13" i="4" a="1"/>
  <c r="V13" i="4"/>
  <c r="V14" i="4" a="1"/>
  <c r="V14" i="4" s="1"/>
  <c r="V15" i="4" a="1"/>
  <c r="V15" i="4"/>
  <c r="V16" i="4" a="1"/>
  <c r="V16" i="4" s="1"/>
  <c r="V17" i="4" a="1"/>
  <c r="V17" i="4"/>
  <c r="V18" i="4" a="1"/>
  <c r="V18" i="4" s="1"/>
  <c r="V19" i="4" a="1"/>
  <c r="V19" i="4"/>
  <c r="V20" i="4" a="1"/>
  <c r="V20" i="4"/>
  <c r="V21" i="4" a="1"/>
  <c r="V21" i="4"/>
  <c r="V22" i="4" a="1"/>
  <c r="V22" i="4" s="1"/>
  <c r="V23" i="4" a="1"/>
  <c r="V23" i="4"/>
  <c r="V24" i="4" a="1"/>
  <c r="V24" i="4" s="1"/>
  <c r="V25" i="4" a="1"/>
  <c r="V25" i="4" s="1"/>
  <c r="V26" i="4" a="1"/>
  <c r="V26" i="4" s="1"/>
  <c r="V27" i="4" a="1"/>
  <c r="V27" i="4"/>
  <c r="V28" i="4" a="1"/>
  <c r="V28" i="4"/>
  <c r="V29" i="4" a="1"/>
  <c r="V29" i="4"/>
  <c r="V30" i="4" a="1"/>
  <c r="V30" i="4" s="1"/>
  <c r="V31" i="4" a="1"/>
  <c r="V31" i="4"/>
  <c r="V32" i="4" a="1"/>
  <c r="V32" i="4"/>
  <c r="V33" i="4" a="1"/>
  <c r="V33" i="4" s="1"/>
  <c r="V34" i="4" a="1"/>
  <c r="V34" i="4" s="1"/>
  <c r="V35" i="4" a="1"/>
  <c r="V35" i="4"/>
  <c r="V36" i="4" a="1"/>
  <c r="V36" i="4"/>
  <c r="V37" i="4" a="1"/>
  <c r="V37" i="4"/>
  <c r="V38" i="4" a="1"/>
  <c r="V38" i="4" s="1"/>
  <c r="V39" i="4" a="1"/>
  <c r="V39" i="4"/>
  <c r="V40" i="4" a="1"/>
  <c r="V40" i="4" s="1"/>
  <c r="V41" i="4" a="1"/>
  <c r="V41" i="4"/>
  <c r="V42" i="4" a="1"/>
  <c r="V42" i="4" s="1"/>
  <c r="V43" i="4" a="1"/>
  <c r="V43" i="4"/>
  <c r="V44" i="4" a="1"/>
  <c r="V44" i="4"/>
  <c r="V45" i="4" a="1"/>
  <c r="V45" i="4"/>
  <c r="V46" i="4" a="1"/>
  <c r="V46" i="4" s="1"/>
  <c r="V47" i="4" a="1"/>
  <c r="V47" i="4" s="1"/>
  <c r="V48" i="4" a="1"/>
  <c r="V48" i="4" s="1"/>
  <c r="V49" i="4" a="1"/>
  <c r="V49" i="4"/>
  <c r="V50" i="4" a="1"/>
  <c r="V50" i="4" s="1"/>
  <c r="V51" i="4" a="1"/>
  <c r="V51" i="4" s="1"/>
  <c r="V52" i="4" a="1"/>
  <c r="V52" i="4"/>
  <c r="V53" i="4" a="1"/>
  <c r="V53" i="4"/>
  <c r="V54" i="4" a="1"/>
  <c r="V54" i="4" s="1"/>
  <c r="V55" i="4" a="1"/>
  <c r="V55" i="4" s="1"/>
  <c r="V56" i="4" a="1"/>
  <c r="V56" i="4" s="1"/>
  <c r="V57" i="4" a="1"/>
  <c r="V57" i="4" s="1"/>
  <c r="V58" i="4" a="1"/>
  <c r="V58" i="4" s="1"/>
  <c r="V59" i="4" a="1"/>
  <c r="V59" i="4"/>
  <c r="V60" i="4" a="1"/>
  <c r="V60" i="4"/>
  <c r="V61" i="4" a="1"/>
  <c r="V61" i="4"/>
  <c r="V62" i="4" a="1"/>
  <c r="V62" i="4" s="1"/>
  <c r="V63" i="4" a="1"/>
  <c r="V63" i="4"/>
  <c r="V64" i="4" a="1"/>
  <c r="V64" i="4"/>
  <c r="V65" i="4" a="1"/>
  <c r="V65" i="4" s="1"/>
  <c r="V66" i="4" a="1"/>
  <c r="V66" i="4" s="1"/>
  <c r="V67" i="4" a="1"/>
  <c r="V67" i="4"/>
  <c r="V68" i="4" a="1"/>
  <c r="V68" i="4"/>
  <c r="V69" i="4" a="1"/>
  <c r="V69" i="4"/>
  <c r="V70" i="4" a="1"/>
  <c r="V70" i="4" s="1"/>
  <c r="V71" i="4" a="1"/>
  <c r="V71" i="4" s="1"/>
  <c r="V72" i="4" a="1"/>
  <c r="V72" i="4"/>
  <c r="V73" i="4" a="1"/>
  <c r="V73" i="4"/>
  <c r="V74" i="4" a="1"/>
  <c r="V74" i="4" s="1"/>
  <c r="V75" i="4" a="1"/>
  <c r="V75" i="4"/>
  <c r="V76" i="4" a="1"/>
  <c r="V76" i="4"/>
  <c r="V77" i="4" a="1"/>
  <c r="V77" i="4"/>
  <c r="V78" i="4" a="1"/>
  <c r="V78" i="4" s="1"/>
  <c r="V79" i="4" a="1"/>
  <c r="V79" i="4" s="1"/>
  <c r="V80" i="4" a="1"/>
  <c r="V80" i="4" s="1"/>
  <c r="V81" i="4" a="1"/>
  <c r="V81" i="4" s="1"/>
  <c r="V82" i="4" a="1"/>
  <c r="V82" i="4" s="1"/>
  <c r="V83" i="4" a="1"/>
  <c r="V83" i="4"/>
  <c r="V84" i="4" a="1"/>
  <c r="V84" i="4"/>
  <c r="V85" i="4" a="1"/>
  <c r="V85" i="4"/>
  <c r="V86" i="4" a="1"/>
  <c r="V86" i="4" s="1"/>
  <c r="V87" i="4" a="1"/>
  <c r="V87" i="4"/>
  <c r="V88" i="4" a="1"/>
  <c r="V88" i="4" s="1"/>
  <c r="V89" i="4" a="1"/>
  <c r="V89" i="4" s="1"/>
  <c r="V90" i="4" a="1"/>
  <c r="V90" i="4" s="1"/>
  <c r="V91" i="4" a="1"/>
  <c r="V91" i="4"/>
  <c r="V92" i="4" a="1"/>
  <c r="V92" i="4"/>
  <c r="V93" i="4" a="1"/>
  <c r="V93" i="4"/>
  <c r="V94" i="4" a="1"/>
  <c r="V94" i="4" s="1"/>
  <c r="V95" i="4" a="1"/>
  <c r="V95" i="4"/>
  <c r="V96" i="4" a="1"/>
  <c r="V96" i="4" s="1"/>
  <c r="V97" i="4" a="1"/>
  <c r="V97" i="4" s="1"/>
  <c r="V98" i="4" a="1"/>
  <c r="V98" i="4" s="1"/>
  <c r="V99" i="4" a="1"/>
  <c r="V99" i="4"/>
  <c r="V100" i="4" a="1"/>
  <c r="V100" i="4"/>
  <c r="V101" i="4" a="1"/>
  <c r="V101" i="4" s="1"/>
  <c r="V102" i="4" a="1"/>
  <c r="V102" i="4" s="1"/>
  <c r="V103" i="4" a="1"/>
  <c r="V103" i="4" s="1"/>
  <c r="V104" i="4" a="1"/>
  <c r="V104" i="4"/>
  <c r="V105" i="4" a="1"/>
  <c r="V105" i="4"/>
  <c r="V106" i="4" a="1"/>
  <c r="V106" i="4" s="1"/>
  <c r="V107" i="4" a="1"/>
  <c r="V107" i="4"/>
  <c r="V108" i="4" a="1"/>
  <c r="V108" i="4"/>
  <c r="V109" i="4" a="1"/>
  <c r="V109" i="4"/>
  <c r="V110" i="4" a="1"/>
  <c r="V110" i="4" s="1"/>
  <c r="V111" i="4" a="1"/>
  <c r="V111" i="4" s="1"/>
  <c r="V112" i="4" a="1"/>
  <c r="V112" i="4" s="1"/>
  <c r="V113" i="4" a="1"/>
  <c r="V113" i="4"/>
  <c r="V114" i="4" a="1"/>
  <c r="V114" i="4" s="1"/>
  <c r="V115" i="4" a="1"/>
  <c r="V115" i="4"/>
  <c r="V116" i="4" a="1"/>
  <c r="V116" i="4"/>
  <c r="V117" i="4" a="1"/>
  <c r="V117" i="4"/>
  <c r="V118" i="4" a="1"/>
  <c r="V118" i="4" s="1"/>
  <c r="V119" i="4" a="1"/>
  <c r="V119" i="4"/>
  <c r="V120" i="4" a="1"/>
  <c r="V120" i="4" s="1"/>
  <c r="V121" i="4" a="1"/>
  <c r="V121" i="4" s="1"/>
  <c r="V122" i="4" a="1"/>
  <c r="V122" i="4" s="1"/>
  <c r="V123" i="4" a="1"/>
  <c r="V123" i="4"/>
  <c r="V124" i="4" a="1"/>
  <c r="V124" i="4"/>
  <c r="V125" i="4" a="1"/>
  <c r="V125" i="4"/>
  <c r="V126" i="4" a="1"/>
  <c r="V126" i="4" s="1"/>
  <c r="V127" i="4" a="1"/>
  <c r="V127" i="4" s="1"/>
  <c r="V128" i="4" a="1"/>
  <c r="V128" i="4"/>
  <c r="V129" i="4" a="1"/>
  <c r="V129" i="4" s="1"/>
  <c r="V130" i="4" a="1"/>
  <c r="V130" i="4" s="1"/>
  <c r="V131" i="4" a="1"/>
  <c r="V131" i="4"/>
  <c r="V132" i="4" a="1"/>
  <c r="V132" i="4" s="1"/>
  <c r="V133" i="4" a="1"/>
  <c r="V133" i="4"/>
  <c r="V134" i="4" a="1"/>
  <c r="V134" i="4" s="1"/>
  <c r="V135" i="4" a="1"/>
  <c r="V135" i="4" s="1"/>
  <c r="V136" i="4" a="1"/>
  <c r="V136" i="4"/>
  <c r="V137" i="4" a="1"/>
  <c r="V137" i="4" s="1"/>
  <c r="V138" i="4" a="1"/>
  <c r="V138" i="4" s="1"/>
  <c r="V139" i="4" a="1"/>
  <c r="V139" i="4"/>
  <c r="V140" i="4" a="1"/>
  <c r="V140" i="4"/>
  <c r="V141" i="4" a="1"/>
  <c r="V141" i="4"/>
  <c r="V142" i="4" a="1"/>
  <c r="V142" i="4" s="1"/>
  <c r="V143" i="4" a="1"/>
  <c r="V143" i="4" s="1"/>
  <c r="V144" i="4" a="1"/>
  <c r="V144" i="4" s="1"/>
  <c r="V145" i="4" a="1"/>
  <c r="V145" i="4"/>
  <c r="V146" i="4" a="1"/>
  <c r="V146" i="4" s="1"/>
  <c r="V147" i="4" a="1"/>
  <c r="V147" i="4"/>
  <c r="V148" i="4" a="1"/>
  <c r="V148" i="4"/>
  <c r="V149" i="4" a="1"/>
  <c r="V149" i="4"/>
  <c r="V150" i="4" a="1"/>
  <c r="V150" i="4" s="1"/>
  <c r="V151" i="4" a="1"/>
  <c r="V151" i="4"/>
  <c r="V152" i="4" a="1"/>
  <c r="V152" i="4" s="1"/>
  <c r="V153" i="4" a="1"/>
  <c r="V153" i="4" s="1"/>
  <c r="V154" i="4" a="1"/>
  <c r="V154" i="4" s="1"/>
  <c r="V155" i="4" a="1"/>
  <c r="V155" i="4"/>
  <c r="V156" i="4" a="1"/>
  <c r="V156" i="4"/>
  <c r="V157" i="4" a="1"/>
  <c r="V157" i="4"/>
  <c r="V158" i="4" a="1"/>
  <c r="V158" i="4" s="1"/>
  <c r="V159" i="4" a="1"/>
  <c r="V159" i="4" s="1"/>
  <c r="V160" i="4" a="1"/>
  <c r="V160" i="4"/>
  <c r="V161" i="4" a="1"/>
  <c r="V161" i="4" s="1"/>
  <c r="V162" i="4" a="1"/>
  <c r="V162" i="4" s="1"/>
  <c r="V163" i="4" a="1"/>
  <c r="V163" i="4"/>
  <c r="V164" i="4" a="1"/>
  <c r="V164" i="4" s="1"/>
  <c r="V165" i="4" a="1"/>
  <c r="V165" i="4"/>
  <c r="V166" i="4" a="1"/>
  <c r="V166" i="4" s="1"/>
  <c r="V167" i="4" a="1"/>
  <c r="V167" i="4" s="1"/>
  <c r="V168" i="4" a="1"/>
  <c r="V168" i="4" s="1"/>
  <c r="V169" i="4" a="1"/>
  <c r="V169" i="4" s="1"/>
  <c r="V170" i="4" a="1"/>
  <c r="V170" i="4" s="1"/>
  <c r="V171" i="4" a="1"/>
  <c r="V171" i="4"/>
  <c r="V172" i="4" a="1"/>
  <c r="V172" i="4"/>
  <c r="V173" i="4" a="1"/>
  <c r="V173" i="4"/>
  <c r="V174" i="4" a="1"/>
  <c r="V174" i="4" s="1"/>
  <c r="V175" i="4" a="1"/>
  <c r="V175" i="4" s="1"/>
  <c r="V176" i="4" a="1"/>
  <c r="V176" i="4" s="1"/>
  <c r="V177" i="4" a="1"/>
  <c r="V177" i="4"/>
  <c r="V178" i="4" a="1"/>
  <c r="V178" i="4" s="1"/>
  <c r="V179" i="4" a="1"/>
  <c r="V179" i="4"/>
  <c r="V180" i="4" a="1"/>
  <c r="V180" i="4"/>
  <c r="V181" i="4" a="1"/>
  <c r="V181" i="4"/>
  <c r="V182" i="4" a="1"/>
  <c r="V182" i="4" s="1"/>
  <c r="V183" i="4" a="1"/>
  <c r="V183" i="4" s="1"/>
  <c r="V184" i="4" a="1"/>
  <c r="V184" i="4" s="1"/>
  <c r="V185" i="4" a="1"/>
  <c r="V185" i="4" s="1"/>
  <c r="V186" i="4" a="1"/>
  <c r="V186" i="4" s="1"/>
  <c r="V187" i="4" a="1"/>
  <c r="V187" i="4"/>
  <c r="V188" i="4" a="1"/>
  <c r="V188" i="4"/>
  <c r="V189" i="4" a="1"/>
  <c r="V189" i="4"/>
  <c r="V190" i="4" a="1"/>
  <c r="V190" i="4" s="1"/>
  <c r="V191" i="4" a="1"/>
  <c r="V191" i="4"/>
  <c r="V192" i="4" a="1"/>
  <c r="V192" i="4"/>
  <c r="V193" i="4" a="1"/>
  <c r="V193" i="4" s="1"/>
  <c r="V194" i="4" a="1"/>
  <c r="V194" i="4" s="1"/>
  <c r="V195" i="4" a="1"/>
  <c r="V195" i="4"/>
  <c r="V196" i="4" a="1"/>
  <c r="V196" i="4"/>
  <c r="V197" i="4" a="1"/>
  <c r="V197" i="4"/>
  <c r="V198" i="4" a="1"/>
  <c r="V198" i="4" s="1"/>
  <c r="V199" i="4" a="1"/>
  <c r="V199" i="4" s="1"/>
  <c r="V200" i="4" a="1"/>
  <c r="V200" i="4" s="1"/>
  <c r="V201" i="4" a="1"/>
  <c r="V201" i="4"/>
  <c r="V202" i="4" a="1"/>
  <c r="V202" i="4" s="1"/>
  <c r="V203" i="4" a="1"/>
  <c r="V203" i="4"/>
  <c r="V204" i="4" a="1"/>
  <c r="V204" i="4"/>
  <c r="V205" i="4" a="1"/>
  <c r="V205" i="4"/>
  <c r="V206" i="4" a="1"/>
  <c r="V206" i="4" s="1"/>
  <c r="V207" i="4" a="1"/>
  <c r="V207" i="4" s="1"/>
  <c r="V208" i="4" a="1"/>
  <c r="V208" i="4" s="1"/>
  <c r="V209" i="4" a="1"/>
  <c r="V209" i="4" s="1"/>
  <c r="V210" i="4" a="1"/>
  <c r="V210" i="4" s="1"/>
  <c r="V211" i="4" a="1"/>
  <c r="V211" i="4"/>
  <c r="V212" i="4" a="1"/>
  <c r="V212" i="4"/>
  <c r="V213" i="4" a="1"/>
  <c r="V213" i="4"/>
  <c r="V214" i="4" a="1"/>
  <c r="V214" i="4" s="1"/>
  <c r="V215" i="4" a="1"/>
  <c r="V215" i="4" s="1"/>
  <c r="V216" i="4" a="1"/>
  <c r="V216" i="4" s="1"/>
  <c r="V217" i="4" a="1"/>
  <c r="V217" i="4" s="1"/>
  <c r="V218" i="4" a="1"/>
  <c r="V218" i="4" s="1"/>
  <c r="V219" i="4" a="1"/>
  <c r="V219" i="4"/>
  <c r="V220" i="4" a="1"/>
  <c r="V220" i="4"/>
  <c r="V221" i="4" a="1"/>
  <c r="V221" i="4"/>
  <c r="V222" i="4" a="1"/>
  <c r="V222" i="4" s="1"/>
  <c r="V223" i="4" a="1"/>
  <c r="V223" i="4"/>
  <c r="V224" i="4" a="1"/>
  <c r="V224" i="4" s="1"/>
  <c r="V225" i="4" a="1"/>
  <c r="V225" i="4" s="1"/>
  <c r="V226" i="4" a="1"/>
  <c r="V226" i="4" s="1"/>
  <c r="V227" i="4" a="1"/>
  <c r="V227" i="4"/>
  <c r="V228" i="4" a="1"/>
  <c r="V228" i="4"/>
  <c r="V229" i="4" a="1"/>
  <c r="V229" i="4" s="1"/>
  <c r="V230" i="4" a="1"/>
  <c r="V230" i="4" s="1"/>
  <c r="V231" i="4" a="1"/>
  <c r="V231" i="4" s="1"/>
  <c r="V232" i="4" a="1"/>
  <c r="V232" i="4"/>
  <c r="V233" i="4" a="1"/>
  <c r="V233" i="4"/>
  <c r="V234" i="4" a="1"/>
  <c r="V234" i="4" s="1"/>
  <c r="V235" i="4" a="1"/>
  <c r="V235" i="4"/>
  <c r="V236" i="4" a="1"/>
  <c r="V236" i="4"/>
  <c r="V237" i="4" a="1"/>
  <c r="V237" i="4"/>
  <c r="V238" i="4" a="1"/>
  <c r="V238" i="4" s="1"/>
  <c r="V239" i="4" a="1"/>
  <c r="V239" i="4" s="1"/>
  <c r="V240" i="4" a="1"/>
  <c r="V240" i="4" s="1"/>
  <c r="V241" i="4" a="1"/>
  <c r="V241" i="4" s="1"/>
  <c r="V242" i="4" a="1"/>
  <c r="V242" i="4" s="1"/>
  <c r="V243" i="4" a="1"/>
  <c r="V243" i="4"/>
  <c r="V244" i="4" a="1"/>
  <c r="V244" i="4"/>
  <c r="V245" i="4" a="1"/>
  <c r="V245" i="4"/>
  <c r="V246" i="4" a="1"/>
  <c r="V246" i="4" s="1"/>
  <c r="V247" i="4" a="1"/>
  <c r="V247" i="4"/>
  <c r="V248" i="4" a="1"/>
  <c r="V248" i="4" s="1"/>
  <c r="V249" i="4" a="1"/>
  <c r="V249" i="4" s="1"/>
  <c r="V250" i="4" a="1"/>
  <c r="V250" i="4" s="1"/>
  <c r="V251" i="4" a="1"/>
  <c r="V251" i="4"/>
  <c r="V252" i="4" a="1"/>
  <c r="V252" i="4"/>
  <c r="V253" i="4" a="1"/>
  <c r="V253" i="4"/>
  <c r="V254" i="4" a="1"/>
  <c r="V254" i="4" s="1"/>
  <c r="V255" i="4" a="1"/>
  <c r="V255" i="4" s="1"/>
  <c r="V256" i="4" a="1"/>
  <c r="V256" i="4" s="1"/>
  <c r="V257" i="4" a="1"/>
  <c r="V257" i="4" s="1"/>
  <c r="V258" i="4" a="1"/>
  <c r="V258" i="4" s="1"/>
  <c r="V259" i="4" a="1"/>
  <c r="V259" i="4"/>
  <c r="V260" i="4" a="1"/>
  <c r="V260" i="4" s="1"/>
  <c r="V261" i="4" a="1"/>
  <c r="V261" i="4" s="1"/>
  <c r="V262" i="4" a="1"/>
  <c r="V262" i="4" s="1"/>
  <c r="V263" i="4" a="1"/>
  <c r="V263" i="4" s="1"/>
  <c r="V264" i="4" a="1"/>
  <c r="V264" i="4"/>
  <c r="V265" i="4" a="1"/>
  <c r="V265" i="4" s="1"/>
  <c r="V266" i="4" a="1"/>
  <c r="V266" i="4" s="1"/>
  <c r="V267" i="4" a="1"/>
  <c r="V267" i="4"/>
  <c r="V268" i="4" a="1"/>
  <c r="V268" i="4"/>
  <c r="V269" i="4" a="1"/>
  <c r="V269" i="4"/>
  <c r="V270" i="4" a="1"/>
  <c r="V270" i="4" s="1"/>
  <c r="V271" i="4" a="1"/>
  <c r="V271" i="4" s="1"/>
  <c r="V272" i="4" a="1"/>
  <c r="V272" i="4" s="1"/>
  <c r="V273" i="4" a="1"/>
  <c r="V273" i="4"/>
  <c r="V274" i="4" a="1"/>
  <c r="V274" i="4" s="1"/>
  <c r="V275" i="4" a="1"/>
  <c r="V275" i="4"/>
  <c r="V276" i="4" a="1"/>
  <c r="V276" i="4"/>
  <c r="V277" i="4" a="1"/>
  <c r="V277" i="4"/>
  <c r="V278" i="4" a="1"/>
  <c r="V278" i="4" s="1"/>
  <c r="V279" i="4" a="1"/>
  <c r="V279" i="4"/>
  <c r="V280" i="4" a="1"/>
  <c r="V280" i="4" s="1"/>
  <c r="V281" i="4" a="1"/>
  <c r="V281" i="4" s="1"/>
  <c r="V282" i="4" a="1"/>
  <c r="V282" i="4" s="1"/>
  <c r="V283" i="4" a="1"/>
  <c r="V283" i="4"/>
  <c r="V284" i="4" a="1"/>
  <c r="V284" i="4"/>
  <c r="V285" i="4" a="1"/>
  <c r="V285" i="4"/>
  <c r="V286" i="4" a="1"/>
  <c r="V286" i="4" s="1"/>
  <c r="V287" i="4" a="1"/>
  <c r="V287" i="4" s="1"/>
  <c r="V288" i="4" a="1"/>
  <c r="V288" i="4"/>
  <c r="V289" i="4" a="1"/>
  <c r="V289" i="4" s="1"/>
  <c r="V290" i="4" a="1"/>
  <c r="V290" i="4" s="1"/>
  <c r="V291" i="4" a="1"/>
  <c r="V291" i="4"/>
  <c r="V292" i="4" a="1"/>
  <c r="V292" i="4" s="1"/>
  <c r="V293" i="4" a="1"/>
  <c r="V293" i="4"/>
  <c r="V294" i="4" a="1"/>
  <c r="V294" i="4" s="1"/>
  <c r="V295" i="4" a="1"/>
  <c r="V295" i="4" s="1"/>
  <c r="V296" i="4" a="1"/>
  <c r="V296" i="4" s="1"/>
  <c r="V297" i="4" a="1"/>
  <c r="V297" i="4" s="1"/>
  <c r="V298" i="4" a="1"/>
  <c r="V298" i="4" s="1"/>
  <c r="V299" i="4" a="1"/>
  <c r="V299" i="4"/>
  <c r="V300" i="4" a="1"/>
  <c r="V300" i="4"/>
  <c r="V301" i="4" a="1"/>
  <c r="V301" i="4"/>
  <c r="V302" i="4" a="1"/>
  <c r="V302" i="4" s="1"/>
  <c r="V303" i="4" a="1"/>
  <c r="V303" i="4" s="1"/>
  <c r="V304" i="4" a="1"/>
  <c r="V304" i="4" s="1"/>
  <c r="V305" i="4" a="1"/>
  <c r="V305" i="4"/>
  <c r="V306" i="4" a="1"/>
  <c r="V306" i="4" s="1"/>
  <c r="V307" i="4" a="1"/>
  <c r="V307" i="4"/>
  <c r="V308" i="4" a="1"/>
  <c r="V308" i="4"/>
  <c r="V309" i="4" a="1"/>
  <c r="V309" i="4"/>
  <c r="V310" i="4" a="1"/>
  <c r="V310" i="4" s="1"/>
  <c r="V311" i="4" a="1"/>
  <c r="V311" i="4" s="1"/>
  <c r="V312" i="4" a="1"/>
  <c r="V312" i="4" s="1"/>
  <c r="V313" i="4" a="1"/>
  <c r="V313" i="4" s="1"/>
  <c r="V314" i="4" a="1"/>
  <c r="V314" i="4" s="1"/>
  <c r="V315" i="4" a="1"/>
  <c r="V315" i="4"/>
  <c r="V316" i="4" a="1"/>
  <c r="V316" i="4"/>
  <c r="V317" i="4" a="1"/>
  <c r="V317" i="4"/>
  <c r="V318" i="4" a="1"/>
  <c r="V318" i="4" s="1"/>
  <c r="V319" i="4" a="1"/>
  <c r="V319" i="4"/>
  <c r="V320" i="4" a="1"/>
  <c r="V320" i="4"/>
  <c r="V321" i="4" a="1"/>
  <c r="V321" i="4" s="1"/>
  <c r="V322" i="4" a="1"/>
  <c r="V322" i="4" s="1"/>
  <c r="V323" i="4" a="1"/>
  <c r="V323" i="4"/>
  <c r="V324" i="4" a="1"/>
  <c r="V324" i="4"/>
  <c r="V325" i="4" a="1"/>
  <c r="V325" i="4"/>
  <c r="V326" i="4" a="1"/>
  <c r="V326" i="4" s="1"/>
  <c r="V327" i="4" a="1"/>
  <c r="V327" i="4" s="1"/>
  <c r="V328" i="4" a="1"/>
  <c r="V328" i="4" s="1"/>
  <c r="V329" i="4" a="1"/>
  <c r="V329" i="4"/>
  <c r="V330" i="4" a="1"/>
  <c r="V330" i="4" s="1"/>
  <c r="V331" i="4" a="1"/>
  <c r="V331" i="4"/>
  <c r="V332" i="4" a="1"/>
  <c r="V332" i="4"/>
  <c r="V333" i="4" a="1"/>
  <c r="V333" i="4"/>
  <c r="V334" i="4" a="1"/>
  <c r="V334" i="4" s="1"/>
  <c r="V335" i="4" a="1"/>
  <c r="V335" i="4" s="1"/>
  <c r="V336" i="4" a="1"/>
  <c r="V336" i="4" s="1"/>
  <c r="V337" i="4" a="1"/>
  <c r="V337" i="4" s="1"/>
  <c r="V338" i="4" a="1"/>
  <c r="V338" i="4" s="1"/>
  <c r="V339" i="4" a="1"/>
  <c r="V339" i="4"/>
  <c r="V340" i="4" a="1"/>
  <c r="V340" i="4"/>
  <c r="V341" i="4" a="1"/>
  <c r="V341" i="4"/>
  <c r="V342" i="4" a="1"/>
  <c r="V342" i="4" s="1"/>
  <c r="V343" i="4" a="1"/>
  <c r="V343" i="4" s="1"/>
  <c r="V344" i="4" a="1"/>
  <c r="V344" i="4" s="1"/>
  <c r="V345" i="4" a="1"/>
  <c r="V345" i="4" s="1"/>
  <c r="V346" i="4" a="1"/>
  <c r="V346" i="4"/>
  <c r="V347" i="4" a="1"/>
  <c r="V347" i="4" s="1"/>
  <c r="V348" i="4" a="1"/>
  <c r="V348" i="4" s="1"/>
  <c r="V349" i="4" a="1"/>
  <c r="V349" i="4" s="1"/>
  <c r="V350" i="4" a="1"/>
  <c r="V350" i="4"/>
  <c r="V351" i="4" a="1"/>
  <c r="V351" i="4"/>
  <c r="V352" i="4" a="1"/>
  <c r="V352" i="4" s="1"/>
  <c r="V353" i="4" a="1"/>
  <c r="V353" i="4" s="1"/>
  <c r="V354" i="4" a="1"/>
  <c r="V354" i="4" s="1"/>
  <c r="V355" i="4" a="1"/>
  <c r="V355" i="4"/>
  <c r="V356" i="4" a="1"/>
  <c r="V356" i="4" s="1"/>
  <c r="V357" i="4" a="1"/>
  <c r="V357" i="4" s="1"/>
  <c r="V358" i="4" a="1"/>
  <c r="V358" i="4" s="1"/>
  <c r="V359" i="4" a="1"/>
  <c r="V359" i="4" s="1"/>
  <c r="V360" i="4" a="1"/>
  <c r="V360" i="4" s="1"/>
  <c r="V361" i="4" a="1"/>
  <c r="V361" i="4" s="1"/>
  <c r="V362" i="4" a="1"/>
  <c r="V362" i="4"/>
  <c r="V363" i="4" a="1"/>
  <c r="V363" i="4" s="1"/>
  <c r="V364" i="4" a="1"/>
  <c r="V364" i="4" s="1"/>
  <c r="V365" i="4" a="1"/>
  <c r="V365" i="4" s="1"/>
  <c r="V366" i="4" a="1"/>
  <c r="V366" i="4"/>
  <c r="V367" i="4" a="1"/>
  <c r="V367" i="4"/>
  <c r="V368" i="4" a="1"/>
  <c r="V368" i="4" s="1"/>
  <c r="V369" i="4" a="1"/>
  <c r="V369" i="4" s="1"/>
  <c r="V370" i="4" a="1"/>
  <c r="V370" i="4" s="1"/>
  <c r="V371" i="4" a="1"/>
  <c r="V371" i="4"/>
  <c r="V372" i="4" a="1"/>
  <c r="V372" i="4" s="1"/>
  <c r="V373" i="4" a="1"/>
  <c r="V373" i="4" s="1"/>
  <c r="V374" i="4" a="1"/>
  <c r="V374" i="4" s="1"/>
  <c r="V375" i="4" a="1"/>
  <c r="V375" i="4" s="1"/>
  <c r="V376" i="4" a="1"/>
  <c r="V376" i="4" s="1"/>
  <c r="V377" i="4" a="1"/>
  <c r="V377" i="4" s="1"/>
  <c r="V378" i="4" a="1"/>
  <c r="V378" i="4"/>
  <c r="V379" i="4" a="1"/>
  <c r="V379" i="4" s="1"/>
  <c r="V380" i="4" a="1"/>
  <c r="V380" i="4" s="1"/>
  <c r="V381" i="4" a="1"/>
  <c r="V381" i="4" s="1"/>
  <c r="V382" i="4" a="1"/>
  <c r="V382" i="4"/>
  <c r="V383" i="4" a="1"/>
  <c r="V383" i="4"/>
  <c r="V384" i="4" a="1"/>
  <c r="V384" i="4" s="1"/>
  <c r="V385" i="4" a="1"/>
  <c r="V385" i="4" s="1"/>
  <c r="V386" i="4" a="1"/>
  <c r="V386" i="4" s="1"/>
  <c r="V387" i="4" a="1"/>
  <c r="V387" i="4"/>
  <c r="V388" i="4" a="1"/>
  <c r="V388" i="4" s="1"/>
  <c r="V389" i="4" a="1"/>
  <c r="V389" i="4" s="1"/>
  <c r="V390" i="4" a="1"/>
  <c r="V390" i="4" s="1"/>
  <c r="V391" i="4" a="1"/>
  <c r="V391" i="4" s="1"/>
  <c r="V392" i="4" a="1"/>
  <c r="V392" i="4" s="1"/>
  <c r="V393" i="4" a="1"/>
  <c r="V393" i="4" s="1"/>
  <c r="V394" i="4" a="1"/>
  <c r="V394" i="4"/>
  <c r="V395" i="4" a="1"/>
  <c r="V395" i="4" s="1"/>
  <c r="V396" i="4" a="1"/>
  <c r="V396" i="4" s="1"/>
  <c r="V397" i="4" a="1"/>
  <c r="V397" i="4" s="1"/>
  <c r="V398" i="4" a="1"/>
  <c r="V398" i="4"/>
  <c r="V399" i="4" a="1"/>
  <c r="V399" i="4"/>
  <c r="V400" i="4" a="1"/>
  <c r="V400" i="4" s="1"/>
  <c r="V401" i="4" a="1"/>
  <c r="V401" i="4" s="1"/>
  <c r="V402" i="4" a="1"/>
  <c r="V402" i="4" s="1"/>
  <c r="V403" i="4" a="1"/>
  <c r="V403" i="4"/>
  <c r="V404" i="4" a="1"/>
  <c r="V404" i="4" s="1"/>
  <c r="V405" i="4" a="1"/>
  <c r="V405" i="4" s="1"/>
  <c r="V406" i="4" a="1"/>
  <c r="V406" i="4" s="1"/>
  <c r="V407" i="4" a="1"/>
  <c r="V407" i="4" s="1"/>
  <c r="V408" i="4" a="1"/>
  <c r="V408" i="4" s="1"/>
  <c r="V409" i="4" a="1"/>
  <c r="V409" i="4" s="1"/>
  <c r="V410" i="4" a="1"/>
  <c r="V410" i="4"/>
  <c r="V411" i="4" a="1"/>
  <c r="V411" i="4" s="1"/>
  <c r="V412" i="4" a="1"/>
  <c r="V412" i="4" s="1"/>
  <c r="V413" i="4" a="1"/>
  <c r="V413" i="4" s="1"/>
  <c r="V414" i="4" a="1"/>
  <c r="V414" i="4"/>
  <c r="V415" i="4" a="1"/>
  <c r="V415" i="4"/>
  <c r="V416" i="4" a="1"/>
  <c r="V416" i="4" s="1"/>
  <c r="V417" i="4" a="1"/>
  <c r="V417" i="4" s="1"/>
  <c r="V418" i="4" a="1"/>
  <c r="V418" i="4" s="1"/>
  <c r="V419" i="4" a="1"/>
  <c r="V419" i="4"/>
  <c r="V420" i="4" a="1"/>
  <c r="V420" i="4" s="1"/>
  <c r="V421" i="4" a="1"/>
  <c r="V421" i="4" s="1"/>
  <c r="V422" i="4" a="1"/>
  <c r="V422" i="4" s="1"/>
  <c r="V423" i="4" a="1"/>
  <c r="V423" i="4" s="1"/>
  <c r="V424" i="4" a="1"/>
  <c r="V424" i="4" s="1"/>
  <c r="V425" i="4" a="1"/>
  <c r="V425" i="4" s="1"/>
  <c r="V426" i="4" a="1"/>
  <c r="V426" i="4"/>
  <c r="V427" i="4" a="1"/>
  <c r="V427" i="4" s="1"/>
  <c r="V428" i="4" a="1"/>
  <c r="V428" i="4" s="1"/>
  <c r="V429" i="4" a="1"/>
  <c r="V429" i="4" s="1"/>
  <c r="V430" i="4" a="1"/>
  <c r="V430" i="4"/>
  <c r="V431" i="4" a="1"/>
  <c r="V431" i="4"/>
  <c r="V432" i="4" a="1"/>
  <c r="V432" i="4" s="1"/>
  <c r="V433" i="4" a="1"/>
  <c r="V433" i="4" s="1"/>
  <c r="V434" i="4" a="1"/>
  <c r="V434" i="4" s="1"/>
  <c r="V435" i="4" a="1"/>
  <c r="V435" i="4"/>
  <c r="V436" i="4" a="1"/>
  <c r="V436" i="4" s="1"/>
  <c r="V437" i="4" a="1"/>
  <c r="V437" i="4" s="1"/>
  <c r="V438" i="4" a="1"/>
  <c r="V438" i="4" s="1"/>
  <c r="V439" i="4" a="1"/>
  <c r="V439" i="4" s="1"/>
  <c r="V440" i="4" a="1"/>
  <c r="V440" i="4" s="1"/>
  <c r="V441" i="4" a="1"/>
  <c r="V441" i="4" s="1"/>
  <c r="V442" i="4" a="1"/>
  <c r="V442" i="4"/>
  <c r="V443" i="4" a="1"/>
  <c r="V443" i="4" s="1"/>
  <c r="V444" i="4" a="1"/>
  <c r="V444" i="4" s="1"/>
  <c r="V445" i="4" a="1"/>
  <c r="V445" i="4" s="1"/>
  <c r="V446" i="4" a="1"/>
  <c r="V446" i="4"/>
  <c r="V447" i="4" a="1"/>
  <c r="V447" i="4"/>
  <c r="V448" i="4" a="1"/>
  <c r="V448" i="4" s="1"/>
  <c r="V449" i="4" a="1"/>
  <c r="V449" i="4" s="1"/>
  <c r="V450" i="4" a="1"/>
  <c r="V450" i="4" s="1"/>
  <c r="V451" i="4" a="1"/>
  <c r="V451" i="4"/>
  <c r="V452" i="4" a="1"/>
  <c r="V452" i="4" s="1"/>
  <c r="V453" i="4" a="1"/>
  <c r="V453" i="4" s="1"/>
  <c r="V454" i="4" a="1"/>
  <c r="V454" i="4" s="1"/>
  <c r="V455" i="4" a="1"/>
  <c r="V455" i="4" s="1"/>
  <c r="V456" i="4" a="1"/>
  <c r="V456" i="4" s="1"/>
  <c r="V457" i="4" a="1"/>
  <c r="V457" i="4" s="1"/>
  <c r="V458" i="4" a="1"/>
  <c r="V458" i="4"/>
  <c r="V459" i="4" a="1"/>
  <c r="V459" i="4" s="1"/>
  <c r="V460" i="4" a="1"/>
  <c r="V460" i="4" s="1"/>
  <c r="V461" i="4" a="1"/>
  <c r="V461" i="4" s="1"/>
  <c r="V462" i="4" a="1"/>
  <c r="V462" i="4"/>
  <c r="V463" i="4" a="1"/>
  <c r="V463" i="4"/>
  <c r="V464" i="4" a="1"/>
  <c r="V464" i="4" s="1"/>
  <c r="V465" i="4" a="1"/>
  <c r="V465" i="4" s="1"/>
  <c r="V466" i="4" a="1"/>
  <c r="V466" i="4" s="1"/>
  <c r="V467" i="4" a="1"/>
  <c r="V467" i="4"/>
  <c r="V468" i="4" a="1"/>
  <c r="V468" i="4" s="1"/>
  <c r="V469" i="4" a="1"/>
  <c r="V469" i="4" s="1"/>
  <c r="V470" i="4" a="1"/>
  <c r="V470" i="4" s="1"/>
  <c r="V471" i="4" a="1"/>
  <c r="V471" i="4" s="1"/>
  <c r="V472" i="4" a="1"/>
  <c r="V472" i="4" s="1"/>
  <c r="V473" i="4" a="1"/>
  <c r="V473" i="4" s="1"/>
  <c r="V474" i="4" a="1"/>
  <c r="V474" i="4"/>
  <c r="V475" i="4" a="1"/>
  <c r="V475" i="4" s="1"/>
  <c r="V476" i="4" a="1"/>
  <c r="V476" i="4" s="1"/>
  <c r="V477" i="4" a="1"/>
  <c r="V477" i="4" s="1"/>
  <c r="V478" i="4" a="1"/>
  <c r="V478" i="4"/>
  <c r="V479" i="4" a="1"/>
  <c r="V479" i="4"/>
  <c r="V480" i="4" a="1"/>
  <c r="V480" i="4" s="1"/>
  <c r="V481" i="4" a="1"/>
  <c r="V481" i="4" s="1"/>
  <c r="V482" i="4" a="1"/>
  <c r="V482" i="4" s="1"/>
  <c r="V483" i="4" a="1"/>
  <c r="V483" i="4"/>
  <c r="V484" i="4" a="1"/>
  <c r="V484" i="4" s="1"/>
  <c r="V485" i="4" a="1"/>
  <c r="V485" i="4" s="1"/>
  <c r="V486" i="4" a="1"/>
  <c r="V486" i="4" s="1"/>
  <c r="V487" i="4" a="1"/>
  <c r="V487" i="4" s="1"/>
  <c r="V488" i="4" a="1"/>
  <c r="V488" i="4" s="1"/>
  <c r="V489" i="4" a="1"/>
  <c r="V489" i="4" s="1"/>
  <c r="V490" i="4" a="1"/>
  <c r="V490" i="4"/>
  <c r="V491" i="4" a="1"/>
  <c r="V491" i="4" s="1"/>
  <c r="V492" i="4" a="1"/>
  <c r="V492" i="4" s="1"/>
  <c r="V493" i="4" a="1"/>
  <c r="V493" i="4" s="1"/>
  <c r="V494" i="4" a="1"/>
  <c r="V494" i="4"/>
  <c r="V495" i="4" a="1"/>
  <c r="V495" i="4"/>
  <c r="V496" i="4" a="1"/>
  <c r="V496" i="4" s="1"/>
  <c r="V497" i="4" a="1"/>
  <c r="V497" i="4" s="1"/>
  <c r="V498" i="4" a="1"/>
  <c r="V498" i="4" s="1"/>
  <c r="V499" i="4" a="1"/>
  <c r="V499" i="4"/>
  <c r="V500" i="4" a="1"/>
  <c r="V500" i="4" s="1"/>
  <c r="V501" i="4" a="1"/>
  <c r="V501" i="4" s="1"/>
  <c r="V502" i="4" a="1"/>
  <c r="V502" i="4" s="1"/>
  <c r="V503" i="4" a="1"/>
  <c r="V503" i="4" s="1"/>
  <c r="V504" i="4" a="1"/>
  <c r="V504" i="4" s="1"/>
  <c r="V505" i="4" a="1"/>
  <c r="V505" i="4" s="1"/>
  <c r="V506" i="4" a="1"/>
  <c r="V506" i="4"/>
  <c r="V507" i="4" a="1"/>
  <c r="V507" i="4" s="1"/>
  <c r="V508" i="4" a="1"/>
  <c r="V508" i="4" s="1"/>
  <c r="V509" i="4" a="1"/>
  <c r="V509" i="4" s="1"/>
  <c r="V510" i="4" a="1"/>
  <c r="V510" i="4"/>
  <c r="V511" i="4" a="1"/>
  <c r="V511" i="4"/>
  <c r="V512" i="4" a="1"/>
  <c r="V512" i="4" s="1"/>
  <c r="V513" i="4" a="1"/>
  <c r="V513" i="4" s="1"/>
  <c r="V514" i="4" a="1"/>
  <c r="V514" i="4" s="1"/>
  <c r="V515" i="4" a="1"/>
  <c r="V515" i="4"/>
  <c r="V516" i="4" a="1"/>
  <c r="V516" i="4" s="1"/>
  <c r="V517" i="4" a="1"/>
  <c r="V517" i="4" s="1"/>
  <c r="V518" i="4" a="1"/>
  <c r="V518" i="4" s="1"/>
  <c r="V519" i="4" a="1"/>
  <c r="V519" i="4" s="1"/>
  <c r="V520" i="4" a="1"/>
  <c r="V520" i="4" s="1"/>
  <c r="V521" i="4" a="1"/>
  <c r="V521" i="4" s="1"/>
  <c r="V522" i="4" a="1"/>
  <c r="V522" i="4"/>
  <c r="V523" i="4" a="1"/>
  <c r="V523" i="4" s="1"/>
  <c r="V524" i="4" a="1"/>
  <c r="V524" i="4" s="1"/>
  <c r="V525" i="4" a="1"/>
  <c r="V525" i="4" s="1"/>
  <c r="V526" i="4" a="1"/>
  <c r="V526" i="4"/>
  <c r="V527" i="4" a="1"/>
  <c r="V527" i="4"/>
  <c r="V528" i="4" a="1"/>
  <c r="V528" i="4" s="1"/>
  <c r="V529" i="4" a="1"/>
  <c r="V529" i="4" s="1"/>
  <c r="V530" i="4" a="1"/>
  <c r="V530" i="4" s="1"/>
  <c r="V531" i="4" a="1"/>
  <c r="V531" i="4"/>
  <c r="V532" i="4" a="1"/>
  <c r="V532" i="4" s="1"/>
  <c r="V533" i="4" a="1"/>
  <c r="V533" i="4" s="1"/>
  <c r="V534" i="4" a="1"/>
  <c r="V534" i="4" s="1"/>
  <c r="V535" i="4" a="1"/>
  <c r="V535" i="4" s="1"/>
  <c r="V536" i="4" a="1"/>
  <c r="V536" i="4" s="1"/>
  <c r="V537" i="4" a="1"/>
  <c r="V537" i="4" s="1"/>
  <c r="V538" i="4" a="1"/>
  <c r="V538" i="4"/>
  <c r="V539" i="4" a="1"/>
  <c r="V539" i="4" s="1"/>
  <c r="V540" i="4" a="1"/>
  <c r="V540" i="4" s="1"/>
  <c r="V541" i="4" a="1"/>
  <c r="V541" i="4" s="1"/>
  <c r="V542" i="4" a="1"/>
  <c r="V542" i="4"/>
  <c r="V543" i="4" a="1"/>
  <c r="V543" i="4"/>
  <c r="V544" i="4" a="1"/>
  <c r="V544" i="4" s="1"/>
  <c r="V545" i="4" a="1"/>
  <c r="V545" i="4" s="1"/>
  <c r="V546" i="4" a="1"/>
  <c r="V546" i="4" s="1"/>
  <c r="V547" i="4" a="1"/>
  <c r="V547" i="4"/>
  <c r="V548" i="4" a="1"/>
  <c r="V548" i="4" s="1"/>
  <c r="V549" i="4" a="1"/>
  <c r="V549" i="4" s="1"/>
  <c r="V550" i="4" a="1"/>
  <c r="V550" i="4" s="1"/>
  <c r="V551" i="4" a="1"/>
  <c r="V551" i="4" s="1"/>
  <c r="V552" i="4" a="1"/>
  <c r="V552" i="4" s="1"/>
  <c r="V553" i="4" a="1"/>
  <c r="V553" i="4" s="1"/>
  <c r="V554" i="4" a="1"/>
  <c r="V554" i="4"/>
  <c r="V555" i="4" a="1"/>
  <c r="V555" i="4" s="1"/>
  <c r="V556" i="4" a="1"/>
  <c r="V556" i="4" s="1"/>
  <c r="V557" i="4" a="1"/>
  <c r="V557" i="4" s="1"/>
  <c r="V558" i="4" a="1"/>
  <c r="V558" i="4"/>
  <c r="V559" i="4" a="1"/>
  <c r="V559" i="4"/>
  <c r="V560" i="4" a="1"/>
  <c r="V560" i="4" s="1"/>
  <c r="V561" i="4" a="1"/>
  <c r="V561" i="4" s="1"/>
  <c r="V562" i="4" a="1"/>
  <c r="V562" i="4" s="1"/>
  <c r="V563" i="4" a="1"/>
  <c r="V563" i="4"/>
  <c r="V564" i="4" a="1"/>
  <c r="V564" i="4"/>
  <c r="V565" i="4" a="1"/>
  <c r="V565" i="4" s="1"/>
  <c r="V566" i="4" a="1"/>
  <c r="V566" i="4" s="1"/>
  <c r="V567" i="4" a="1"/>
  <c r="V567" i="4"/>
  <c r="V568" i="4" a="1"/>
  <c r="V568" i="4"/>
  <c r="V569" i="4" a="1"/>
  <c r="V569" i="4" s="1"/>
  <c r="V570" i="4" a="1"/>
  <c r="V570" i="4" s="1"/>
  <c r="V571" i="4" a="1"/>
  <c r="V571" i="4"/>
  <c r="V572" i="4" a="1"/>
  <c r="V572" i="4"/>
  <c r="V573" i="4" a="1"/>
  <c r="V573" i="4" s="1"/>
  <c r="V574" i="4" a="1"/>
  <c r="V574" i="4" s="1"/>
  <c r="V575" i="4" a="1"/>
  <c r="V575" i="4"/>
  <c r="V576" i="4" a="1"/>
  <c r="V576" i="4"/>
  <c r="V577" i="4" a="1"/>
  <c r="V577" i="4" s="1"/>
  <c r="V578" i="4" a="1"/>
  <c r="V578" i="4" s="1"/>
  <c r="V579" i="4" a="1"/>
  <c r="V579" i="4"/>
  <c r="V580" i="4" a="1"/>
  <c r="V580" i="4"/>
  <c r="V581" i="4" a="1"/>
  <c r="V581" i="4" s="1"/>
  <c r="V582" i="4" a="1"/>
  <c r="V582" i="4" s="1"/>
  <c r="V583" i="4" a="1"/>
  <c r="V583" i="4"/>
  <c r="V584" i="4" a="1"/>
  <c r="V584" i="4"/>
  <c r="V585" i="4" a="1"/>
  <c r="V585" i="4" s="1"/>
  <c r="V586" i="4" a="1"/>
  <c r="V586" i="4" s="1"/>
  <c r="V587" i="4" a="1"/>
  <c r="V587" i="4"/>
  <c r="V588" i="4" a="1"/>
  <c r="V588" i="4"/>
  <c r="V589" i="4" a="1"/>
  <c r="V589" i="4" s="1"/>
  <c r="V590" i="4" a="1"/>
  <c r="V590" i="4" s="1"/>
  <c r="V591" i="4" a="1"/>
  <c r="V591" i="4"/>
  <c r="V592" i="4" a="1"/>
  <c r="V592" i="4"/>
  <c r="V593" i="4" a="1"/>
  <c r="V593" i="4" s="1"/>
  <c r="V594" i="4" a="1"/>
  <c r="V594" i="4" s="1"/>
  <c r="V595" i="4" a="1"/>
  <c r="V595" i="4"/>
  <c r="V596" i="4" a="1"/>
  <c r="V596" i="4"/>
  <c r="V597" i="4" a="1"/>
  <c r="V597" i="4" s="1"/>
  <c r="V598" i="4" a="1"/>
  <c r="V598" i="4" s="1"/>
  <c r="V599" i="4" a="1"/>
  <c r="V599" i="4"/>
  <c r="V600" i="4" a="1"/>
  <c r="V600" i="4"/>
  <c r="V601" i="4" a="1"/>
  <c r="V601" i="4" s="1"/>
  <c r="V602" i="4" a="1"/>
  <c r="V602" i="4" s="1"/>
  <c r="V603" i="4" a="1"/>
  <c r="V603" i="4"/>
  <c r="V604" i="4" a="1"/>
  <c r="V604" i="4"/>
  <c r="V605" i="4" a="1"/>
  <c r="V605" i="4" s="1"/>
  <c r="V606" i="4" a="1"/>
  <c r="V606" i="4" s="1"/>
  <c r="V607" i="4" a="1"/>
  <c r="V607" i="4"/>
  <c r="V608" i="4" a="1"/>
  <c r="V608" i="4"/>
  <c r="V609" i="4" a="1"/>
  <c r="V609" i="4" s="1"/>
  <c r="V610" i="4" a="1"/>
  <c r="V610" i="4" s="1"/>
  <c r="V611" i="4" a="1"/>
  <c r="V611" i="4"/>
  <c r="V612" i="4" a="1"/>
  <c r="V612" i="4"/>
  <c r="V613" i="4" a="1"/>
  <c r="V613" i="4" s="1"/>
  <c r="V614" i="4" a="1"/>
  <c r="V614" i="4" s="1"/>
  <c r="V615" i="4" a="1"/>
  <c r="V615" i="4"/>
  <c r="V616" i="4" a="1"/>
  <c r="V616" i="4"/>
  <c r="V617" i="4" a="1"/>
  <c r="V617" i="4" s="1"/>
  <c r="V618" i="4" a="1"/>
  <c r="V618" i="4" s="1"/>
  <c r="V619" i="4" a="1"/>
  <c r="V619" i="4"/>
  <c r="V620" i="4" a="1"/>
  <c r="V620" i="4"/>
  <c r="V621" i="4" a="1"/>
  <c r="V621" i="4" s="1"/>
  <c r="V622" i="4" a="1"/>
  <c r="V622" i="4" s="1"/>
  <c r="V623" i="4" a="1"/>
  <c r="V623" i="4"/>
  <c r="V624" i="4" a="1"/>
  <c r="V624" i="4"/>
  <c r="V625" i="4" a="1"/>
  <c r="V625" i="4" s="1"/>
  <c r="V626" i="4" a="1"/>
  <c r="V626" i="4" s="1"/>
  <c r="V627" i="4" a="1"/>
  <c r="V627" i="4"/>
  <c r="V628" i="4" a="1"/>
  <c r="V628" i="4"/>
  <c r="V629" i="4" a="1"/>
  <c r="V629" i="4" s="1"/>
  <c r="V630" i="4" a="1"/>
  <c r="V630" i="4" s="1"/>
  <c r="V631" i="4" a="1"/>
  <c r="V631" i="4"/>
  <c r="V632" i="4" a="1"/>
  <c r="V632" i="4"/>
  <c r="V633" i="4" a="1"/>
  <c r="V633" i="4" s="1"/>
  <c r="V634" i="4" a="1"/>
  <c r="V634" i="4" s="1"/>
  <c r="V635" i="4" a="1"/>
  <c r="V635" i="4"/>
  <c r="V636" i="4" a="1"/>
  <c r="V636" i="4"/>
  <c r="V637" i="4" a="1"/>
  <c r="V637" i="4" s="1"/>
  <c r="V638" i="4" a="1"/>
  <c r="V638" i="4" s="1"/>
  <c r="V639" i="4" a="1"/>
  <c r="V639" i="4"/>
  <c r="V640" i="4" a="1"/>
  <c r="V640" i="4"/>
  <c r="V641" i="4" a="1"/>
  <c r="V641" i="4" s="1"/>
  <c r="V642" i="4" a="1"/>
  <c r="V642" i="4" s="1"/>
  <c r="V643" i="4" a="1"/>
  <c r="V643" i="4"/>
  <c r="V644" i="4" a="1"/>
  <c r="V644" i="4"/>
  <c r="V645" i="4" a="1"/>
  <c r="V645" i="4" s="1"/>
  <c r="V646" i="4" a="1"/>
  <c r="V646" i="4" s="1"/>
  <c r="V647" i="4" a="1"/>
  <c r="V647" i="4"/>
  <c r="V648" i="4" a="1"/>
  <c r="V648" i="4"/>
  <c r="V649" i="4" a="1"/>
  <c r="V649" i="4" s="1"/>
  <c r="V650" i="4" a="1"/>
  <c r="V650" i="4" s="1"/>
  <c r="V651" i="4" a="1"/>
  <c r="V651" i="4"/>
  <c r="V652" i="4" a="1"/>
  <c r="V652" i="4"/>
  <c r="V653" i="4" a="1"/>
  <c r="V653" i="4" s="1"/>
  <c r="V654" i="4" a="1"/>
  <c r="V654" i="4" s="1"/>
  <c r="V655" i="4" a="1"/>
  <c r="V655" i="4"/>
  <c r="V656" i="4" a="1"/>
  <c r="V656" i="4"/>
  <c r="V657" i="4" a="1"/>
  <c r="V657" i="4" s="1"/>
  <c r="V658" i="4" a="1"/>
  <c r="V658" i="4" s="1"/>
  <c r="V659" i="4" a="1"/>
  <c r="V659" i="4"/>
  <c r="V660" i="4" a="1"/>
  <c r="V660" i="4"/>
  <c r="V661" i="4" a="1"/>
  <c r="V661" i="4" s="1"/>
  <c r="V662" i="4" a="1"/>
  <c r="V662" i="4" s="1"/>
  <c r="V663" i="4" a="1"/>
  <c r="V663" i="4"/>
  <c r="V664" i="4" a="1"/>
  <c r="V664" i="4"/>
  <c r="V665" i="4" a="1"/>
  <c r="V665" i="4" s="1"/>
  <c r="V666" i="4" a="1"/>
  <c r="V666" i="4" s="1"/>
  <c r="V667" i="4" a="1"/>
  <c r="V667" i="4"/>
  <c r="V668" i="4" a="1"/>
  <c r="V668" i="4"/>
  <c r="V669" i="4" a="1"/>
  <c r="V669" i="4" s="1"/>
  <c r="V670" i="4" a="1"/>
  <c r="V670" i="4" s="1"/>
  <c r="V671" i="4" a="1"/>
  <c r="V671" i="4"/>
  <c r="V672" i="4" a="1"/>
  <c r="V672" i="4"/>
  <c r="V673" i="4" a="1"/>
  <c r="V673" i="4" s="1"/>
  <c r="V674" i="4" a="1"/>
  <c r="V674" i="4" s="1"/>
  <c r="V675" i="4" a="1"/>
  <c r="V675" i="4"/>
  <c r="V676" i="4" a="1"/>
  <c r="V676" i="4"/>
  <c r="V677" i="4" a="1"/>
  <c r="V677" i="4" s="1"/>
  <c r="V678" i="4" a="1"/>
  <c r="V678" i="4" s="1"/>
  <c r="V679" i="4" a="1"/>
  <c r="V679" i="4"/>
  <c r="V680" i="4" a="1"/>
  <c r="V680" i="4"/>
  <c r="V681" i="4" a="1"/>
  <c r="V681" i="4" s="1"/>
  <c r="V682" i="4" a="1"/>
  <c r="V682" i="4" s="1"/>
  <c r="V683" i="4" a="1"/>
  <c r="V683" i="4"/>
  <c r="V684" i="4" a="1"/>
  <c r="V684" i="4"/>
  <c r="V685" i="4" a="1"/>
  <c r="V685" i="4" s="1"/>
  <c r="V686" i="4" a="1"/>
  <c r="V686" i="4" s="1"/>
  <c r="V687" i="4" a="1"/>
  <c r="V687" i="4"/>
  <c r="V688" i="4" a="1"/>
  <c r="V688" i="4"/>
  <c r="V689" i="4" a="1"/>
  <c r="V689" i="4" s="1"/>
  <c r="V690" i="4" a="1"/>
  <c r="V690" i="4" s="1"/>
  <c r="V691" i="4" a="1"/>
  <c r="V691" i="4"/>
  <c r="V692" i="4" a="1"/>
  <c r="V692" i="4"/>
  <c r="V693" i="4" a="1"/>
  <c r="V693" i="4" s="1"/>
  <c r="V694" i="4" a="1"/>
  <c r="V694" i="4" s="1"/>
  <c r="V695" i="4" a="1"/>
  <c r="V695" i="4"/>
  <c r="V696" i="4" a="1"/>
  <c r="V696" i="4"/>
  <c r="V697" i="4" a="1"/>
  <c r="V697" i="4" s="1"/>
  <c r="V698" i="4" a="1"/>
  <c r="V698" i="4" s="1"/>
  <c r="V699" i="4" a="1"/>
  <c r="V699" i="4"/>
  <c r="V700" i="4" a="1"/>
  <c r="V700" i="4"/>
  <c r="V701" i="4" a="1"/>
  <c r="V701" i="4" s="1"/>
  <c r="V702" i="4" a="1"/>
  <c r="V702" i="4" s="1"/>
  <c r="V703" i="4" a="1"/>
  <c r="V703" i="4"/>
  <c r="V704" i="4" a="1"/>
  <c r="V704" i="4"/>
  <c r="V705" i="4" a="1"/>
  <c r="V705" i="4" s="1"/>
  <c r="V706" i="4" a="1"/>
  <c r="V706" i="4" s="1"/>
  <c r="V707" i="4" a="1"/>
  <c r="V707" i="4"/>
  <c r="V708" i="4" a="1"/>
  <c r="V708" i="4"/>
  <c r="V709" i="4" a="1"/>
  <c r="V709" i="4" s="1"/>
  <c r="V710" i="4" a="1"/>
  <c r="V710" i="4" s="1"/>
  <c r="V711" i="4" a="1"/>
  <c r="V711" i="4"/>
  <c r="V712" i="4" a="1"/>
  <c r="V712" i="4"/>
  <c r="V713" i="4" a="1"/>
  <c r="V713" i="4" s="1"/>
  <c r="V714" i="4" a="1"/>
  <c r="V714" i="4" s="1"/>
  <c r="V715" i="4" a="1"/>
  <c r="V715" i="4"/>
  <c r="V716" i="4" a="1"/>
  <c r="V716" i="4"/>
  <c r="V717" i="4" a="1"/>
  <c r="V717" i="4" s="1"/>
  <c r="V718" i="4" a="1"/>
  <c r="V718" i="4" s="1"/>
  <c r="V719" i="4" a="1"/>
  <c r="V719" i="4"/>
  <c r="V720" i="4" a="1"/>
  <c r="V720" i="4"/>
  <c r="V721" i="4" a="1"/>
  <c r="V721" i="4" s="1"/>
  <c r="V722" i="4" a="1"/>
  <c r="V722" i="4" s="1"/>
  <c r="V723" i="4" a="1"/>
  <c r="V723" i="4"/>
  <c r="V724" i="4" a="1"/>
  <c r="V724" i="4"/>
  <c r="V725" i="4" a="1"/>
  <c r="V725" i="4" s="1"/>
  <c r="V726" i="4" a="1"/>
  <c r="V726" i="4" s="1"/>
  <c r="V727" i="4" a="1"/>
  <c r="V727" i="4"/>
  <c r="V728" i="4" a="1"/>
  <c r="V728" i="4"/>
  <c r="V729" i="4" a="1"/>
  <c r="V729" i="4" s="1"/>
  <c r="V730" i="4" a="1"/>
  <c r="V730" i="4" s="1"/>
  <c r="V731" i="4" a="1"/>
  <c r="V731" i="4"/>
  <c r="V732" i="4" a="1"/>
  <c r="V732" i="4"/>
  <c r="V733" i="4" a="1"/>
  <c r="V733" i="4" s="1"/>
  <c r="V734" i="4" a="1"/>
  <c r="V734" i="4" s="1"/>
  <c r="V735" i="4" a="1"/>
  <c r="V735" i="4"/>
  <c r="V736" i="4" a="1"/>
  <c r="V736" i="4"/>
  <c r="V737" i="4" a="1"/>
  <c r="V737" i="4" s="1"/>
  <c r="V738" i="4" a="1"/>
  <c r="V738" i="4" s="1"/>
  <c r="V739" i="4" a="1"/>
  <c r="V739" i="4"/>
  <c r="V740" i="4" a="1"/>
  <c r="V740" i="4"/>
  <c r="V741" i="4" a="1"/>
  <c r="V741" i="4" s="1"/>
  <c r="V742" i="4" a="1"/>
  <c r="V742" i="4" s="1"/>
  <c r="V743" i="4" a="1"/>
  <c r="V743" i="4"/>
  <c r="V744" i="4" a="1"/>
  <c r="V744" i="4"/>
  <c r="V745" i="4" a="1"/>
  <c r="V745" i="4" s="1"/>
  <c r="V746" i="4" a="1"/>
  <c r="V746" i="4" s="1"/>
  <c r="V747" i="4" a="1"/>
  <c r="V747" i="4"/>
  <c r="V748" i="4" a="1"/>
  <c r="V748" i="4"/>
  <c r="V749" i="4" a="1"/>
  <c r="V749" i="4" s="1"/>
  <c r="V750" i="4" a="1"/>
  <c r="V750" i="4" s="1"/>
  <c r="V751" i="4" a="1"/>
  <c r="V751" i="4"/>
  <c r="V752" i="4" a="1"/>
  <c r="V752" i="4"/>
  <c r="V753" i="4" a="1"/>
  <c r="V753" i="4" s="1"/>
  <c r="V754" i="4" a="1"/>
  <c r="V754" i="4" s="1"/>
  <c r="V755" i="4" a="1"/>
  <c r="V755" i="4"/>
  <c r="V756" i="4" a="1"/>
  <c r="V756" i="4"/>
  <c r="V757" i="4" a="1"/>
  <c r="V757" i="4" s="1"/>
  <c r="V758" i="4" a="1"/>
  <c r="V758" i="4" s="1"/>
  <c r="V759" i="4" a="1"/>
  <c r="V759" i="4"/>
  <c r="V760" i="4" a="1"/>
  <c r="V760" i="4"/>
  <c r="V761" i="4" a="1"/>
  <c r="V761" i="4" s="1"/>
  <c r="V762" i="4" a="1"/>
  <c r="V762" i="4" s="1"/>
  <c r="V763" i="4" a="1"/>
  <c r="V763" i="4"/>
  <c r="V764" i="4" a="1"/>
  <c r="V764" i="4"/>
  <c r="V765" i="4" a="1"/>
  <c r="V765" i="4" s="1"/>
  <c r="V766" i="4" a="1"/>
  <c r="V766" i="4" s="1"/>
  <c r="V767" i="4" a="1"/>
  <c r="V767" i="4"/>
  <c r="V768" i="4" a="1"/>
  <c r="V768" i="4"/>
  <c r="V769" i="4" a="1"/>
  <c r="V769" i="4" s="1"/>
  <c r="V770" i="4" a="1"/>
  <c r="V770" i="4" s="1"/>
  <c r="V771" i="4" a="1"/>
  <c r="V771" i="4"/>
  <c r="V772" i="4" a="1"/>
  <c r="V772" i="4"/>
  <c r="V773" i="4" a="1"/>
  <c r="V773" i="4" s="1"/>
  <c r="V774" i="4" a="1"/>
  <c r="V774" i="4" s="1"/>
  <c r="V775" i="4" a="1"/>
  <c r="V775" i="4"/>
  <c r="V776" i="4" a="1"/>
  <c r="V776" i="4"/>
  <c r="V777" i="4" a="1"/>
  <c r="V777" i="4" s="1"/>
  <c r="V778" i="4" a="1"/>
  <c r="V778" i="4" s="1"/>
  <c r="V779" i="4" a="1"/>
  <c r="V779" i="4"/>
  <c r="V780" i="4" a="1"/>
  <c r="V780" i="4"/>
  <c r="V781" i="4" a="1"/>
  <c r="V781" i="4" s="1"/>
  <c r="V782" i="4" a="1"/>
  <c r="V782" i="4" s="1"/>
  <c r="V783" i="4" a="1"/>
  <c r="V783" i="4"/>
  <c r="V784" i="4" a="1"/>
  <c r="V784" i="4"/>
  <c r="V785" i="4" a="1"/>
  <c r="V785" i="4" s="1"/>
  <c r="V786" i="4" a="1"/>
  <c r="V786" i="4" s="1"/>
  <c r="V787" i="4" a="1"/>
  <c r="V787" i="4"/>
  <c r="V788" i="4" a="1"/>
  <c r="V788" i="4"/>
  <c r="V789" i="4" a="1"/>
  <c r="V789" i="4" s="1"/>
  <c r="V790" i="4" a="1"/>
  <c r="V790" i="4" s="1"/>
  <c r="V791" i="4" a="1"/>
  <c r="V791" i="4"/>
  <c r="V792" i="4" a="1"/>
  <c r="V792" i="4"/>
  <c r="V793" i="4" a="1"/>
  <c r="V793" i="4" s="1"/>
  <c r="V794" i="4" a="1"/>
  <c r="V794" i="4" s="1"/>
  <c r="V795" i="4" a="1"/>
  <c r="V795" i="4"/>
  <c r="V796" i="4" a="1"/>
  <c r="V796" i="4"/>
  <c r="V797" i="4" a="1"/>
  <c r="V797" i="4" s="1"/>
  <c r="V798" i="4" a="1"/>
  <c r="V798" i="4" s="1"/>
  <c r="V799" i="4" a="1"/>
  <c r="V799" i="4"/>
  <c r="V800" i="4" a="1"/>
  <c r="V800" i="4"/>
  <c r="V801" i="4" a="1"/>
  <c r="V801" i="4" s="1"/>
  <c r="V802" i="4" a="1"/>
  <c r="V802" i="4" s="1"/>
  <c r="V803" i="4" a="1"/>
  <c r="V803" i="4"/>
  <c r="V804" i="4" a="1"/>
  <c r="V804" i="4"/>
  <c r="V805" i="4" a="1"/>
  <c r="V805" i="4" s="1"/>
  <c r="V806" i="4" a="1"/>
  <c r="V806" i="4" s="1"/>
  <c r="V807" i="4" a="1"/>
  <c r="V807" i="4"/>
  <c r="V808" i="4" a="1"/>
  <c r="V808" i="4"/>
  <c r="V809" i="4" a="1"/>
  <c r="V809" i="4" s="1"/>
  <c r="V810" i="4" a="1"/>
  <c r="V810" i="4" s="1"/>
  <c r="V811" i="4" a="1"/>
  <c r="V811" i="4"/>
  <c r="V812" i="4" a="1"/>
  <c r="V812" i="4"/>
  <c r="V813" i="4" a="1"/>
  <c r="V813" i="4" s="1"/>
  <c r="V814" i="4" a="1"/>
  <c r="V814" i="4" s="1"/>
  <c r="V815" i="4" a="1"/>
  <c r="V815" i="4"/>
  <c r="V816" i="4" a="1"/>
  <c r="V816" i="4"/>
  <c r="V817" i="4" a="1"/>
  <c r="V817" i="4" s="1"/>
  <c r="V818" i="4" a="1"/>
  <c r="V818" i="4" s="1"/>
  <c r="V819" i="4" a="1"/>
  <c r="V819" i="4"/>
  <c r="V820" i="4" a="1"/>
  <c r="V820" i="4"/>
  <c r="V821" i="4" a="1"/>
  <c r="V821" i="4" s="1"/>
  <c r="V822" i="4" a="1"/>
  <c r="V822" i="4" s="1"/>
  <c r="V823" i="4" a="1"/>
  <c r="V823" i="4"/>
  <c r="V824" i="4" a="1"/>
  <c r="V824" i="4"/>
  <c r="V825" i="4" a="1"/>
  <c r="V825" i="4" s="1"/>
  <c r="V826" i="4" a="1"/>
  <c r="V826" i="4" s="1"/>
  <c r="V827" i="4" a="1"/>
  <c r="V827" i="4"/>
  <c r="V828" i="4" a="1"/>
  <c r="V828" i="4"/>
  <c r="V829" i="4" a="1"/>
  <c r="V829" i="4" s="1"/>
  <c r="V830" i="4" a="1"/>
  <c r="V830" i="4" s="1"/>
  <c r="V831" i="4" a="1"/>
  <c r="V831" i="4"/>
  <c r="V832" i="4" a="1"/>
  <c r="V832" i="4"/>
  <c r="V833" i="4" a="1"/>
  <c r="V833" i="4" s="1"/>
  <c r="V834" i="4" a="1"/>
  <c r="V834" i="4" s="1"/>
  <c r="V835" i="4" a="1"/>
  <c r="V835" i="4"/>
  <c r="V836" i="4" a="1"/>
  <c r="V836" i="4"/>
  <c r="V837" i="4" a="1"/>
  <c r="V837" i="4" s="1"/>
  <c r="V838" i="4" a="1"/>
  <c r="V838" i="4" s="1"/>
  <c r="V839" i="4" a="1"/>
  <c r="V839" i="4"/>
  <c r="V840" i="4" a="1"/>
  <c r="V840" i="4"/>
  <c r="V841" i="4" a="1"/>
  <c r="V841" i="4" s="1"/>
  <c r="V842" i="4" a="1"/>
  <c r="V842" i="4" s="1"/>
  <c r="V843" i="4" a="1"/>
  <c r="V843" i="4"/>
  <c r="V844" i="4" a="1"/>
  <c r="V844" i="4"/>
  <c r="V845" i="4" a="1"/>
  <c r="V845" i="4" s="1"/>
  <c r="V846" i="4" a="1"/>
  <c r="V846" i="4" s="1"/>
  <c r="V847" i="4" a="1"/>
  <c r="V847" i="4"/>
  <c r="V848" i="4" a="1"/>
  <c r="V848" i="4"/>
  <c r="V849" i="4" a="1"/>
  <c r="V849" i="4" s="1"/>
  <c r="V850" i="4" a="1"/>
  <c r="V850" i="4" s="1"/>
  <c r="V851" i="4" a="1"/>
  <c r="V851" i="4"/>
  <c r="V852" i="4" a="1"/>
  <c r="V852" i="4"/>
  <c r="V853" i="4" a="1"/>
  <c r="V853" i="4" s="1"/>
  <c r="V854" i="4" a="1"/>
  <c r="V854" i="4" s="1"/>
  <c r="V855" i="4" a="1"/>
  <c r="V855" i="4"/>
  <c r="V856" i="4" a="1"/>
  <c r="V856" i="4"/>
  <c r="V857" i="4" a="1"/>
  <c r="V857" i="4" s="1"/>
  <c r="V858" i="4" a="1"/>
  <c r="V858" i="4" s="1"/>
  <c r="V859" i="4" a="1"/>
  <c r="V859" i="4"/>
  <c r="V860" i="4" a="1"/>
  <c r="V860" i="4"/>
  <c r="V861" i="4" a="1"/>
  <c r="V861" i="4" s="1"/>
  <c r="V862" i="4" a="1"/>
  <c r="V862" i="4" s="1"/>
  <c r="V863" i="4" a="1"/>
  <c r="V863" i="4"/>
  <c r="V864" i="4" a="1"/>
  <c r="V864" i="4"/>
  <c r="V865" i="4" a="1"/>
  <c r="V865" i="4" s="1"/>
  <c r="V866" i="4" a="1"/>
  <c r="V866" i="4" s="1"/>
  <c r="V867" i="4" a="1"/>
  <c r="V867" i="4"/>
  <c r="V868" i="4" a="1"/>
  <c r="V868" i="4"/>
  <c r="V869" i="4" a="1"/>
  <c r="V869" i="4" s="1"/>
  <c r="V870" i="4" a="1"/>
  <c r="V870" i="4" s="1"/>
  <c r="V871" i="4" a="1"/>
  <c r="V871" i="4"/>
  <c r="V872" i="4" a="1"/>
  <c r="V872" i="4"/>
  <c r="V873" i="4" a="1"/>
  <c r="V873" i="4" s="1"/>
  <c r="V874" i="4" a="1"/>
  <c r="V874" i="4" s="1"/>
  <c r="V875" i="4" a="1"/>
  <c r="V875" i="4"/>
  <c r="V876" i="4" a="1"/>
  <c r="V876" i="4"/>
  <c r="V877" i="4" a="1"/>
  <c r="V877" i="4" s="1"/>
  <c r="V878" i="4" a="1"/>
  <c r="V878" i="4" s="1"/>
  <c r="V879" i="4" a="1"/>
  <c r="V879" i="4"/>
  <c r="V880" i="4" a="1"/>
  <c r="V880" i="4"/>
  <c r="V881" i="4" a="1"/>
  <c r="V881" i="4" s="1"/>
  <c r="V882" i="4" a="1"/>
  <c r="V882" i="4" s="1"/>
  <c r="V883" i="4" a="1"/>
  <c r="V883" i="4"/>
  <c r="V884" i="4" a="1"/>
  <c r="V884" i="4"/>
  <c r="V885" i="4" a="1"/>
  <c r="V885" i="4" s="1"/>
  <c r="V886" i="4" a="1"/>
  <c r="V886" i="4" s="1"/>
  <c r="V887" i="4" a="1"/>
  <c r="V887" i="4"/>
  <c r="V888" i="4" a="1"/>
  <c r="V888" i="4"/>
  <c r="V889" i="4" a="1"/>
  <c r="V889" i="4" s="1"/>
  <c r="V890" i="4" a="1"/>
  <c r="V890" i="4" s="1"/>
  <c r="V891" i="4" a="1"/>
  <c r="V891" i="4"/>
  <c r="V892" i="4" a="1"/>
  <c r="V892" i="4"/>
  <c r="V893" i="4" a="1"/>
  <c r="V893" i="4" s="1"/>
  <c r="V894" i="4" a="1"/>
  <c r="V894" i="4" s="1"/>
  <c r="V895" i="4" a="1"/>
  <c r="V895" i="4"/>
  <c r="V896" i="4" a="1"/>
  <c r="V896" i="4"/>
  <c r="V897" i="4" a="1"/>
  <c r="V897" i="4" s="1"/>
  <c r="V898" i="4" a="1"/>
  <c r="V898" i="4" s="1"/>
  <c r="V899" i="4" a="1"/>
  <c r="V899" i="4"/>
  <c r="V900" i="4" a="1"/>
  <c r="V900" i="4"/>
  <c r="V901" i="4" a="1"/>
  <c r="V901" i="4" s="1"/>
  <c r="V902" i="4" a="1"/>
  <c r="V902" i="4" s="1"/>
  <c r="V903" i="4" a="1"/>
  <c r="V903" i="4"/>
  <c r="V904" i="4" a="1"/>
  <c r="V904" i="4"/>
  <c r="V905" i="4" a="1"/>
  <c r="V905" i="4" s="1"/>
  <c r="V906" i="4" a="1"/>
  <c r="V906" i="4" s="1"/>
  <c r="V907" i="4" a="1"/>
  <c r="V907" i="4"/>
  <c r="V908" i="4" a="1"/>
  <c r="V908" i="4"/>
  <c r="V909" i="4" a="1"/>
  <c r="V909" i="4" s="1"/>
  <c r="V910" i="4" a="1"/>
  <c r="V910" i="4" s="1"/>
  <c r="V911" i="4" a="1"/>
  <c r="V911" i="4"/>
  <c r="V912" i="4" a="1"/>
  <c r="V912" i="4"/>
  <c r="V913" i="4" a="1"/>
  <c r="V913" i="4" s="1"/>
  <c r="V914" i="4" a="1"/>
  <c r="V914" i="4" s="1"/>
  <c r="V915" i="4" a="1"/>
  <c r="V915" i="4"/>
  <c r="V916" i="4" a="1"/>
  <c r="V916" i="4"/>
  <c r="V917" i="4" a="1"/>
  <c r="V917" i="4" s="1"/>
  <c r="V918" i="4" a="1"/>
  <c r="V918" i="4" s="1"/>
  <c r="V919" i="4" a="1"/>
  <c r="V919" i="4"/>
  <c r="V920" i="4" a="1"/>
  <c r="V920" i="4"/>
  <c r="V921" i="4" a="1"/>
  <c r="V921" i="4" s="1"/>
  <c r="V922" i="4" a="1"/>
  <c r="V922" i="4" s="1"/>
  <c r="V923" i="4" a="1"/>
  <c r="V923" i="4"/>
  <c r="V924" i="4" a="1"/>
  <c r="V924" i="4"/>
  <c r="V925" i="4" a="1"/>
  <c r="V925" i="4" s="1"/>
  <c r="V926" i="4" a="1"/>
  <c r="V926" i="4" s="1"/>
  <c r="V927" i="4" a="1"/>
  <c r="V927" i="4"/>
  <c r="V928" i="4" a="1"/>
  <c r="V928" i="4"/>
  <c r="V929" i="4" a="1"/>
  <c r="V929" i="4" s="1"/>
  <c r="V930" i="4" a="1"/>
  <c r="V930" i="4" s="1"/>
  <c r="V931" i="4" a="1"/>
  <c r="V931" i="4"/>
  <c r="V932" i="4" a="1"/>
  <c r="V932" i="4"/>
  <c r="V933" i="4" a="1"/>
  <c r="V933" i="4" s="1"/>
  <c r="V934" i="4" a="1"/>
  <c r="V934" i="4" s="1"/>
  <c r="V935" i="4" a="1"/>
  <c r="V935" i="4"/>
  <c r="V936" i="4" a="1"/>
  <c r="V936" i="4"/>
  <c r="V937" i="4" a="1"/>
  <c r="V937" i="4" s="1"/>
  <c r="V938" i="4" a="1"/>
  <c r="V938" i="4" s="1"/>
  <c r="V939" i="4" a="1"/>
  <c r="V939" i="4"/>
  <c r="V940" i="4" a="1"/>
  <c r="V940" i="4"/>
  <c r="V941" i="4" a="1"/>
  <c r="V941" i="4" s="1"/>
  <c r="V942" i="4" a="1"/>
  <c r="V942" i="4" s="1"/>
  <c r="V943" i="4" a="1"/>
  <c r="V943" i="4"/>
  <c r="V944" i="4" a="1"/>
  <c r="V944" i="4"/>
  <c r="V945" i="4" a="1"/>
  <c r="V945" i="4" s="1"/>
  <c r="V946" i="4" a="1"/>
  <c r="V946" i="4" s="1"/>
  <c r="V947" i="4" a="1"/>
  <c r="V947" i="4"/>
  <c r="V948" i="4" a="1"/>
  <c r="V948" i="4"/>
  <c r="V949" i="4" a="1"/>
  <c r="V949" i="4" s="1"/>
  <c r="V950" i="4" a="1"/>
  <c r="V950" i="4" s="1"/>
  <c r="V951" i="4" a="1"/>
  <c r="V951" i="4"/>
  <c r="R6" i="4"/>
  <c r="R7" i="4"/>
  <c r="R8" i="4"/>
  <c r="R9" i="4"/>
  <c r="S9" i="4" s="1"/>
  <c r="R10" i="4"/>
  <c r="S10" i="4" s="1"/>
  <c r="R11" i="4"/>
  <c r="S11" i="4" s="1"/>
  <c r="R12" i="4"/>
  <c r="S12" i="4" s="1"/>
  <c r="R13" i="4"/>
  <c r="S13" i="4" s="1"/>
  <c r="R14" i="4"/>
  <c r="R15" i="4"/>
  <c r="R16" i="4"/>
  <c r="R17" i="4"/>
  <c r="S17" i="4" s="1"/>
  <c r="R18" i="4"/>
  <c r="S18" i="4" s="1"/>
  <c r="R19" i="4"/>
  <c r="S19" i="4" s="1"/>
  <c r="R20" i="4"/>
  <c r="S20" i="4" s="1"/>
  <c r="R21" i="4"/>
  <c r="S21" i="4" s="1"/>
  <c r="R22" i="4"/>
  <c r="R23" i="4"/>
  <c r="R24" i="4"/>
  <c r="R25" i="4"/>
  <c r="S25" i="4" s="1"/>
  <c r="R26" i="4"/>
  <c r="S26" i="4" s="1"/>
  <c r="R27" i="4"/>
  <c r="S27" i="4" s="1"/>
  <c r="R28" i="4"/>
  <c r="S28" i="4" s="1"/>
  <c r="R29" i="4"/>
  <c r="S29" i="4" s="1"/>
  <c r="R30" i="4"/>
  <c r="R31" i="4"/>
  <c r="R32" i="4"/>
  <c r="R33" i="4"/>
  <c r="S33" i="4" s="1"/>
  <c r="R34" i="4"/>
  <c r="S34" i="4" s="1"/>
  <c r="R35" i="4"/>
  <c r="S35" i="4" s="1"/>
  <c r="R36" i="4"/>
  <c r="R37" i="4"/>
  <c r="R38" i="4"/>
  <c r="R39" i="4"/>
  <c r="R40" i="4"/>
  <c r="R41" i="4"/>
  <c r="S41" i="4" s="1"/>
  <c r="R42" i="4"/>
  <c r="S42" i="4" s="1"/>
  <c r="R43" i="4"/>
  <c r="S43" i="4" s="1"/>
  <c r="R44" i="4"/>
  <c r="S44" i="4" s="1"/>
  <c r="R45" i="4"/>
  <c r="S45" i="4" s="1"/>
  <c r="R46" i="4"/>
  <c r="R47" i="4"/>
  <c r="R48" i="4"/>
  <c r="R49" i="4"/>
  <c r="S49" i="4" s="1"/>
  <c r="R50" i="4"/>
  <c r="S50" i="4" s="1"/>
  <c r="R51" i="4"/>
  <c r="R52" i="4"/>
  <c r="S52" i="4" s="1"/>
  <c r="R53" i="4"/>
  <c r="S53" i="4" s="1"/>
  <c r="R54" i="4"/>
  <c r="R55" i="4"/>
  <c r="R56" i="4"/>
  <c r="R57" i="4"/>
  <c r="S57" i="4" s="1"/>
  <c r="R58" i="4"/>
  <c r="S58" i="4" s="1"/>
  <c r="R59" i="4"/>
  <c r="S59" i="4" s="1"/>
  <c r="R60" i="4"/>
  <c r="S60" i="4" s="1"/>
  <c r="R61" i="4"/>
  <c r="S61" i="4" s="1"/>
  <c r="R62" i="4"/>
  <c r="R63" i="4"/>
  <c r="R64" i="4"/>
  <c r="R65" i="4"/>
  <c r="S65" i="4" s="1"/>
  <c r="R66" i="4"/>
  <c r="S66" i="4" s="1"/>
  <c r="R67" i="4"/>
  <c r="S67" i="4" s="1"/>
  <c r="R68" i="4"/>
  <c r="S68" i="4" s="1"/>
  <c r="R69" i="4"/>
  <c r="S69" i="4" s="1"/>
  <c r="R70" i="4"/>
  <c r="R71" i="4"/>
  <c r="R72" i="4"/>
  <c r="R73" i="4"/>
  <c r="S73" i="4" s="1"/>
  <c r="R74" i="4"/>
  <c r="S74" i="4" s="1"/>
  <c r="R75" i="4"/>
  <c r="S75" i="4" s="1"/>
  <c r="R76" i="4"/>
  <c r="S76" i="4" s="1"/>
  <c r="R77" i="4"/>
  <c r="S77" i="4" s="1"/>
  <c r="R78" i="4"/>
  <c r="R79" i="4"/>
  <c r="R80" i="4"/>
  <c r="R81" i="4"/>
  <c r="S81" i="4" s="1"/>
  <c r="R82" i="4"/>
  <c r="S82" i="4" s="1"/>
  <c r="R83" i="4"/>
  <c r="S83" i="4" s="1"/>
  <c r="R84" i="4"/>
  <c r="S84" i="4" s="1"/>
  <c r="R85" i="4"/>
  <c r="S85" i="4" s="1"/>
  <c r="R86" i="4"/>
  <c r="R87" i="4"/>
  <c r="R88" i="4"/>
  <c r="R89" i="4"/>
  <c r="S89" i="4" s="1"/>
  <c r="R90" i="4"/>
  <c r="S90" i="4" s="1"/>
  <c r="R91" i="4"/>
  <c r="S91" i="4" s="1"/>
  <c r="R92" i="4"/>
  <c r="S92" i="4" s="1"/>
  <c r="R93" i="4"/>
  <c r="S93" i="4" s="1"/>
  <c r="R94" i="4"/>
  <c r="R95" i="4"/>
  <c r="R96" i="4"/>
  <c r="R97" i="4"/>
  <c r="S97" i="4" s="1"/>
  <c r="R98" i="4"/>
  <c r="S98" i="4" s="1"/>
  <c r="R99" i="4"/>
  <c r="S99" i="4" s="1"/>
  <c r="R100" i="4"/>
  <c r="S100" i="4" s="1"/>
  <c r="R101" i="4"/>
  <c r="S101" i="4" s="1"/>
  <c r="R102" i="4"/>
  <c r="R103" i="4"/>
  <c r="R104" i="4"/>
  <c r="R105" i="4"/>
  <c r="S105" i="4" s="1"/>
  <c r="R106" i="4"/>
  <c r="S106" i="4" s="1"/>
  <c r="R107" i="4"/>
  <c r="S107" i="4" s="1"/>
  <c r="R108" i="4"/>
  <c r="S108" i="4" s="1"/>
  <c r="R109" i="4"/>
  <c r="S109" i="4" s="1"/>
  <c r="R110" i="4"/>
  <c r="R111" i="4"/>
  <c r="R112" i="4"/>
  <c r="R113" i="4"/>
  <c r="S113" i="4" s="1"/>
  <c r="R114" i="4"/>
  <c r="S114" i="4" s="1"/>
  <c r="R115" i="4"/>
  <c r="S115" i="4" s="1"/>
  <c r="R116" i="4"/>
  <c r="S116" i="4" s="1"/>
  <c r="R117" i="4"/>
  <c r="S117" i="4" s="1"/>
  <c r="R118" i="4"/>
  <c r="R119" i="4"/>
  <c r="R120" i="4"/>
  <c r="R121" i="4"/>
  <c r="S121" i="4" s="1"/>
  <c r="R122" i="4"/>
  <c r="S122" i="4" s="1"/>
  <c r="R123" i="4"/>
  <c r="R124" i="4"/>
  <c r="R125" i="4"/>
  <c r="S125" i="4" s="1"/>
  <c r="R126" i="4"/>
  <c r="R127" i="4"/>
  <c r="R128" i="4"/>
  <c r="R129" i="4"/>
  <c r="S129" i="4" s="1"/>
  <c r="R130" i="4"/>
  <c r="S130" i="4" s="1"/>
  <c r="R131" i="4"/>
  <c r="S131" i="4" s="1"/>
  <c r="R132" i="4"/>
  <c r="S132" i="4" s="1"/>
  <c r="R133" i="4"/>
  <c r="S133" i="4" s="1"/>
  <c r="R134" i="4"/>
  <c r="R135" i="4"/>
  <c r="R136" i="4"/>
  <c r="R137" i="4"/>
  <c r="S137" i="4" s="1"/>
  <c r="R138" i="4"/>
  <c r="S138" i="4" s="1"/>
  <c r="R139" i="4"/>
  <c r="S139" i="4" s="1"/>
  <c r="R140" i="4"/>
  <c r="S140" i="4" s="1"/>
  <c r="R141" i="4"/>
  <c r="S141" i="4" s="1"/>
  <c r="R142" i="4"/>
  <c r="R143" i="4"/>
  <c r="R144" i="4"/>
  <c r="R145" i="4"/>
  <c r="S145" i="4" s="1"/>
  <c r="R146" i="4"/>
  <c r="S146" i="4" s="1"/>
  <c r="R147" i="4"/>
  <c r="S147" i="4" s="1"/>
  <c r="R148" i="4"/>
  <c r="S148" i="4" s="1"/>
  <c r="R149" i="4"/>
  <c r="S149" i="4" s="1"/>
  <c r="R150" i="4"/>
  <c r="R151" i="4"/>
  <c r="R152" i="4"/>
  <c r="R153" i="4"/>
  <c r="S153" i="4" s="1"/>
  <c r="R154" i="4"/>
  <c r="S154" i="4" s="1"/>
  <c r="R155" i="4"/>
  <c r="S155" i="4" s="1"/>
  <c r="R156" i="4"/>
  <c r="S156" i="4" s="1"/>
  <c r="R157" i="4"/>
  <c r="S157" i="4" s="1"/>
  <c r="R158" i="4"/>
  <c r="R159" i="4"/>
  <c r="R160" i="4"/>
  <c r="R161" i="4"/>
  <c r="S161" i="4" s="1"/>
  <c r="R162" i="4"/>
  <c r="S162" i="4" s="1"/>
  <c r="R163" i="4"/>
  <c r="S163" i="4" s="1"/>
  <c r="R164" i="4"/>
  <c r="R165" i="4"/>
  <c r="R166" i="4"/>
  <c r="R167" i="4"/>
  <c r="R168" i="4"/>
  <c r="R169" i="4"/>
  <c r="S169" i="4" s="1"/>
  <c r="R170" i="4"/>
  <c r="S170" i="4" s="1"/>
  <c r="R171" i="4"/>
  <c r="S171" i="4" s="1"/>
  <c r="R172" i="4"/>
  <c r="S172" i="4" s="1"/>
  <c r="R173" i="4"/>
  <c r="S173" i="4" s="1"/>
  <c r="R174" i="4"/>
  <c r="R175" i="4"/>
  <c r="R176" i="4"/>
  <c r="R177" i="4"/>
  <c r="S177" i="4" s="1"/>
  <c r="R178" i="4"/>
  <c r="S178" i="4" s="1"/>
  <c r="R179" i="4"/>
  <c r="R180" i="4"/>
  <c r="S180" i="4" s="1"/>
  <c r="R181" i="4"/>
  <c r="S181" i="4" s="1"/>
  <c r="R182" i="4"/>
  <c r="R183" i="4"/>
  <c r="R184" i="4"/>
  <c r="R185" i="4"/>
  <c r="S185" i="4" s="1"/>
  <c r="R186" i="4"/>
  <c r="S186" i="4" s="1"/>
  <c r="R187" i="4"/>
  <c r="S187" i="4" s="1"/>
  <c r="R188" i="4"/>
  <c r="S188" i="4" s="1"/>
  <c r="R189" i="4"/>
  <c r="S189" i="4" s="1"/>
  <c r="R190" i="4"/>
  <c r="R191" i="4"/>
  <c r="R192" i="4"/>
  <c r="R193" i="4"/>
  <c r="S193" i="4" s="1"/>
  <c r="R194" i="4"/>
  <c r="S194" i="4" s="1"/>
  <c r="R195" i="4"/>
  <c r="S195" i="4" s="1"/>
  <c r="R196" i="4"/>
  <c r="S196" i="4" s="1"/>
  <c r="R197" i="4"/>
  <c r="S197" i="4" s="1"/>
  <c r="R198" i="4"/>
  <c r="R199" i="4"/>
  <c r="R200" i="4"/>
  <c r="R201" i="4"/>
  <c r="S201" i="4" s="1"/>
  <c r="R202" i="4"/>
  <c r="S202" i="4" s="1"/>
  <c r="R203" i="4"/>
  <c r="S203" i="4" s="1"/>
  <c r="R204" i="4"/>
  <c r="S204" i="4" s="1"/>
  <c r="R205" i="4"/>
  <c r="S205" i="4" s="1"/>
  <c r="R206" i="4"/>
  <c r="R207" i="4"/>
  <c r="R208" i="4"/>
  <c r="R209" i="4"/>
  <c r="S209" i="4" s="1"/>
  <c r="R210" i="4"/>
  <c r="S210" i="4" s="1"/>
  <c r="R211" i="4"/>
  <c r="S211" i="4" s="1"/>
  <c r="R212" i="4"/>
  <c r="S212" i="4" s="1"/>
  <c r="R213" i="4"/>
  <c r="S213" i="4" s="1"/>
  <c r="R214" i="4"/>
  <c r="R215" i="4"/>
  <c r="R216" i="4"/>
  <c r="R217" i="4"/>
  <c r="S217" i="4" s="1"/>
  <c r="R218" i="4"/>
  <c r="S218" i="4" s="1"/>
  <c r="R219" i="4"/>
  <c r="S219" i="4" s="1"/>
  <c r="R220" i="4"/>
  <c r="S220" i="4" s="1"/>
  <c r="R221" i="4"/>
  <c r="S221" i="4" s="1"/>
  <c r="R222" i="4"/>
  <c r="R223" i="4"/>
  <c r="R224" i="4"/>
  <c r="R225" i="4"/>
  <c r="S225" i="4" s="1"/>
  <c r="R226" i="4"/>
  <c r="S226" i="4" s="1"/>
  <c r="R227" i="4"/>
  <c r="S227" i="4" s="1"/>
  <c r="R228" i="4"/>
  <c r="S228" i="4" s="1"/>
  <c r="R229" i="4"/>
  <c r="S229" i="4" s="1"/>
  <c r="R230" i="4"/>
  <c r="R231" i="4"/>
  <c r="R232" i="4"/>
  <c r="R233" i="4"/>
  <c r="S233" i="4" s="1"/>
  <c r="R234" i="4"/>
  <c r="S234" i="4" s="1"/>
  <c r="R235" i="4"/>
  <c r="S235" i="4" s="1"/>
  <c r="R236" i="4"/>
  <c r="S236" i="4" s="1"/>
  <c r="R237" i="4"/>
  <c r="S237" i="4" s="1"/>
  <c r="R238" i="4"/>
  <c r="R239" i="4"/>
  <c r="R240" i="4"/>
  <c r="R241" i="4"/>
  <c r="S241" i="4" s="1"/>
  <c r="R242" i="4"/>
  <c r="S242" i="4" s="1"/>
  <c r="R243" i="4"/>
  <c r="S243" i="4" s="1"/>
  <c r="R244" i="4"/>
  <c r="S244" i="4" s="1"/>
  <c r="R245" i="4"/>
  <c r="S245" i="4" s="1"/>
  <c r="R246" i="4"/>
  <c r="R247" i="4"/>
  <c r="R248" i="4"/>
  <c r="R249" i="4"/>
  <c r="S249" i="4" s="1"/>
  <c r="R250" i="4"/>
  <c r="S250" i="4" s="1"/>
  <c r="R251" i="4"/>
  <c r="R252" i="4"/>
  <c r="R253" i="4"/>
  <c r="S253" i="4" s="1"/>
  <c r="R254" i="4"/>
  <c r="R255" i="4"/>
  <c r="R256" i="4"/>
  <c r="R257" i="4"/>
  <c r="R258" i="4"/>
  <c r="S258" i="4" s="1"/>
  <c r="R259" i="4"/>
  <c r="R260" i="4"/>
  <c r="R261" i="4"/>
  <c r="R262" i="4"/>
  <c r="R263" i="4"/>
  <c r="R264" i="4"/>
  <c r="R265" i="4"/>
  <c r="S265" i="4" s="1"/>
  <c r="R266" i="4"/>
  <c r="S266" i="4" s="1"/>
  <c r="R267" i="4"/>
  <c r="S267" i="4" s="1"/>
  <c r="R268" i="4"/>
  <c r="S268" i="4" s="1"/>
  <c r="R269" i="4"/>
  <c r="S269" i="4" s="1"/>
  <c r="R270" i="4"/>
  <c r="R271" i="4"/>
  <c r="R272" i="4"/>
  <c r="R273" i="4"/>
  <c r="S273" i="4" s="1"/>
  <c r="R274" i="4"/>
  <c r="S274" i="4" s="1"/>
  <c r="R275" i="4"/>
  <c r="S275" i="4" s="1"/>
  <c r="R276" i="4"/>
  <c r="S276" i="4" s="1"/>
  <c r="R277" i="4"/>
  <c r="S277" i="4" s="1"/>
  <c r="R278" i="4"/>
  <c r="R279" i="4"/>
  <c r="R280" i="4"/>
  <c r="R281" i="4"/>
  <c r="S281" i="4" s="1"/>
  <c r="R282" i="4"/>
  <c r="S282" i="4" s="1"/>
  <c r="R283" i="4"/>
  <c r="S283" i="4" s="1"/>
  <c r="R284" i="4"/>
  <c r="S284" i="4" s="1"/>
  <c r="R285" i="4"/>
  <c r="S285" i="4" s="1"/>
  <c r="R286" i="4"/>
  <c r="R287" i="4"/>
  <c r="R288" i="4"/>
  <c r="R289" i="4"/>
  <c r="R290" i="4"/>
  <c r="S290" i="4" s="1"/>
  <c r="R291" i="4"/>
  <c r="S291" i="4" s="1"/>
  <c r="R292" i="4"/>
  <c r="S292" i="4" s="1"/>
  <c r="R293" i="4"/>
  <c r="S293" i="4" s="1"/>
  <c r="R294" i="4"/>
  <c r="R295" i="4"/>
  <c r="R296" i="4"/>
  <c r="R297" i="4"/>
  <c r="R298" i="4"/>
  <c r="S298" i="4" s="1"/>
  <c r="R299" i="4"/>
  <c r="S299" i="4" s="1"/>
  <c r="R300" i="4"/>
  <c r="S300" i="4" s="1"/>
  <c r="R301" i="4"/>
  <c r="S301" i="4" s="1"/>
  <c r="R302" i="4"/>
  <c r="R303" i="4"/>
  <c r="R304" i="4"/>
  <c r="R305" i="4"/>
  <c r="R306" i="4"/>
  <c r="S306" i="4" s="1"/>
  <c r="R307" i="4"/>
  <c r="S307" i="4" s="1"/>
  <c r="R308" i="4"/>
  <c r="S308" i="4" s="1"/>
  <c r="R309" i="4"/>
  <c r="S309" i="4" s="1"/>
  <c r="R310" i="4"/>
  <c r="R311" i="4"/>
  <c r="R312" i="4"/>
  <c r="R313" i="4"/>
  <c r="R314" i="4"/>
  <c r="S314" i="4" s="1"/>
  <c r="R315" i="4"/>
  <c r="R316" i="4"/>
  <c r="S316" i="4" s="1"/>
  <c r="R317" i="4"/>
  <c r="S317" i="4" s="1"/>
  <c r="R318" i="4"/>
  <c r="R319" i="4"/>
  <c r="R320" i="4"/>
  <c r="R321" i="4"/>
  <c r="R322" i="4"/>
  <c r="S322" i="4" s="1"/>
  <c r="R323" i="4"/>
  <c r="R324" i="4"/>
  <c r="R325" i="4"/>
  <c r="S325" i="4" s="1"/>
  <c r="R326" i="4"/>
  <c r="R327" i="4"/>
  <c r="R328" i="4"/>
  <c r="R329" i="4"/>
  <c r="S329" i="4" s="1"/>
  <c r="R330" i="4"/>
  <c r="S330" i="4" s="1"/>
  <c r="R331" i="4"/>
  <c r="S331" i="4" s="1"/>
  <c r="R332" i="4"/>
  <c r="S332" i="4" s="1"/>
  <c r="R333" i="4"/>
  <c r="S333" i="4" s="1"/>
  <c r="R334" i="4"/>
  <c r="R335" i="4"/>
  <c r="R336" i="4"/>
  <c r="R337" i="4"/>
  <c r="S337" i="4" s="1"/>
  <c r="R338" i="4"/>
  <c r="S338" i="4" s="1"/>
  <c r="R339" i="4"/>
  <c r="S339" i="4" s="1"/>
  <c r="R340" i="4"/>
  <c r="S340" i="4" s="1"/>
  <c r="R341" i="4"/>
  <c r="S341" i="4" s="1"/>
  <c r="R342" i="4"/>
  <c r="R343" i="4"/>
  <c r="R344" i="4"/>
  <c r="R345" i="4"/>
  <c r="S345" i="4" s="1"/>
  <c r="R346" i="4"/>
  <c r="S346" i="4" s="1"/>
  <c r="R347" i="4"/>
  <c r="S347" i="4" s="1"/>
  <c r="R348" i="4"/>
  <c r="S348" i="4" s="1"/>
  <c r="R349" i="4"/>
  <c r="R350" i="4"/>
  <c r="R351" i="4"/>
  <c r="R352" i="4"/>
  <c r="R353" i="4"/>
  <c r="R354" i="4"/>
  <c r="S354" i="4" s="1"/>
  <c r="R355" i="4"/>
  <c r="S355" i="4" s="1"/>
  <c r="R356" i="4"/>
  <c r="S356" i="4" s="1"/>
  <c r="R357" i="4"/>
  <c r="S357" i="4" s="1"/>
  <c r="R358" i="4"/>
  <c r="R359" i="4"/>
  <c r="R360" i="4"/>
  <c r="R361" i="4"/>
  <c r="R362" i="4"/>
  <c r="S362" i="4" s="1"/>
  <c r="R363" i="4"/>
  <c r="S363" i="4" s="1"/>
  <c r="R364" i="4"/>
  <c r="S364" i="4" s="1"/>
  <c r="R365" i="4"/>
  <c r="S365" i="4" s="1"/>
  <c r="R366" i="4"/>
  <c r="R367" i="4"/>
  <c r="R368" i="4"/>
  <c r="R369" i="4"/>
  <c r="R370" i="4"/>
  <c r="S370" i="4" s="1"/>
  <c r="R371" i="4"/>
  <c r="R372" i="4"/>
  <c r="R373" i="4"/>
  <c r="S373" i="4" s="1"/>
  <c r="R374" i="4"/>
  <c r="R375" i="4"/>
  <c r="R376" i="4"/>
  <c r="R377" i="4"/>
  <c r="R378" i="4"/>
  <c r="S378" i="4" s="1"/>
  <c r="R379" i="4"/>
  <c r="S379" i="4" s="1"/>
  <c r="R380" i="4"/>
  <c r="S380" i="4" s="1"/>
  <c r="R381" i="4"/>
  <c r="S381" i="4" s="1"/>
  <c r="R382" i="4"/>
  <c r="R383" i="4"/>
  <c r="R384" i="4"/>
  <c r="R385" i="4"/>
  <c r="R386" i="4"/>
  <c r="S386" i="4" s="1"/>
  <c r="R387" i="4"/>
  <c r="S387" i="4" s="1"/>
  <c r="R388" i="4"/>
  <c r="S388" i="4" s="1"/>
  <c r="R389" i="4"/>
  <c r="S389" i="4" s="1"/>
  <c r="R390" i="4"/>
  <c r="R391" i="4"/>
  <c r="R392" i="4"/>
  <c r="R393" i="4"/>
  <c r="S393" i="4" s="1"/>
  <c r="R394" i="4"/>
  <c r="S394" i="4" s="1"/>
  <c r="R395" i="4"/>
  <c r="S395" i="4" s="1"/>
  <c r="R396" i="4"/>
  <c r="S396" i="4" s="1"/>
  <c r="R397" i="4"/>
  <c r="S397" i="4" s="1"/>
  <c r="R398" i="4"/>
  <c r="R399" i="4"/>
  <c r="R400" i="4"/>
  <c r="R401" i="4"/>
  <c r="S401" i="4" s="1"/>
  <c r="R402" i="4"/>
  <c r="S402" i="4" s="1"/>
  <c r="R403" i="4"/>
  <c r="S403" i="4" s="1"/>
  <c r="R404" i="4"/>
  <c r="R405" i="4"/>
  <c r="R406" i="4"/>
  <c r="R407" i="4"/>
  <c r="R408" i="4"/>
  <c r="R409" i="4"/>
  <c r="S409" i="4" s="1"/>
  <c r="R410" i="4"/>
  <c r="S410" i="4" s="1"/>
  <c r="R411" i="4"/>
  <c r="S411" i="4" s="1"/>
  <c r="R412" i="4"/>
  <c r="S412" i="4" s="1"/>
  <c r="R413" i="4"/>
  <c r="S413" i="4" s="1"/>
  <c r="R414" i="4"/>
  <c r="R415" i="4"/>
  <c r="R416" i="4"/>
  <c r="R417" i="4"/>
  <c r="R418" i="4"/>
  <c r="S418" i="4" s="1"/>
  <c r="R419" i="4"/>
  <c r="S419" i="4" s="1"/>
  <c r="R420" i="4"/>
  <c r="S420" i="4" s="1"/>
  <c r="R421" i="4"/>
  <c r="S421" i="4" s="1"/>
  <c r="R422" i="4"/>
  <c r="R423" i="4"/>
  <c r="R424" i="4"/>
  <c r="R425" i="4"/>
  <c r="R426" i="4"/>
  <c r="S426" i="4" s="1"/>
  <c r="R427" i="4"/>
  <c r="S427" i="4" s="1"/>
  <c r="R428" i="4"/>
  <c r="S428" i="4" s="1"/>
  <c r="R429" i="4"/>
  <c r="S429" i="4" s="1"/>
  <c r="R430" i="4"/>
  <c r="R431" i="4"/>
  <c r="R432" i="4"/>
  <c r="R433" i="4"/>
  <c r="R434" i="4"/>
  <c r="S434" i="4" s="1"/>
  <c r="R435" i="4"/>
  <c r="S435" i="4" s="1"/>
  <c r="R436" i="4"/>
  <c r="S436" i="4" s="1"/>
  <c r="R437" i="4"/>
  <c r="S437" i="4" s="1"/>
  <c r="R438" i="4"/>
  <c r="R439" i="4"/>
  <c r="R440" i="4"/>
  <c r="R441" i="4"/>
  <c r="R442" i="4"/>
  <c r="S442" i="4" s="1"/>
  <c r="R443" i="4"/>
  <c r="R444" i="4"/>
  <c r="S444" i="4" s="1"/>
  <c r="R445" i="4"/>
  <c r="S445" i="4" s="1"/>
  <c r="R446" i="4"/>
  <c r="R447" i="4"/>
  <c r="R448" i="4"/>
  <c r="R449" i="4"/>
  <c r="R450" i="4"/>
  <c r="S450" i="4" s="1"/>
  <c r="R451" i="4"/>
  <c r="R452" i="4"/>
  <c r="R453" i="4"/>
  <c r="S453" i="4" s="1"/>
  <c r="R454" i="4"/>
  <c r="R455" i="4"/>
  <c r="R456" i="4"/>
  <c r="R457" i="4"/>
  <c r="S457" i="4" s="1"/>
  <c r="R458" i="4"/>
  <c r="S458" i="4" s="1"/>
  <c r="R459" i="4"/>
  <c r="S459" i="4" s="1"/>
  <c r="R460" i="4"/>
  <c r="S460" i="4" s="1"/>
  <c r="R461" i="4"/>
  <c r="S461" i="4" s="1"/>
  <c r="R462" i="4"/>
  <c r="R463" i="4"/>
  <c r="R464" i="4"/>
  <c r="R465" i="4"/>
  <c r="S465" i="4" s="1"/>
  <c r="R466" i="4"/>
  <c r="S466" i="4" s="1"/>
  <c r="R467" i="4"/>
  <c r="S467" i="4" s="1"/>
  <c r="R468" i="4"/>
  <c r="S468" i="4" s="1"/>
  <c r="R469" i="4"/>
  <c r="S469" i="4" s="1"/>
  <c r="R470" i="4"/>
  <c r="R471" i="4"/>
  <c r="R472" i="4"/>
  <c r="R473" i="4"/>
  <c r="S473" i="4" s="1"/>
  <c r="R474" i="4"/>
  <c r="S474" i="4" s="1"/>
  <c r="R475" i="4"/>
  <c r="S475" i="4" s="1"/>
  <c r="R476" i="4"/>
  <c r="S476" i="4" s="1"/>
  <c r="R477" i="4"/>
  <c r="R478" i="4"/>
  <c r="R479" i="4"/>
  <c r="R480" i="4"/>
  <c r="R481" i="4"/>
  <c r="R482" i="4"/>
  <c r="S482" i="4" s="1"/>
  <c r="R483" i="4"/>
  <c r="S483" i="4" s="1"/>
  <c r="R484" i="4"/>
  <c r="S484" i="4" s="1"/>
  <c r="R485" i="4"/>
  <c r="S485" i="4" s="1"/>
  <c r="R486" i="4"/>
  <c r="R487" i="4"/>
  <c r="R488" i="4"/>
  <c r="R489" i="4"/>
  <c r="R490" i="4"/>
  <c r="S490" i="4" s="1"/>
  <c r="R491" i="4"/>
  <c r="S491" i="4" s="1"/>
  <c r="R492" i="4"/>
  <c r="S492" i="4" s="1"/>
  <c r="R493" i="4"/>
  <c r="S493" i="4" s="1"/>
  <c r="R494" i="4"/>
  <c r="R495" i="4"/>
  <c r="R496" i="4"/>
  <c r="R497" i="4"/>
  <c r="R498" i="4"/>
  <c r="S498" i="4" s="1"/>
  <c r="R499" i="4"/>
  <c r="R500" i="4"/>
  <c r="R501" i="4"/>
  <c r="S501" i="4" s="1"/>
  <c r="R502" i="4"/>
  <c r="R503" i="4"/>
  <c r="R504" i="4"/>
  <c r="R505" i="4"/>
  <c r="R506" i="4"/>
  <c r="S506" i="4" s="1"/>
  <c r="R507" i="4"/>
  <c r="S507" i="4" s="1"/>
  <c r="R508" i="4"/>
  <c r="S508" i="4" s="1"/>
  <c r="R509" i="4"/>
  <c r="S509" i="4" s="1"/>
  <c r="R510" i="4"/>
  <c r="R511" i="4"/>
  <c r="R512" i="4"/>
  <c r="R513" i="4"/>
  <c r="R514" i="4"/>
  <c r="S514" i="4" s="1"/>
  <c r="R515" i="4"/>
  <c r="S515" i="4" s="1"/>
  <c r="R516" i="4"/>
  <c r="S516" i="4" s="1"/>
  <c r="R517" i="4"/>
  <c r="S517" i="4" s="1"/>
  <c r="R518" i="4"/>
  <c r="R519" i="4"/>
  <c r="R520" i="4"/>
  <c r="R521" i="4"/>
  <c r="S521" i="4" s="1"/>
  <c r="R522" i="4"/>
  <c r="S522" i="4" s="1"/>
  <c r="R523" i="4"/>
  <c r="S523" i="4" s="1"/>
  <c r="R524" i="4"/>
  <c r="S524" i="4" s="1"/>
  <c r="R525" i="4"/>
  <c r="S525" i="4" s="1"/>
  <c r="R526" i="4"/>
  <c r="R527" i="4"/>
  <c r="R528" i="4"/>
  <c r="R529" i="4"/>
  <c r="S529" i="4" s="1"/>
  <c r="R530" i="4"/>
  <c r="S530" i="4" s="1"/>
  <c r="R531" i="4"/>
  <c r="S531" i="4" s="1"/>
  <c r="R532" i="4"/>
  <c r="R533" i="4"/>
  <c r="R534" i="4"/>
  <c r="R535" i="4"/>
  <c r="R536" i="4"/>
  <c r="R537" i="4"/>
  <c r="S537" i="4" s="1"/>
  <c r="R538" i="4"/>
  <c r="S538" i="4" s="1"/>
  <c r="R539" i="4"/>
  <c r="S539" i="4" s="1"/>
  <c r="R540" i="4"/>
  <c r="S540" i="4" s="1"/>
  <c r="R541" i="4"/>
  <c r="S541" i="4" s="1"/>
  <c r="R542" i="4"/>
  <c r="R543" i="4"/>
  <c r="R544" i="4"/>
  <c r="R545" i="4"/>
  <c r="R546" i="4"/>
  <c r="S546" i="4" s="1"/>
  <c r="R547" i="4"/>
  <c r="S547" i="4" s="1"/>
  <c r="R548" i="4"/>
  <c r="S548" i="4" s="1"/>
  <c r="R549" i="4"/>
  <c r="S549" i="4" s="1"/>
  <c r="R550" i="4"/>
  <c r="R551" i="4"/>
  <c r="R552" i="4"/>
  <c r="R553" i="4"/>
  <c r="R554" i="4"/>
  <c r="S554" i="4" s="1"/>
  <c r="R555" i="4"/>
  <c r="S555" i="4" s="1"/>
  <c r="R556" i="4"/>
  <c r="S556" i="4" s="1"/>
  <c r="R557" i="4"/>
  <c r="S557" i="4" s="1"/>
  <c r="R558" i="4"/>
  <c r="R559" i="4"/>
  <c r="R560" i="4"/>
  <c r="R561" i="4"/>
  <c r="R562" i="4"/>
  <c r="S562" i="4" s="1"/>
  <c r="R563" i="4"/>
  <c r="S563" i="4" s="1"/>
  <c r="R564" i="4"/>
  <c r="S564" i="4" s="1"/>
  <c r="R565" i="4"/>
  <c r="S565" i="4" s="1"/>
  <c r="R566" i="4"/>
  <c r="R567" i="4"/>
  <c r="R568" i="4"/>
  <c r="R569" i="4"/>
  <c r="R570" i="4"/>
  <c r="S570" i="4" s="1"/>
  <c r="R571" i="4"/>
  <c r="R572" i="4"/>
  <c r="S572" i="4" s="1"/>
  <c r="R573" i="4"/>
  <c r="S573" i="4" s="1"/>
  <c r="R574" i="4"/>
  <c r="R575" i="4"/>
  <c r="R576" i="4"/>
  <c r="R577" i="4"/>
  <c r="R578" i="4"/>
  <c r="S578" i="4" s="1"/>
  <c r="R579" i="4"/>
  <c r="R580" i="4"/>
  <c r="R581" i="4"/>
  <c r="S581" i="4" s="1"/>
  <c r="R582" i="4"/>
  <c r="R583" i="4"/>
  <c r="R584" i="4"/>
  <c r="R585" i="4"/>
  <c r="S585" i="4" s="1"/>
  <c r="R586" i="4"/>
  <c r="S586" i="4" s="1"/>
  <c r="R587" i="4"/>
  <c r="S587" i="4" s="1"/>
  <c r="R588" i="4"/>
  <c r="S588" i="4" s="1"/>
  <c r="R589" i="4"/>
  <c r="S589" i="4" s="1"/>
  <c r="R590" i="4"/>
  <c r="R591" i="4"/>
  <c r="R592" i="4"/>
  <c r="R593" i="4"/>
  <c r="S593" i="4" s="1"/>
  <c r="R594" i="4"/>
  <c r="S594" i="4" s="1"/>
  <c r="R595" i="4"/>
  <c r="S595" i="4" s="1"/>
  <c r="R596" i="4"/>
  <c r="S596" i="4" s="1"/>
  <c r="R597" i="4"/>
  <c r="S597" i="4" s="1"/>
  <c r="R598" i="4"/>
  <c r="R599" i="4"/>
  <c r="R600" i="4"/>
  <c r="R601" i="4"/>
  <c r="S601" i="4" s="1"/>
  <c r="R602" i="4"/>
  <c r="S602" i="4" s="1"/>
  <c r="R603" i="4"/>
  <c r="S603" i="4" s="1"/>
  <c r="R604" i="4"/>
  <c r="S604" i="4" s="1"/>
  <c r="R605" i="4"/>
  <c r="R606" i="4"/>
  <c r="R607" i="4"/>
  <c r="R608" i="4"/>
  <c r="R609" i="4"/>
  <c r="R610" i="4"/>
  <c r="S610" i="4" s="1"/>
  <c r="R611" i="4"/>
  <c r="S611" i="4" s="1"/>
  <c r="R612" i="4"/>
  <c r="S612" i="4" s="1"/>
  <c r="R613" i="4"/>
  <c r="S613" i="4" s="1"/>
  <c r="R614" i="4"/>
  <c r="R615" i="4"/>
  <c r="R616" i="4"/>
  <c r="R617" i="4"/>
  <c r="R618" i="4"/>
  <c r="S618" i="4" s="1"/>
  <c r="R619" i="4"/>
  <c r="S619" i="4" s="1"/>
  <c r="R620" i="4"/>
  <c r="S620" i="4" s="1"/>
  <c r="R621" i="4"/>
  <c r="S621" i="4" s="1"/>
  <c r="R622" i="4"/>
  <c r="R623" i="4"/>
  <c r="R624" i="4"/>
  <c r="R625" i="4"/>
  <c r="R626" i="4"/>
  <c r="S626" i="4" s="1"/>
  <c r="R627" i="4"/>
  <c r="R628" i="4"/>
  <c r="R629" i="4"/>
  <c r="S629" i="4" s="1"/>
  <c r="R630" i="4"/>
  <c r="R631" i="4"/>
  <c r="R632" i="4"/>
  <c r="R633" i="4"/>
  <c r="R634" i="4"/>
  <c r="S634" i="4" s="1"/>
  <c r="R635" i="4"/>
  <c r="S635" i="4" s="1"/>
  <c r="R636" i="4"/>
  <c r="S636" i="4" s="1"/>
  <c r="R637" i="4"/>
  <c r="S637" i="4" s="1"/>
  <c r="R638" i="4"/>
  <c r="R639" i="4"/>
  <c r="R640" i="4"/>
  <c r="R641" i="4"/>
  <c r="R642" i="4"/>
  <c r="S642" i="4" s="1"/>
  <c r="R643" i="4"/>
  <c r="S643" i="4" s="1"/>
  <c r="R644" i="4"/>
  <c r="S644" i="4" s="1"/>
  <c r="R645" i="4"/>
  <c r="S645" i="4" s="1"/>
  <c r="R646" i="4"/>
  <c r="R647" i="4"/>
  <c r="R648" i="4"/>
  <c r="R649" i="4"/>
  <c r="S649" i="4" s="1"/>
  <c r="R650" i="4"/>
  <c r="S650" i="4" s="1"/>
  <c r="R651" i="4"/>
  <c r="S651" i="4" s="1"/>
  <c r="R652" i="4"/>
  <c r="S652" i="4" s="1"/>
  <c r="R653" i="4"/>
  <c r="S653" i="4" s="1"/>
  <c r="R654" i="4"/>
  <c r="R655" i="4"/>
  <c r="R656" i="4"/>
  <c r="R657" i="4"/>
  <c r="S657" i="4" s="1"/>
  <c r="R658" i="4"/>
  <c r="S658" i="4" s="1"/>
  <c r="R659" i="4"/>
  <c r="S659" i="4" s="1"/>
  <c r="R660" i="4"/>
  <c r="R661" i="4"/>
  <c r="R662" i="4"/>
  <c r="R663" i="4"/>
  <c r="R664" i="4"/>
  <c r="R665" i="4"/>
  <c r="S665" i="4" s="1"/>
  <c r="R666" i="4"/>
  <c r="S666" i="4" s="1"/>
  <c r="R667" i="4"/>
  <c r="S667" i="4" s="1"/>
  <c r="R668" i="4"/>
  <c r="S668" i="4" s="1"/>
  <c r="R669" i="4"/>
  <c r="S669" i="4" s="1"/>
  <c r="R670" i="4"/>
  <c r="R671" i="4"/>
  <c r="R672" i="4"/>
  <c r="R673" i="4"/>
  <c r="R674" i="4"/>
  <c r="S674" i="4" s="1"/>
  <c r="R675" i="4"/>
  <c r="S675" i="4" s="1"/>
  <c r="R676" i="4"/>
  <c r="S676" i="4" s="1"/>
  <c r="R677" i="4"/>
  <c r="S677" i="4" s="1"/>
  <c r="R678" i="4"/>
  <c r="R679" i="4"/>
  <c r="R680" i="4"/>
  <c r="R681" i="4"/>
  <c r="R682" i="4"/>
  <c r="S682" i="4" s="1"/>
  <c r="R683" i="4"/>
  <c r="S683" i="4" s="1"/>
  <c r="R684" i="4"/>
  <c r="S684" i="4" s="1"/>
  <c r="R685" i="4"/>
  <c r="S685" i="4" s="1"/>
  <c r="R686" i="4"/>
  <c r="R687" i="4"/>
  <c r="R688" i="4"/>
  <c r="R689" i="4"/>
  <c r="R690" i="4"/>
  <c r="S690" i="4" s="1"/>
  <c r="R691" i="4"/>
  <c r="S691" i="4" s="1"/>
  <c r="R692" i="4"/>
  <c r="S692" i="4" s="1"/>
  <c r="R693" i="4"/>
  <c r="S693" i="4" s="1"/>
  <c r="R694" i="4"/>
  <c r="R695" i="4"/>
  <c r="R696" i="4"/>
  <c r="R697" i="4"/>
  <c r="R698" i="4"/>
  <c r="R699" i="4"/>
  <c r="S699" i="4" s="1"/>
  <c r="R700" i="4"/>
  <c r="S700" i="4" s="1"/>
  <c r="R701" i="4"/>
  <c r="S701" i="4" s="1"/>
  <c r="R702" i="4"/>
  <c r="R703" i="4"/>
  <c r="R704" i="4"/>
  <c r="R705" i="4"/>
  <c r="R706" i="4"/>
  <c r="R707" i="4"/>
  <c r="R708" i="4"/>
  <c r="S708" i="4" s="1"/>
  <c r="R709" i="4"/>
  <c r="S709" i="4" s="1"/>
  <c r="R710" i="4"/>
  <c r="R711" i="4"/>
  <c r="R712" i="4"/>
  <c r="R713" i="4"/>
  <c r="R714" i="4"/>
  <c r="S714" i="4" s="1"/>
  <c r="R715" i="4"/>
  <c r="S715" i="4" s="1"/>
  <c r="R716" i="4"/>
  <c r="S716" i="4" s="1"/>
  <c r="R717" i="4"/>
  <c r="S717" i="4" s="1"/>
  <c r="R718" i="4"/>
  <c r="R719" i="4"/>
  <c r="R720" i="4"/>
  <c r="R721" i="4"/>
  <c r="R722" i="4"/>
  <c r="S722" i="4" s="1"/>
  <c r="R723" i="4"/>
  <c r="S723" i="4" s="1"/>
  <c r="R724" i="4"/>
  <c r="S724" i="4" s="1"/>
  <c r="R725" i="4"/>
  <c r="S725" i="4" s="1"/>
  <c r="R726" i="4"/>
  <c r="R727" i="4"/>
  <c r="R728" i="4"/>
  <c r="R729" i="4"/>
  <c r="R730" i="4"/>
  <c r="R731" i="4"/>
  <c r="S731" i="4" s="1"/>
  <c r="R732" i="4"/>
  <c r="S732" i="4" s="1"/>
  <c r="R733" i="4"/>
  <c r="S733" i="4" s="1"/>
  <c r="R734" i="4"/>
  <c r="R735" i="4"/>
  <c r="R736" i="4"/>
  <c r="R737" i="4"/>
  <c r="R738" i="4"/>
  <c r="R739" i="4"/>
  <c r="R740" i="4"/>
  <c r="S740" i="4" s="1"/>
  <c r="R741" i="4"/>
  <c r="S741" i="4" s="1"/>
  <c r="R742" i="4"/>
  <c r="R743" i="4"/>
  <c r="R744" i="4"/>
  <c r="R745" i="4"/>
  <c r="R746" i="4"/>
  <c r="S746" i="4" s="1"/>
  <c r="R747" i="4"/>
  <c r="S747" i="4" s="1"/>
  <c r="R748" i="4"/>
  <c r="S748" i="4" s="1"/>
  <c r="R749" i="4"/>
  <c r="S749" i="4" s="1"/>
  <c r="R750" i="4"/>
  <c r="R751" i="4"/>
  <c r="R752" i="4"/>
  <c r="R753" i="4"/>
  <c r="R754" i="4"/>
  <c r="S754" i="4" s="1"/>
  <c r="R755" i="4"/>
  <c r="S755" i="4" s="1"/>
  <c r="R756" i="4"/>
  <c r="S756" i="4" s="1"/>
  <c r="R757" i="4"/>
  <c r="S757" i="4" s="1"/>
  <c r="R758" i="4"/>
  <c r="R759" i="4"/>
  <c r="R760" i="4"/>
  <c r="R761" i="4"/>
  <c r="R762" i="4"/>
  <c r="R763" i="4"/>
  <c r="S763" i="4" s="1"/>
  <c r="R764" i="4"/>
  <c r="S764" i="4" s="1"/>
  <c r="R765" i="4"/>
  <c r="S765" i="4" s="1"/>
  <c r="R766" i="4"/>
  <c r="R767" i="4"/>
  <c r="R768" i="4"/>
  <c r="R769" i="4"/>
  <c r="R770" i="4"/>
  <c r="R771" i="4"/>
  <c r="R772" i="4"/>
  <c r="S772" i="4" s="1"/>
  <c r="R773" i="4"/>
  <c r="S773" i="4" s="1"/>
  <c r="R774" i="4"/>
  <c r="R775" i="4"/>
  <c r="R776" i="4"/>
  <c r="R777" i="4"/>
  <c r="R778" i="4"/>
  <c r="S778" i="4" s="1"/>
  <c r="R779" i="4"/>
  <c r="S779" i="4" s="1"/>
  <c r="R780" i="4"/>
  <c r="S780" i="4" s="1"/>
  <c r="R781" i="4"/>
  <c r="S781" i="4" s="1"/>
  <c r="R782" i="4"/>
  <c r="R783" i="4"/>
  <c r="R784" i="4"/>
  <c r="R785" i="4"/>
  <c r="R786" i="4"/>
  <c r="S786" i="4" s="1"/>
  <c r="R787" i="4"/>
  <c r="S787" i="4" s="1"/>
  <c r="R788" i="4"/>
  <c r="S788" i="4" s="1"/>
  <c r="R789" i="4"/>
  <c r="S789" i="4" s="1"/>
  <c r="R790" i="4"/>
  <c r="R791" i="4"/>
  <c r="R792" i="4"/>
  <c r="R793" i="4"/>
  <c r="R794" i="4"/>
  <c r="R795" i="4"/>
  <c r="S795" i="4" s="1"/>
  <c r="R796" i="4"/>
  <c r="S796" i="4" s="1"/>
  <c r="R797" i="4"/>
  <c r="S797" i="4" s="1"/>
  <c r="R798" i="4"/>
  <c r="R799" i="4"/>
  <c r="R800" i="4"/>
  <c r="R801" i="4"/>
  <c r="R802" i="4"/>
  <c r="R803" i="4"/>
  <c r="R804" i="4"/>
  <c r="S804" i="4" s="1"/>
  <c r="R805" i="4"/>
  <c r="S805" i="4" s="1"/>
  <c r="R806" i="4"/>
  <c r="R807" i="4"/>
  <c r="R808" i="4"/>
  <c r="R809" i="4"/>
  <c r="R810" i="4"/>
  <c r="S810" i="4" s="1"/>
  <c r="R811" i="4"/>
  <c r="S811" i="4" s="1"/>
  <c r="R812" i="4"/>
  <c r="S812" i="4" s="1"/>
  <c r="R813" i="4"/>
  <c r="S813" i="4" s="1"/>
  <c r="R814" i="4"/>
  <c r="R815" i="4"/>
  <c r="R816" i="4"/>
  <c r="R817" i="4"/>
  <c r="R818" i="4"/>
  <c r="S818" i="4" s="1"/>
  <c r="R819" i="4"/>
  <c r="S819" i="4" s="1"/>
  <c r="R820" i="4"/>
  <c r="S820" i="4" s="1"/>
  <c r="R821" i="4"/>
  <c r="S821" i="4" s="1"/>
  <c r="R822" i="4"/>
  <c r="R823" i="4"/>
  <c r="R824" i="4"/>
  <c r="R825" i="4"/>
  <c r="R826" i="4"/>
  <c r="R827" i="4"/>
  <c r="S827" i="4" s="1"/>
  <c r="R828" i="4"/>
  <c r="S828" i="4" s="1"/>
  <c r="R829" i="4"/>
  <c r="S829" i="4" s="1"/>
  <c r="R830" i="4"/>
  <c r="R831" i="4"/>
  <c r="R832" i="4"/>
  <c r="R833" i="4"/>
  <c r="R834" i="4"/>
  <c r="R835" i="4"/>
  <c r="R836" i="4"/>
  <c r="S836" i="4" s="1"/>
  <c r="R837" i="4"/>
  <c r="S837" i="4" s="1"/>
  <c r="R838" i="4"/>
  <c r="R839" i="4"/>
  <c r="R840" i="4"/>
  <c r="R841" i="4"/>
  <c r="R842" i="4"/>
  <c r="S842" i="4" s="1"/>
  <c r="R843" i="4"/>
  <c r="S843" i="4" s="1"/>
  <c r="R844" i="4"/>
  <c r="S844" i="4" s="1"/>
  <c r="R845" i="4"/>
  <c r="S845" i="4" s="1"/>
  <c r="R846" i="4"/>
  <c r="R847" i="4"/>
  <c r="R848" i="4"/>
  <c r="R849" i="4"/>
  <c r="R850" i="4"/>
  <c r="S850" i="4" s="1"/>
  <c r="R851" i="4"/>
  <c r="S851" i="4" s="1"/>
  <c r="R852" i="4"/>
  <c r="S852" i="4" s="1"/>
  <c r="R853" i="4"/>
  <c r="S853" i="4" s="1"/>
  <c r="R854" i="4"/>
  <c r="R855" i="4"/>
  <c r="R856" i="4"/>
  <c r="R857" i="4"/>
  <c r="R858" i="4"/>
  <c r="R859" i="4"/>
  <c r="S859" i="4" s="1"/>
  <c r="R860" i="4"/>
  <c r="S860" i="4" s="1"/>
  <c r="R861" i="4"/>
  <c r="S861" i="4" s="1"/>
  <c r="R862" i="4"/>
  <c r="R863" i="4"/>
  <c r="R864" i="4"/>
  <c r="R865" i="4"/>
  <c r="R866" i="4"/>
  <c r="R867" i="4"/>
  <c r="R868" i="4"/>
  <c r="S868" i="4" s="1"/>
  <c r="R869" i="4"/>
  <c r="S869" i="4" s="1"/>
  <c r="R870" i="4"/>
  <c r="R871" i="4"/>
  <c r="R872" i="4"/>
  <c r="R873" i="4"/>
  <c r="R874" i="4"/>
  <c r="S874" i="4" s="1"/>
  <c r="R875" i="4"/>
  <c r="S875" i="4" s="1"/>
  <c r="R876" i="4"/>
  <c r="S876" i="4" s="1"/>
  <c r="R877" i="4"/>
  <c r="S877" i="4" s="1"/>
  <c r="R878" i="4"/>
  <c r="R879" i="4"/>
  <c r="R880" i="4"/>
  <c r="R881" i="4"/>
  <c r="R882" i="4"/>
  <c r="S882" i="4" s="1"/>
  <c r="R883" i="4"/>
  <c r="S883" i="4" s="1"/>
  <c r="R884" i="4"/>
  <c r="S884" i="4" s="1"/>
  <c r="R885" i="4"/>
  <c r="S885" i="4" s="1"/>
  <c r="R886" i="4"/>
  <c r="R887" i="4"/>
  <c r="R888" i="4"/>
  <c r="R889" i="4"/>
  <c r="R890" i="4"/>
  <c r="R891" i="4"/>
  <c r="S891" i="4" s="1"/>
  <c r="R892" i="4"/>
  <c r="S892" i="4" s="1"/>
  <c r="R893" i="4"/>
  <c r="S893" i="4" s="1"/>
  <c r="R894" i="4"/>
  <c r="R895" i="4"/>
  <c r="R896" i="4"/>
  <c r="R897" i="4"/>
  <c r="R898" i="4"/>
  <c r="R899" i="4"/>
  <c r="R900" i="4"/>
  <c r="S900" i="4" s="1"/>
  <c r="R901" i="4"/>
  <c r="S901" i="4" s="1"/>
  <c r="R902" i="4"/>
  <c r="R903" i="4"/>
  <c r="R904" i="4"/>
  <c r="R905" i="4"/>
  <c r="R906" i="4"/>
  <c r="S906" i="4" s="1"/>
  <c r="R907" i="4"/>
  <c r="S907" i="4" s="1"/>
  <c r="R908" i="4"/>
  <c r="S908" i="4" s="1"/>
  <c r="R909" i="4"/>
  <c r="S909" i="4" s="1"/>
  <c r="R910" i="4"/>
  <c r="R911" i="4"/>
  <c r="R912" i="4"/>
  <c r="R913" i="4"/>
  <c r="R914" i="4"/>
  <c r="S914" i="4" s="1"/>
  <c r="R915" i="4"/>
  <c r="S915" i="4" s="1"/>
  <c r="R916" i="4"/>
  <c r="S916" i="4" s="1"/>
  <c r="R917" i="4"/>
  <c r="S917" i="4" s="1"/>
  <c r="R918" i="4"/>
  <c r="R919" i="4"/>
  <c r="R920" i="4"/>
  <c r="R921" i="4"/>
  <c r="R922" i="4"/>
  <c r="R923" i="4"/>
  <c r="S923" i="4" s="1"/>
  <c r="R924" i="4"/>
  <c r="S924" i="4" s="1"/>
  <c r="R925" i="4"/>
  <c r="S925" i="4" s="1"/>
  <c r="R926" i="4"/>
  <c r="R927" i="4"/>
  <c r="R928" i="4"/>
  <c r="R929" i="4"/>
  <c r="R930" i="4"/>
  <c r="R931" i="4"/>
  <c r="R932" i="4"/>
  <c r="S932" i="4" s="1"/>
  <c r="R933" i="4"/>
  <c r="S933" i="4" s="1"/>
  <c r="R934" i="4"/>
  <c r="R935" i="4"/>
  <c r="R936" i="4"/>
  <c r="R937" i="4"/>
  <c r="R938" i="4"/>
  <c r="S938" i="4" s="1"/>
  <c r="R939" i="4"/>
  <c r="S939" i="4" s="1"/>
  <c r="R940" i="4"/>
  <c r="S940" i="4" s="1"/>
  <c r="R941" i="4"/>
  <c r="S941" i="4" s="1"/>
  <c r="R942" i="4"/>
  <c r="R943" i="4"/>
  <c r="R944" i="4"/>
  <c r="R945" i="4"/>
  <c r="R946" i="4"/>
  <c r="S946" i="4" s="1"/>
  <c r="R947" i="4"/>
  <c r="S947" i="4" s="1"/>
  <c r="R948" i="4"/>
  <c r="S948" i="4" s="1"/>
  <c r="R949" i="4"/>
  <c r="S949" i="4" s="1"/>
  <c r="R950" i="4"/>
  <c r="R951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S6" i="4"/>
  <c r="S7" i="4"/>
  <c r="S8" i="4"/>
  <c r="S14" i="4"/>
  <c r="S15" i="4"/>
  <c r="S16" i="4"/>
  <c r="S22" i="4"/>
  <c r="S23" i="4"/>
  <c r="S24" i="4"/>
  <c r="S30" i="4"/>
  <c r="S31" i="4"/>
  <c r="S32" i="4"/>
  <c r="S36" i="4"/>
  <c r="S37" i="4"/>
  <c r="S38" i="4"/>
  <c r="S39" i="4"/>
  <c r="S40" i="4"/>
  <c r="S46" i="4"/>
  <c r="S47" i="4"/>
  <c r="S48" i="4"/>
  <c r="S51" i="4"/>
  <c r="S54" i="4"/>
  <c r="S55" i="4"/>
  <c r="S56" i="4"/>
  <c r="S62" i="4"/>
  <c r="S63" i="4"/>
  <c r="S64" i="4"/>
  <c r="S70" i="4"/>
  <c r="S71" i="4"/>
  <c r="S72" i="4"/>
  <c r="S78" i="4"/>
  <c r="S79" i="4"/>
  <c r="S80" i="4"/>
  <c r="S86" i="4"/>
  <c r="S87" i="4"/>
  <c r="S88" i="4"/>
  <c r="S94" i="4"/>
  <c r="S95" i="4"/>
  <c r="S96" i="4"/>
  <c r="S102" i="4"/>
  <c r="S103" i="4"/>
  <c r="S104" i="4"/>
  <c r="S110" i="4"/>
  <c r="S111" i="4"/>
  <c r="S112" i="4"/>
  <c r="S118" i="4"/>
  <c r="S119" i="4"/>
  <c r="S120" i="4"/>
  <c r="S123" i="4"/>
  <c r="S124" i="4"/>
  <c r="S126" i="4"/>
  <c r="S127" i="4"/>
  <c r="S128" i="4"/>
  <c r="S134" i="4"/>
  <c r="S135" i="4"/>
  <c r="S136" i="4"/>
  <c r="S142" i="4"/>
  <c r="S143" i="4"/>
  <c r="S144" i="4"/>
  <c r="S150" i="4"/>
  <c r="S151" i="4"/>
  <c r="S152" i="4"/>
  <c r="S158" i="4"/>
  <c r="S159" i="4"/>
  <c r="S160" i="4"/>
  <c r="S164" i="4"/>
  <c r="S165" i="4"/>
  <c r="S166" i="4"/>
  <c r="S167" i="4"/>
  <c r="S168" i="4"/>
  <c r="S174" i="4"/>
  <c r="S175" i="4"/>
  <c r="S176" i="4"/>
  <c r="S179" i="4"/>
  <c r="S182" i="4"/>
  <c r="S183" i="4"/>
  <c r="S184" i="4"/>
  <c r="S190" i="4"/>
  <c r="S191" i="4"/>
  <c r="S192" i="4"/>
  <c r="S198" i="4"/>
  <c r="S199" i="4"/>
  <c r="S200" i="4"/>
  <c r="S206" i="4"/>
  <c r="S207" i="4"/>
  <c r="S208" i="4"/>
  <c r="S214" i="4"/>
  <c r="S215" i="4"/>
  <c r="S216" i="4"/>
  <c r="S222" i="4"/>
  <c r="S223" i="4"/>
  <c r="S224" i="4"/>
  <c r="S230" i="4"/>
  <c r="S231" i="4"/>
  <c r="S232" i="4"/>
  <c r="S238" i="4"/>
  <c r="S239" i="4"/>
  <c r="S240" i="4"/>
  <c r="S246" i="4"/>
  <c r="S247" i="4"/>
  <c r="S248" i="4"/>
  <c r="S251" i="4"/>
  <c r="S252" i="4"/>
  <c r="S254" i="4"/>
  <c r="S255" i="4"/>
  <c r="S256" i="4"/>
  <c r="S257" i="4"/>
  <c r="S259" i="4"/>
  <c r="S260" i="4"/>
  <c r="S261" i="4"/>
  <c r="S262" i="4"/>
  <c r="S263" i="4"/>
  <c r="S264" i="4"/>
  <c r="S270" i="4"/>
  <c r="S271" i="4"/>
  <c r="S272" i="4"/>
  <c r="S278" i="4"/>
  <c r="S279" i="4"/>
  <c r="S280" i="4"/>
  <c r="S286" i="4"/>
  <c r="S287" i="4"/>
  <c r="S288" i="4"/>
  <c r="S289" i="4"/>
  <c r="S294" i="4"/>
  <c r="S295" i="4"/>
  <c r="S296" i="4"/>
  <c r="S297" i="4"/>
  <c r="S302" i="4"/>
  <c r="S303" i="4"/>
  <c r="S304" i="4"/>
  <c r="S305" i="4"/>
  <c r="S310" i="4"/>
  <c r="S311" i="4"/>
  <c r="S312" i="4"/>
  <c r="S313" i="4"/>
  <c r="S315" i="4"/>
  <c r="S318" i="4"/>
  <c r="S319" i="4"/>
  <c r="S320" i="4"/>
  <c r="S321" i="4"/>
  <c r="S323" i="4"/>
  <c r="S324" i="4"/>
  <c r="S326" i="4"/>
  <c r="S327" i="4"/>
  <c r="S328" i="4"/>
  <c r="S334" i="4"/>
  <c r="S335" i="4"/>
  <c r="S336" i="4"/>
  <c r="S342" i="4"/>
  <c r="S343" i="4"/>
  <c r="S344" i="4"/>
  <c r="S349" i="4"/>
  <c r="S350" i="4"/>
  <c r="S351" i="4"/>
  <c r="S352" i="4"/>
  <c r="S353" i="4"/>
  <c r="S358" i="4"/>
  <c r="S359" i="4"/>
  <c r="S360" i="4"/>
  <c r="S361" i="4"/>
  <c r="S366" i="4"/>
  <c r="S367" i="4"/>
  <c r="S368" i="4"/>
  <c r="S369" i="4"/>
  <c r="S371" i="4"/>
  <c r="S372" i="4"/>
  <c r="S374" i="4"/>
  <c r="S375" i="4"/>
  <c r="S376" i="4"/>
  <c r="S377" i="4"/>
  <c r="S382" i="4"/>
  <c r="S383" i="4"/>
  <c r="S384" i="4"/>
  <c r="S385" i="4"/>
  <c r="S390" i="4"/>
  <c r="S391" i="4"/>
  <c r="S392" i="4"/>
  <c r="S398" i="4"/>
  <c r="S399" i="4"/>
  <c r="S400" i="4"/>
  <c r="S404" i="4"/>
  <c r="S405" i="4"/>
  <c r="S406" i="4"/>
  <c r="S407" i="4"/>
  <c r="S408" i="4"/>
  <c r="S414" i="4"/>
  <c r="S415" i="4"/>
  <c r="S416" i="4"/>
  <c r="S417" i="4"/>
  <c r="S422" i="4"/>
  <c r="S423" i="4"/>
  <c r="S424" i="4"/>
  <c r="S425" i="4"/>
  <c r="S430" i="4"/>
  <c r="S431" i="4"/>
  <c r="S432" i="4"/>
  <c r="S433" i="4"/>
  <c r="S438" i="4"/>
  <c r="S439" i="4"/>
  <c r="S440" i="4"/>
  <c r="S441" i="4"/>
  <c r="S443" i="4"/>
  <c r="S446" i="4"/>
  <c r="S447" i="4"/>
  <c r="S448" i="4"/>
  <c r="S449" i="4"/>
  <c r="S451" i="4"/>
  <c r="S452" i="4"/>
  <c r="S454" i="4"/>
  <c r="S455" i="4"/>
  <c r="S456" i="4"/>
  <c r="S462" i="4"/>
  <c r="S463" i="4"/>
  <c r="S464" i="4"/>
  <c r="S470" i="4"/>
  <c r="S471" i="4"/>
  <c r="S472" i="4"/>
  <c r="S477" i="4"/>
  <c r="S478" i="4"/>
  <c r="S479" i="4"/>
  <c r="S480" i="4"/>
  <c r="S481" i="4"/>
  <c r="S486" i="4"/>
  <c r="S487" i="4"/>
  <c r="S488" i="4"/>
  <c r="S489" i="4"/>
  <c r="S494" i="4"/>
  <c r="S495" i="4"/>
  <c r="S496" i="4"/>
  <c r="S497" i="4"/>
  <c r="S499" i="4"/>
  <c r="S500" i="4"/>
  <c r="S502" i="4"/>
  <c r="S503" i="4"/>
  <c r="S504" i="4"/>
  <c r="S505" i="4"/>
  <c r="S510" i="4"/>
  <c r="S511" i="4"/>
  <c r="S512" i="4"/>
  <c r="S513" i="4"/>
  <c r="S518" i="4"/>
  <c r="S519" i="4"/>
  <c r="S520" i="4"/>
  <c r="S526" i="4"/>
  <c r="S527" i="4"/>
  <c r="S528" i="4"/>
  <c r="S532" i="4"/>
  <c r="S533" i="4"/>
  <c r="S534" i="4"/>
  <c r="S535" i="4"/>
  <c r="S536" i="4"/>
  <c r="S542" i="4"/>
  <c r="S543" i="4"/>
  <c r="S544" i="4"/>
  <c r="S545" i="4"/>
  <c r="S550" i="4"/>
  <c r="S551" i="4"/>
  <c r="S552" i="4"/>
  <c r="S553" i="4"/>
  <c r="S558" i="4"/>
  <c r="S559" i="4"/>
  <c r="S560" i="4"/>
  <c r="S561" i="4"/>
  <c r="S566" i="4"/>
  <c r="S567" i="4"/>
  <c r="S568" i="4"/>
  <c r="S569" i="4"/>
  <c r="S571" i="4"/>
  <c r="S574" i="4"/>
  <c r="S575" i="4"/>
  <c r="S576" i="4"/>
  <c r="S577" i="4"/>
  <c r="S579" i="4"/>
  <c r="S580" i="4"/>
  <c r="S582" i="4"/>
  <c r="S583" i="4"/>
  <c r="S584" i="4"/>
  <c r="S590" i="4"/>
  <c r="S591" i="4"/>
  <c r="S592" i="4"/>
  <c r="S598" i="4"/>
  <c r="S599" i="4"/>
  <c r="S600" i="4"/>
  <c r="S605" i="4"/>
  <c r="S606" i="4"/>
  <c r="S607" i="4"/>
  <c r="S608" i="4"/>
  <c r="S609" i="4"/>
  <c r="S614" i="4"/>
  <c r="S615" i="4"/>
  <c r="S616" i="4"/>
  <c r="S617" i="4"/>
  <c r="S622" i="4"/>
  <c r="S623" i="4"/>
  <c r="S624" i="4"/>
  <c r="S625" i="4"/>
  <c r="S627" i="4"/>
  <c r="S628" i="4"/>
  <c r="S630" i="4"/>
  <c r="S631" i="4"/>
  <c r="S632" i="4"/>
  <c r="S633" i="4"/>
  <c r="S638" i="4"/>
  <c r="S639" i="4"/>
  <c r="S640" i="4"/>
  <c r="S641" i="4"/>
  <c r="S646" i="4"/>
  <c r="S647" i="4"/>
  <c r="S648" i="4"/>
  <c r="S654" i="4"/>
  <c r="S655" i="4"/>
  <c r="S656" i="4"/>
  <c r="S660" i="4"/>
  <c r="S661" i="4"/>
  <c r="S662" i="4"/>
  <c r="S663" i="4"/>
  <c r="S664" i="4"/>
  <c r="S670" i="4"/>
  <c r="S671" i="4"/>
  <c r="S672" i="4"/>
  <c r="S673" i="4"/>
  <c r="S678" i="4"/>
  <c r="S679" i="4"/>
  <c r="S680" i="4"/>
  <c r="S681" i="4"/>
  <c r="S686" i="4"/>
  <c r="S687" i="4"/>
  <c r="S688" i="4"/>
  <c r="S689" i="4"/>
  <c r="S694" i="4"/>
  <c r="S695" i="4"/>
  <c r="S696" i="4"/>
  <c r="S697" i="4"/>
  <c r="S698" i="4"/>
  <c r="S702" i="4"/>
  <c r="S703" i="4"/>
  <c r="S704" i="4"/>
  <c r="S705" i="4"/>
  <c r="S706" i="4"/>
  <c r="S707" i="4"/>
  <c r="S710" i="4"/>
  <c r="S711" i="4"/>
  <c r="S712" i="4"/>
  <c r="S713" i="4"/>
  <c r="S718" i="4"/>
  <c r="S719" i="4"/>
  <c r="S720" i="4"/>
  <c r="S721" i="4"/>
  <c r="S726" i="4"/>
  <c r="S727" i="4"/>
  <c r="S728" i="4"/>
  <c r="S729" i="4"/>
  <c r="S730" i="4"/>
  <c r="S734" i="4"/>
  <c r="S735" i="4"/>
  <c r="S736" i="4"/>
  <c r="S737" i="4"/>
  <c r="S738" i="4"/>
  <c r="S739" i="4"/>
  <c r="S742" i="4"/>
  <c r="S743" i="4"/>
  <c r="S744" i="4"/>
  <c r="S745" i="4"/>
  <c r="S750" i="4"/>
  <c r="S751" i="4"/>
  <c r="S752" i="4"/>
  <c r="S753" i="4"/>
  <c r="S758" i="4"/>
  <c r="S759" i="4"/>
  <c r="S760" i="4"/>
  <c r="S761" i="4"/>
  <c r="S762" i="4"/>
  <c r="S766" i="4"/>
  <c r="S767" i="4"/>
  <c r="S768" i="4"/>
  <c r="S769" i="4"/>
  <c r="S770" i="4"/>
  <c r="S771" i="4"/>
  <c r="S774" i="4"/>
  <c r="S775" i="4"/>
  <c r="S776" i="4"/>
  <c r="S777" i="4"/>
  <c r="S782" i="4"/>
  <c r="S783" i="4"/>
  <c r="S784" i="4"/>
  <c r="S785" i="4"/>
  <c r="S790" i="4"/>
  <c r="S791" i="4"/>
  <c r="S792" i="4"/>
  <c r="S793" i="4"/>
  <c r="S794" i="4"/>
  <c r="S798" i="4"/>
  <c r="S799" i="4"/>
  <c r="S800" i="4"/>
  <c r="S801" i="4"/>
  <c r="S802" i="4"/>
  <c r="S803" i="4"/>
  <c r="S806" i="4"/>
  <c r="S807" i="4"/>
  <c r="S808" i="4"/>
  <c r="S809" i="4"/>
  <c r="S814" i="4"/>
  <c r="S815" i="4"/>
  <c r="S816" i="4"/>
  <c r="S817" i="4"/>
  <c r="S822" i="4"/>
  <c r="S823" i="4"/>
  <c r="S824" i="4"/>
  <c r="S825" i="4"/>
  <c r="S826" i="4"/>
  <c r="S830" i="4"/>
  <c r="S831" i="4"/>
  <c r="S832" i="4"/>
  <c r="S833" i="4"/>
  <c r="S834" i="4"/>
  <c r="S835" i="4"/>
  <c r="S838" i="4"/>
  <c r="S839" i="4"/>
  <c r="S840" i="4"/>
  <c r="S841" i="4"/>
  <c r="S846" i="4"/>
  <c r="S847" i="4"/>
  <c r="S848" i="4"/>
  <c r="S849" i="4"/>
  <c r="S854" i="4"/>
  <c r="S855" i="4"/>
  <c r="S856" i="4"/>
  <c r="S857" i="4"/>
  <c r="S858" i="4"/>
  <c r="S862" i="4"/>
  <c r="S863" i="4"/>
  <c r="S864" i="4"/>
  <c r="S865" i="4"/>
  <c r="S866" i="4"/>
  <c r="S867" i="4"/>
  <c r="S870" i="4"/>
  <c r="S871" i="4"/>
  <c r="S872" i="4"/>
  <c r="S873" i="4"/>
  <c r="S878" i="4"/>
  <c r="S879" i="4"/>
  <c r="S880" i="4"/>
  <c r="S881" i="4"/>
  <c r="S886" i="4"/>
  <c r="S887" i="4"/>
  <c r="S888" i="4"/>
  <c r="S889" i="4"/>
  <c r="S890" i="4"/>
  <c r="S894" i="4"/>
  <c r="S895" i="4"/>
  <c r="S896" i="4"/>
  <c r="S897" i="4"/>
  <c r="S898" i="4"/>
  <c r="S899" i="4"/>
  <c r="S902" i="4"/>
  <c r="S903" i="4"/>
  <c r="S904" i="4"/>
  <c r="S905" i="4"/>
  <c r="S910" i="4"/>
  <c r="S911" i="4"/>
  <c r="S912" i="4"/>
  <c r="S913" i="4"/>
  <c r="S918" i="4"/>
  <c r="S919" i="4"/>
  <c r="S920" i="4"/>
  <c r="S921" i="4"/>
  <c r="S922" i="4"/>
  <c r="S926" i="4"/>
  <c r="S927" i="4"/>
  <c r="S928" i="4"/>
  <c r="S929" i="4"/>
  <c r="S930" i="4"/>
  <c r="S931" i="4"/>
  <c r="S934" i="4"/>
  <c r="S935" i="4"/>
  <c r="S936" i="4"/>
  <c r="S937" i="4"/>
  <c r="S942" i="4"/>
  <c r="S943" i="4"/>
  <c r="S944" i="4"/>
  <c r="S945" i="4"/>
  <c r="S950" i="4"/>
  <c r="S951" i="4"/>
  <c r="U5" i="4"/>
  <c r="S5" i="4"/>
  <c r="L5" i="4"/>
  <c r="T5" i="4"/>
  <c r="R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5" i="4"/>
  <c r="W6" i="4"/>
  <c r="W7" i="4"/>
  <c r="W8" i="4"/>
  <c r="W9" i="4"/>
  <c r="W10" i="4"/>
  <c r="W5" i="4"/>
  <c r="B4" i="3"/>
  <c r="B2" i="3"/>
  <c r="C951" i="4"/>
  <c r="B951" i="4"/>
  <c r="A951" i="4"/>
  <c r="C950" i="4"/>
  <c r="B950" i="4"/>
  <c r="A950" i="4"/>
  <c r="C949" i="4"/>
  <c r="B949" i="4"/>
  <c r="A949" i="4"/>
  <c r="C948" i="4"/>
  <c r="B948" i="4"/>
  <c r="A948" i="4"/>
  <c r="C947" i="4"/>
  <c r="B947" i="4"/>
  <c r="A947" i="4"/>
  <c r="C946" i="4"/>
  <c r="B946" i="4"/>
  <c r="A946" i="4"/>
  <c r="C945" i="4"/>
  <c r="B945" i="4"/>
  <c r="A945" i="4"/>
  <c r="C944" i="4"/>
  <c r="B944" i="4"/>
  <c r="A944" i="4"/>
  <c r="C943" i="4"/>
  <c r="B943" i="4"/>
  <c r="A943" i="4"/>
  <c r="C942" i="4"/>
  <c r="B942" i="4"/>
  <c r="A942" i="4"/>
  <c r="C941" i="4"/>
  <c r="B941" i="4"/>
  <c r="A941" i="4"/>
  <c r="C940" i="4"/>
  <c r="B940" i="4"/>
  <c r="A940" i="4"/>
  <c r="C939" i="4"/>
  <c r="B939" i="4"/>
  <c r="A939" i="4"/>
  <c r="C938" i="4"/>
  <c r="B938" i="4"/>
  <c r="A938" i="4"/>
  <c r="C937" i="4"/>
  <c r="B937" i="4"/>
  <c r="A937" i="4"/>
  <c r="C936" i="4"/>
  <c r="B936" i="4"/>
  <c r="A936" i="4"/>
  <c r="C935" i="4"/>
  <c r="B935" i="4"/>
  <c r="A935" i="4"/>
  <c r="C934" i="4"/>
  <c r="B934" i="4"/>
  <c r="A934" i="4"/>
  <c r="C933" i="4"/>
  <c r="B933" i="4"/>
  <c r="A933" i="4"/>
  <c r="C932" i="4"/>
  <c r="B932" i="4"/>
  <c r="A932" i="4"/>
  <c r="C931" i="4"/>
  <c r="B931" i="4"/>
  <c r="A931" i="4"/>
  <c r="C930" i="4"/>
  <c r="B930" i="4"/>
  <c r="A930" i="4"/>
  <c r="C929" i="4"/>
  <c r="B929" i="4"/>
  <c r="A929" i="4"/>
  <c r="C928" i="4"/>
  <c r="B928" i="4"/>
  <c r="A928" i="4"/>
  <c r="C927" i="4"/>
  <c r="B927" i="4"/>
  <c r="A927" i="4"/>
  <c r="C926" i="4"/>
  <c r="B926" i="4"/>
  <c r="A926" i="4"/>
  <c r="C925" i="4"/>
  <c r="B925" i="4"/>
  <c r="A925" i="4"/>
  <c r="C924" i="4"/>
  <c r="B924" i="4"/>
  <c r="A924" i="4"/>
  <c r="C923" i="4"/>
  <c r="B923" i="4"/>
  <c r="A923" i="4"/>
  <c r="C922" i="4"/>
  <c r="B922" i="4"/>
  <c r="A922" i="4"/>
  <c r="C921" i="4"/>
  <c r="B921" i="4"/>
  <c r="A921" i="4"/>
  <c r="C920" i="4"/>
  <c r="B920" i="4"/>
  <c r="A920" i="4"/>
  <c r="C919" i="4"/>
  <c r="B919" i="4"/>
  <c r="A919" i="4"/>
  <c r="C918" i="4"/>
  <c r="B918" i="4"/>
  <c r="A918" i="4"/>
  <c r="C917" i="4"/>
  <c r="B917" i="4"/>
  <c r="A917" i="4"/>
  <c r="C916" i="4"/>
  <c r="B916" i="4"/>
  <c r="A916" i="4"/>
  <c r="C915" i="4"/>
  <c r="B915" i="4"/>
  <c r="A915" i="4"/>
  <c r="C914" i="4"/>
  <c r="B914" i="4"/>
  <c r="A914" i="4"/>
  <c r="C913" i="4"/>
  <c r="B913" i="4"/>
  <c r="A913" i="4"/>
  <c r="C912" i="4"/>
  <c r="B912" i="4"/>
  <c r="A912" i="4"/>
  <c r="C911" i="4"/>
  <c r="B911" i="4"/>
  <c r="A911" i="4"/>
  <c r="C910" i="4"/>
  <c r="B910" i="4"/>
  <c r="A910" i="4"/>
  <c r="C909" i="4"/>
  <c r="B909" i="4"/>
  <c r="A909" i="4"/>
  <c r="C908" i="4"/>
  <c r="B908" i="4"/>
  <c r="A908" i="4"/>
  <c r="C907" i="4"/>
  <c r="B907" i="4"/>
  <c r="A907" i="4"/>
  <c r="C906" i="4"/>
  <c r="B906" i="4"/>
  <c r="A906" i="4"/>
  <c r="C905" i="4"/>
  <c r="B905" i="4"/>
  <c r="A905" i="4"/>
  <c r="C904" i="4"/>
  <c r="B904" i="4"/>
  <c r="A904" i="4"/>
  <c r="C903" i="4"/>
  <c r="B903" i="4"/>
  <c r="A903" i="4"/>
  <c r="C902" i="4"/>
  <c r="B902" i="4"/>
  <c r="A902" i="4"/>
  <c r="C901" i="4"/>
  <c r="B901" i="4"/>
  <c r="A901" i="4"/>
  <c r="C900" i="4"/>
  <c r="B900" i="4"/>
  <c r="A900" i="4"/>
  <c r="C899" i="4"/>
  <c r="B899" i="4"/>
  <c r="A899" i="4"/>
  <c r="C898" i="4"/>
  <c r="B898" i="4"/>
  <c r="A898" i="4"/>
  <c r="C897" i="4"/>
  <c r="B897" i="4"/>
  <c r="A897" i="4"/>
  <c r="C896" i="4"/>
  <c r="B896" i="4"/>
  <c r="A896" i="4"/>
  <c r="C895" i="4"/>
  <c r="B895" i="4"/>
  <c r="A895" i="4"/>
  <c r="C894" i="4"/>
  <c r="B894" i="4"/>
  <c r="A894" i="4"/>
  <c r="C893" i="4"/>
  <c r="B893" i="4"/>
  <c r="A893" i="4"/>
  <c r="C892" i="4"/>
  <c r="B892" i="4"/>
  <c r="A892" i="4"/>
  <c r="C891" i="4"/>
  <c r="B891" i="4"/>
  <c r="A891" i="4"/>
  <c r="C890" i="4"/>
  <c r="B890" i="4"/>
  <c r="A890" i="4"/>
  <c r="C889" i="4"/>
  <c r="B889" i="4"/>
  <c r="A889" i="4"/>
  <c r="C888" i="4"/>
  <c r="B888" i="4"/>
  <c r="A888" i="4"/>
  <c r="C887" i="4"/>
  <c r="B887" i="4"/>
  <c r="A887" i="4"/>
  <c r="C886" i="4"/>
  <c r="B886" i="4"/>
  <c r="A886" i="4"/>
  <c r="C885" i="4"/>
  <c r="B885" i="4"/>
  <c r="A885" i="4"/>
  <c r="C884" i="4"/>
  <c r="B884" i="4"/>
  <c r="A884" i="4"/>
  <c r="C883" i="4"/>
  <c r="B883" i="4"/>
  <c r="A883" i="4"/>
  <c r="C882" i="4"/>
  <c r="B882" i="4"/>
  <c r="A882" i="4"/>
  <c r="C881" i="4"/>
  <c r="B881" i="4"/>
  <c r="A881" i="4"/>
  <c r="C880" i="4"/>
  <c r="B880" i="4"/>
  <c r="A880" i="4"/>
  <c r="C879" i="4"/>
  <c r="B879" i="4"/>
  <c r="A879" i="4"/>
  <c r="C878" i="4"/>
  <c r="B878" i="4"/>
  <c r="A878" i="4"/>
  <c r="C877" i="4"/>
  <c r="B877" i="4"/>
  <c r="A877" i="4"/>
  <c r="C876" i="4"/>
  <c r="B876" i="4"/>
  <c r="A876" i="4"/>
  <c r="C875" i="4"/>
  <c r="B875" i="4"/>
  <c r="A875" i="4"/>
  <c r="C874" i="4"/>
  <c r="B874" i="4"/>
  <c r="A874" i="4"/>
  <c r="C873" i="4"/>
  <c r="B873" i="4"/>
  <c r="A873" i="4"/>
  <c r="C872" i="4"/>
  <c r="B872" i="4"/>
  <c r="A872" i="4"/>
  <c r="C871" i="4"/>
  <c r="B871" i="4"/>
  <c r="A871" i="4"/>
  <c r="C870" i="4"/>
  <c r="B870" i="4"/>
  <c r="A870" i="4"/>
  <c r="C869" i="4"/>
  <c r="B869" i="4"/>
  <c r="A869" i="4"/>
  <c r="C868" i="4"/>
  <c r="B868" i="4"/>
  <c r="A868" i="4"/>
  <c r="C867" i="4"/>
  <c r="B867" i="4"/>
  <c r="A867" i="4"/>
  <c r="C866" i="4"/>
  <c r="B866" i="4"/>
  <c r="A866" i="4"/>
  <c r="C865" i="4"/>
  <c r="B865" i="4"/>
  <c r="A865" i="4"/>
  <c r="C864" i="4"/>
  <c r="B864" i="4"/>
  <c r="A864" i="4"/>
  <c r="C863" i="4"/>
  <c r="B863" i="4"/>
  <c r="A863" i="4"/>
  <c r="C862" i="4"/>
  <c r="B862" i="4"/>
  <c r="A862" i="4"/>
  <c r="C861" i="4"/>
  <c r="B861" i="4"/>
  <c r="A861" i="4"/>
  <c r="C860" i="4"/>
  <c r="B860" i="4"/>
  <c r="A860" i="4"/>
  <c r="C859" i="4"/>
  <c r="B859" i="4"/>
  <c r="A859" i="4"/>
  <c r="C858" i="4"/>
  <c r="B858" i="4"/>
  <c r="A858" i="4"/>
  <c r="C857" i="4"/>
  <c r="B857" i="4"/>
  <c r="A857" i="4"/>
  <c r="C856" i="4"/>
  <c r="B856" i="4"/>
  <c r="A856" i="4"/>
  <c r="C855" i="4"/>
  <c r="B855" i="4"/>
  <c r="A855" i="4"/>
  <c r="C854" i="4"/>
  <c r="B854" i="4"/>
  <c r="A854" i="4"/>
  <c r="C853" i="4"/>
  <c r="B853" i="4"/>
  <c r="A853" i="4"/>
  <c r="C852" i="4"/>
  <c r="B852" i="4"/>
  <c r="A852" i="4"/>
  <c r="C851" i="4"/>
  <c r="B851" i="4"/>
  <c r="A851" i="4"/>
  <c r="C850" i="4"/>
  <c r="B850" i="4"/>
  <c r="A850" i="4"/>
  <c r="C849" i="4"/>
  <c r="B849" i="4"/>
  <c r="A849" i="4"/>
  <c r="C848" i="4"/>
  <c r="B848" i="4"/>
  <c r="A848" i="4"/>
  <c r="C847" i="4"/>
  <c r="B847" i="4"/>
  <c r="A847" i="4"/>
  <c r="C846" i="4"/>
  <c r="B846" i="4"/>
  <c r="A846" i="4"/>
  <c r="C845" i="4"/>
  <c r="B845" i="4"/>
  <c r="A845" i="4"/>
  <c r="C844" i="4"/>
  <c r="B844" i="4"/>
  <c r="A844" i="4"/>
  <c r="C843" i="4"/>
  <c r="B843" i="4"/>
  <c r="A843" i="4"/>
  <c r="C842" i="4"/>
  <c r="B842" i="4"/>
  <c r="A842" i="4"/>
  <c r="C841" i="4"/>
  <c r="B841" i="4"/>
  <c r="A841" i="4"/>
  <c r="C840" i="4"/>
  <c r="B840" i="4"/>
  <c r="A840" i="4"/>
  <c r="C839" i="4"/>
  <c r="B839" i="4"/>
  <c r="A839" i="4"/>
  <c r="C838" i="4"/>
  <c r="B838" i="4"/>
  <c r="A838" i="4"/>
  <c r="C837" i="4"/>
  <c r="B837" i="4"/>
  <c r="A837" i="4"/>
  <c r="C836" i="4"/>
  <c r="B836" i="4"/>
  <c r="A836" i="4"/>
  <c r="C835" i="4"/>
  <c r="B835" i="4"/>
  <c r="A835" i="4"/>
  <c r="C834" i="4"/>
  <c r="B834" i="4"/>
  <c r="A834" i="4"/>
  <c r="C833" i="4"/>
  <c r="B833" i="4"/>
  <c r="A833" i="4"/>
  <c r="C832" i="4"/>
  <c r="B832" i="4"/>
  <c r="A832" i="4"/>
  <c r="C831" i="4"/>
  <c r="B831" i="4"/>
  <c r="A831" i="4"/>
  <c r="C830" i="4"/>
  <c r="B830" i="4"/>
  <c r="A830" i="4"/>
  <c r="C829" i="4"/>
  <c r="B829" i="4"/>
  <c r="A829" i="4"/>
  <c r="C828" i="4"/>
  <c r="B828" i="4"/>
  <c r="A828" i="4"/>
  <c r="C827" i="4"/>
  <c r="B827" i="4"/>
  <c r="A827" i="4"/>
  <c r="C826" i="4"/>
  <c r="B826" i="4"/>
  <c r="A826" i="4"/>
  <c r="C825" i="4"/>
  <c r="B825" i="4"/>
  <c r="A825" i="4"/>
  <c r="C824" i="4"/>
  <c r="B824" i="4"/>
  <c r="A824" i="4"/>
  <c r="C823" i="4"/>
  <c r="B823" i="4"/>
  <c r="A823" i="4"/>
  <c r="C822" i="4"/>
  <c r="B822" i="4"/>
  <c r="A822" i="4"/>
  <c r="C821" i="4"/>
  <c r="B821" i="4"/>
  <c r="A821" i="4"/>
  <c r="C820" i="4"/>
  <c r="B820" i="4"/>
  <c r="A820" i="4"/>
  <c r="C819" i="4"/>
  <c r="B819" i="4"/>
  <c r="A819" i="4"/>
  <c r="C818" i="4"/>
  <c r="B818" i="4"/>
  <c r="A818" i="4"/>
  <c r="C817" i="4"/>
  <c r="B817" i="4"/>
  <c r="A817" i="4"/>
  <c r="C816" i="4"/>
  <c r="B816" i="4"/>
  <c r="A816" i="4"/>
  <c r="C815" i="4"/>
  <c r="B815" i="4"/>
  <c r="A815" i="4"/>
  <c r="C814" i="4"/>
  <c r="B814" i="4"/>
  <c r="A814" i="4"/>
  <c r="C813" i="4"/>
  <c r="B813" i="4"/>
  <c r="A813" i="4"/>
  <c r="C812" i="4"/>
  <c r="B812" i="4"/>
  <c r="A812" i="4"/>
  <c r="C811" i="4"/>
  <c r="B811" i="4"/>
  <c r="A811" i="4"/>
  <c r="C810" i="4"/>
  <c r="B810" i="4"/>
  <c r="A810" i="4"/>
  <c r="C809" i="4"/>
  <c r="B809" i="4"/>
  <c r="A809" i="4"/>
  <c r="C808" i="4"/>
  <c r="B808" i="4"/>
  <c r="A808" i="4"/>
  <c r="C807" i="4"/>
  <c r="B807" i="4"/>
  <c r="A807" i="4"/>
  <c r="C806" i="4"/>
  <c r="B806" i="4"/>
  <c r="A806" i="4"/>
  <c r="C805" i="4"/>
  <c r="B805" i="4"/>
  <c r="A805" i="4"/>
  <c r="C804" i="4"/>
  <c r="B804" i="4"/>
  <c r="A804" i="4"/>
  <c r="C803" i="4"/>
  <c r="B803" i="4"/>
  <c r="A803" i="4"/>
  <c r="C802" i="4"/>
  <c r="B802" i="4"/>
  <c r="A802" i="4"/>
  <c r="C801" i="4"/>
  <c r="B801" i="4"/>
  <c r="A801" i="4"/>
  <c r="C800" i="4"/>
  <c r="B800" i="4"/>
  <c r="A800" i="4"/>
  <c r="C799" i="4"/>
  <c r="B799" i="4"/>
  <c r="A799" i="4"/>
  <c r="C798" i="4"/>
  <c r="B798" i="4"/>
  <c r="A798" i="4"/>
  <c r="C797" i="4"/>
  <c r="B797" i="4"/>
  <c r="A797" i="4"/>
  <c r="C796" i="4"/>
  <c r="B796" i="4"/>
  <c r="A796" i="4"/>
  <c r="C795" i="4"/>
  <c r="B795" i="4"/>
  <c r="A795" i="4"/>
  <c r="C794" i="4"/>
  <c r="B794" i="4"/>
  <c r="A794" i="4"/>
  <c r="C793" i="4"/>
  <c r="B793" i="4"/>
  <c r="A793" i="4"/>
  <c r="C792" i="4"/>
  <c r="B792" i="4"/>
  <c r="A792" i="4"/>
  <c r="C791" i="4"/>
  <c r="B791" i="4"/>
  <c r="A791" i="4"/>
  <c r="C790" i="4"/>
  <c r="B790" i="4"/>
  <c r="A790" i="4"/>
  <c r="C789" i="4"/>
  <c r="B789" i="4"/>
  <c r="A789" i="4"/>
  <c r="C788" i="4"/>
  <c r="B788" i="4"/>
  <c r="A788" i="4"/>
  <c r="C787" i="4"/>
  <c r="B787" i="4"/>
  <c r="A787" i="4"/>
  <c r="C786" i="4"/>
  <c r="B786" i="4"/>
  <c r="A786" i="4"/>
  <c r="C785" i="4"/>
  <c r="B785" i="4"/>
  <c r="A785" i="4"/>
  <c r="C784" i="4"/>
  <c r="B784" i="4"/>
  <c r="A784" i="4"/>
  <c r="C783" i="4"/>
  <c r="B783" i="4"/>
  <c r="A783" i="4"/>
  <c r="C782" i="4"/>
  <c r="B782" i="4"/>
  <c r="A782" i="4"/>
  <c r="C781" i="4"/>
  <c r="B781" i="4"/>
  <c r="A781" i="4"/>
  <c r="C780" i="4"/>
  <c r="B780" i="4"/>
  <c r="A780" i="4"/>
  <c r="C779" i="4"/>
  <c r="B779" i="4"/>
  <c r="A779" i="4"/>
  <c r="C778" i="4"/>
  <c r="B778" i="4"/>
  <c r="A778" i="4"/>
  <c r="C777" i="4"/>
  <c r="B777" i="4"/>
  <c r="A777" i="4"/>
  <c r="C776" i="4"/>
  <c r="B776" i="4"/>
  <c r="A776" i="4"/>
  <c r="C775" i="4"/>
  <c r="B775" i="4"/>
  <c r="A775" i="4"/>
  <c r="C774" i="4"/>
  <c r="B774" i="4"/>
  <c r="A774" i="4"/>
  <c r="C773" i="4"/>
  <c r="B773" i="4"/>
  <c r="A773" i="4"/>
  <c r="C772" i="4"/>
  <c r="B772" i="4"/>
  <c r="A772" i="4"/>
  <c r="C771" i="4"/>
  <c r="B771" i="4"/>
  <c r="A771" i="4"/>
  <c r="C770" i="4"/>
  <c r="B770" i="4"/>
  <c r="A770" i="4"/>
  <c r="C769" i="4"/>
  <c r="B769" i="4"/>
  <c r="A769" i="4"/>
  <c r="C768" i="4"/>
  <c r="B768" i="4"/>
  <c r="A768" i="4"/>
  <c r="C767" i="4"/>
  <c r="B767" i="4"/>
  <c r="A767" i="4"/>
  <c r="C766" i="4"/>
  <c r="B766" i="4"/>
  <c r="A766" i="4"/>
  <c r="C765" i="4"/>
  <c r="B765" i="4"/>
  <c r="A765" i="4"/>
  <c r="C764" i="4"/>
  <c r="B764" i="4"/>
  <c r="A764" i="4"/>
  <c r="C763" i="4"/>
  <c r="B763" i="4"/>
  <c r="A763" i="4"/>
  <c r="C762" i="4"/>
  <c r="B762" i="4"/>
  <c r="A762" i="4"/>
  <c r="C761" i="4"/>
  <c r="B761" i="4"/>
  <c r="A761" i="4"/>
  <c r="C760" i="4"/>
  <c r="B760" i="4"/>
  <c r="A760" i="4"/>
  <c r="C759" i="4"/>
  <c r="B759" i="4"/>
  <c r="A759" i="4"/>
  <c r="C758" i="4"/>
  <c r="B758" i="4"/>
  <c r="A758" i="4"/>
  <c r="C757" i="4"/>
  <c r="B757" i="4"/>
  <c r="A757" i="4"/>
  <c r="C756" i="4"/>
  <c r="B756" i="4"/>
  <c r="A756" i="4"/>
  <c r="C755" i="4"/>
  <c r="B755" i="4"/>
  <c r="A755" i="4"/>
  <c r="C754" i="4"/>
  <c r="B754" i="4"/>
  <c r="A754" i="4"/>
  <c r="C753" i="4"/>
  <c r="B753" i="4"/>
  <c r="A753" i="4"/>
  <c r="C752" i="4"/>
  <c r="B752" i="4"/>
  <c r="A752" i="4"/>
  <c r="C751" i="4"/>
  <c r="B751" i="4"/>
  <c r="A751" i="4"/>
  <c r="C750" i="4"/>
  <c r="B750" i="4"/>
  <c r="A750" i="4"/>
  <c r="C749" i="4"/>
  <c r="B749" i="4"/>
  <c r="A749" i="4"/>
  <c r="C748" i="4"/>
  <c r="B748" i="4"/>
  <c r="A748" i="4"/>
  <c r="C747" i="4"/>
  <c r="B747" i="4"/>
  <c r="A747" i="4"/>
  <c r="C746" i="4"/>
  <c r="B746" i="4"/>
  <c r="A746" i="4"/>
  <c r="C745" i="4"/>
  <c r="B745" i="4"/>
  <c r="A745" i="4"/>
  <c r="C744" i="4"/>
  <c r="B744" i="4"/>
  <c r="A744" i="4"/>
  <c r="C743" i="4"/>
  <c r="B743" i="4"/>
  <c r="A743" i="4"/>
  <c r="C742" i="4"/>
  <c r="B742" i="4"/>
  <c r="A742" i="4"/>
  <c r="C741" i="4"/>
  <c r="B741" i="4"/>
  <c r="A741" i="4"/>
  <c r="C740" i="4"/>
  <c r="B740" i="4"/>
  <c r="A740" i="4"/>
  <c r="C739" i="4"/>
  <c r="B739" i="4"/>
  <c r="A739" i="4"/>
  <c r="C738" i="4"/>
  <c r="B738" i="4"/>
  <c r="A738" i="4"/>
  <c r="C737" i="4"/>
  <c r="B737" i="4"/>
  <c r="A737" i="4"/>
  <c r="C736" i="4"/>
  <c r="B736" i="4"/>
  <c r="A736" i="4"/>
  <c r="C735" i="4"/>
  <c r="B735" i="4"/>
  <c r="A735" i="4"/>
  <c r="C734" i="4"/>
  <c r="B734" i="4"/>
  <c r="A734" i="4"/>
  <c r="C733" i="4"/>
  <c r="B733" i="4"/>
  <c r="A733" i="4"/>
  <c r="C732" i="4"/>
  <c r="B732" i="4"/>
  <c r="A732" i="4"/>
  <c r="C731" i="4"/>
  <c r="B731" i="4"/>
  <c r="A731" i="4"/>
  <c r="C730" i="4"/>
  <c r="B730" i="4"/>
  <c r="A730" i="4"/>
  <c r="C729" i="4"/>
  <c r="B729" i="4"/>
  <c r="A729" i="4"/>
  <c r="C728" i="4"/>
  <c r="B728" i="4"/>
  <c r="A728" i="4"/>
  <c r="C727" i="4"/>
  <c r="B727" i="4"/>
  <c r="A727" i="4"/>
  <c r="C726" i="4"/>
  <c r="B726" i="4"/>
  <c r="A726" i="4"/>
  <c r="C725" i="4"/>
  <c r="B725" i="4"/>
  <c r="A725" i="4"/>
  <c r="C724" i="4"/>
  <c r="B724" i="4"/>
  <c r="A724" i="4"/>
  <c r="C723" i="4"/>
  <c r="B723" i="4"/>
  <c r="A723" i="4"/>
  <c r="C722" i="4"/>
  <c r="B722" i="4"/>
  <c r="A722" i="4"/>
  <c r="C721" i="4"/>
  <c r="B721" i="4"/>
  <c r="A721" i="4"/>
  <c r="C720" i="4"/>
  <c r="B720" i="4"/>
  <c r="A720" i="4"/>
  <c r="C719" i="4"/>
  <c r="B719" i="4"/>
  <c r="A719" i="4"/>
  <c r="C718" i="4"/>
  <c r="B718" i="4"/>
  <c r="A718" i="4"/>
  <c r="C717" i="4"/>
  <c r="B717" i="4"/>
  <c r="A717" i="4"/>
  <c r="C716" i="4"/>
  <c r="B716" i="4"/>
  <c r="A716" i="4"/>
  <c r="C715" i="4"/>
  <c r="B715" i="4"/>
  <c r="A715" i="4"/>
  <c r="C714" i="4"/>
  <c r="B714" i="4"/>
  <c r="A714" i="4"/>
  <c r="C713" i="4"/>
  <c r="B713" i="4"/>
  <c r="A713" i="4"/>
  <c r="C712" i="4"/>
  <c r="B712" i="4"/>
  <c r="A712" i="4"/>
  <c r="C711" i="4"/>
  <c r="B711" i="4"/>
  <c r="A711" i="4"/>
  <c r="C710" i="4"/>
  <c r="B710" i="4"/>
  <c r="A710" i="4"/>
  <c r="C709" i="4"/>
  <c r="B709" i="4"/>
  <c r="A709" i="4"/>
  <c r="C708" i="4"/>
  <c r="B708" i="4"/>
  <c r="A708" i="4"/>
  <c r="C707" i="4"/>
  <c r="B707" i="4"/>
  <c r="A707" i="4"/>
  <c r="C706" i="4"/>
  <c r="B706" i="4"/>
  <c r="A706" i="4"/>
  <c r="C705" i="4"/>
  <c r="B705" i="4"/>
  <c r="A705" i="4"/>
  <c r="C704" i="4"/>
  <c r="B704" i="4"/>
  <c r="A704" i="4"/>
  <c r="C703" i="4"/>
  <c r="B703" i="4"/>
  <c r="A703" i="4"/>
  <c r="C702" i="4"/>
  <c r="B702" i="4"/>
  <c r="A702" i="4"/>
  <c r="C701" i="4"/>
  <c r="B701" i="4"/>
  <c r="A701" i="4"/>
  <c r="C700" i="4"/>
  <c r="B700" i="4"/>
  <c r="A700" i="4"/>
  <c r="C699" i="4"/>
  <c r="B699" i="4"/>
  <c r="A699" i="4"/>
  <c r="C698" i="4"/>
  <c r="B698" i="4"/>
  <c r="A698" i="4"/>
  <c r="C697" i="4"/>
  <c r="B697" i="4"/>
  <c r="A697" i="4"/>
  <c r="C696" i="4"/>
  <c r="B696" i="4"/>
  <c r="A696" i="4"/>
  <c r="C695" i="4"/>
  <c r="B695" i="4"/>
  <c r="A695" i="4"/>
  <c r="C694" i="4"/>
  <c r="B694" i="4"/>
  <c r="A694" i="4"/>
  <c r="C693" i="4"/>
  <c r="B693" i="4"/>
  <c r="A693" i="4"/>
  <c r="C692" i="4"/>
  <c r="B692" i="4"/>
  <c r="A692" i="4"/>
  <c r="C691" i="4"/>
  <c r="B691" i="4"/>
  <c r="A691" i="4"/>
  <c r="C690" i="4"/>
  <c r="B690" i="4"/>
  <c r="A690" i="4"/>
  <c r="C689" i="4"/>
  <c r="B689" i="4"/>
  <c r="A689" i="4"/>
  <c r="C688" i="4"/>
  <c r="B688" i="4"/>
  <c r="A688" i="4"/>
  <c r="C687" i="4"/>
  <c r="B687" i="4"/>
  <c r="A687" i="4"/>
  <c r="C686" i="4"/>
  <c r="B686" i="4"/>
  <c r="A686" i="4"/>
  <c r="C685" i="4"/>
  <c r="B685" i="4"/>
  <c r="A685" i="4"/>
  <c r="C684" i="4"/>
  <c r="B684" i="4"/>
  <c r="A684" i="4"/>
  <c r="C683" i="4"/>
  <c r="B683" i="4"/>
  <c r="A683" i="4"/>
  <c r="C682" i="4"/>
  <c r="B682" i="4"/>
  <c r="A682" i="4"/>
  <c r="C681" i="4"/>
  <c r="B681" i="4"/>
  <c r="A681" i="4"/>
  <c r="C680" i="4"/>
  <c r="B680" i="4"/>
  <c r="A680" i="4"/>
  <c r="C679" i="4"/>
  <c r="B679" i="4"/>
  <c r="A679" i="4"/>
  <c r="C678" i="4"/>
  <c r="B678" i="4"/>
  <c r="A678" i="4"/>
  <c r="C677" i="4"/>
  <c r="B677" i="4"/>
  <c r="A677" i="4"/>
  <c r="C676" i="4"/>
  <c r="B676" i="4"/>
  <c r="A676" i="4"/>
  <c r="C675" i="4"/>
  <c r="B675" i="4"/>
  <c r="A675" i="4"/>
  <c r="C674" i="4"/>
  <c r="B674" i="4"/>
  <c r="A674" i="4"/>
  <c r="C673" i="4"/>
  <c r="B673" i="4"/>
  <c r="A673" i="4"/>
  <c r="C672" i="4"/>
  <c r="B672" i="4"/>
  <c r="A672" i="4"/>
  <c r="C671" i="4"/>
  <c r="B671" i="4"/>
  <c r="A671" i="4"/>
  <c r="C670" i="4"/>
  <c r="B670" i="4"/>
  <c r="A670" i="4"/>
  <c r="C669" i="4"/>
  <c r="B669" i="4"/>
  <c r="A669" i="4"/>
  <c r="C668" i="4"/>
  <c r="B668" i="4"/>
  <c r="A668" i="4"/>
  <c r="C667" i="4"/>
  <c r="B667" i="4"/>
  <c r="A667" i="4"/>
  <c r="C666" i="4"/>
  <c r="B666" i="4"/>
  <c r="A666" i="4"/>
  <c r="C665" i="4"/>
  <c r="B665" i="4"/>
  <c r="A665" i="4"/>
  <c r="C664" i="4"/>
  <c r="B664" i="4"/>
  <c r="A664" i="4"/>
  <c r="C663" i="4"/>
  <c r="B663" i="4"/>
  <c r="A663" i="4"/>
  <c r="C662" i="4"/>
  <c r="B662" i="4"/>
  <c r="A662" i="4"/>
  <c r="C661" i="4"/>
  <c r="B661" i="4"/>
  <c r="A661" i="4"/>
  <c r="C660" i="4"/>
  <c r="B660" i="4"/>
  <c r="A660" i="4"/>
  <c r="C659" i="4"/>
  <c r="B659" i="4"/>
  <c r="A659" i="4"/>
  <c r="C658" i="4"/>
  <c r="B658" i="4"/>
  <c r="A658" i="4"/>
  <c r="C657" i="4"/>
  <c r="B657" i="4"/>
  <c r="A657" i="4"/>
  <c r="C656" i="4"/>
  <c r="B656" i="4"/>
  <c r="A656" i="4"/>
  <c r="C655" i="4"/>
  <c r="B655" i="4"/>
  <c r="A655" i="4"/>
  <c r="C654" i="4"/>
  <c r="B654" i="4"/>
  <c r="A654" i="4"/>
  <c r="C653" i="4"/>
  <c r="B653" i="4"/>
  <c r="A653" i="4"/>
  <c r="C652" i="4"/>
  <c r="B652" i="4"/>
  <c r="A652" i="4"/>
  <c r="C651" i="4"/>
  <c r="B651" i="4"/>
  <c r="A651" i="4"/>
  <c r="C650" i="4"/>
  <c r="B650" i="4"/>
  <c r="A650" i="4"/>
  <c r="C649" i="4"/>
  <c r="B649" i="4"/>
  <c r="A649" i="4"/>
  <c r="C648" i="4"/>
  <c r="B648" i="4"/>
  <c r="A648" i="4"/>
  <c r="C647" i="4"/>
  <c r="B647" i="4"/>
  <c r="A647" i="4"/>
  <c r="C646" i="4"/>
  <c r="B646" i="4"/>
  <c r="A646" i="4"/>
  <c r="C645" i="4"/>
  <c r="B645" i="4"/>
  <c r="A645" i="4"/>
  <c r="C644" i="4"/>
  <c r="B644" i="4"/>
  <c r="A644" i="4"/>
  <c r="C643" i="4"/>
  <c r="B643" i="4"/>
  <c r="A643" i="4"/>
  <c r="C642" i="4"/>
  <c r="B642" i="4"/>
  <c r="A642" i="4"/>
  <c r="C641" i="4"/>
  <c r="B641" i="4"/>
  <c r="A641" i="4"/>
  <c r="C640" i="4"/>
  <c r="B640" i="4"/>
  <c r="A640" i="4"/>
  <c r="C639" i="4"/>
  <c r="B639" i="4"/>
  <c r="A639" i="4"/>
  <c r="C638" i="4"/>
  <c r="B638" i="4"/>
  <c r="A638" i="4"/>
  <c r="C637" i="4"/>
  <c r="B637" i="4"/>
  <c r="A637" i="4"/>
  <c r="C636" i="4"/>
  <c r="B636" i="4"/>
  <c r="A636" i="4"/>
  <c r="C635" i="4"/>
  <c r="B635" i="4"/>
  <c r="A635" i="4"/>
  <c r="C634" i="4"/>
  <c r="B634" i="4"/>
  <c r="A634" i="4"/>
  <c r="C633" i="4"/>
  <c r="B633" i="4"/>
  <c r="A633" i="4"/>
  <c r="C632" i="4"/>
  <c r="B632" i="4"/>
  <c r="A632" i="4"/>
  <c r="C631" i="4"/>
  <c r="B631" i="4"/>
  <c r="A631" i="4"/>
  <c r="C630" i="4"/>
  <c r="B630" i="4"/>
  <c r="A630" i="4"/>
  <c r="C629" i="4"/>
  <c r="B629" i="4"/>
  <c r="A629" i="4"/>
  <c r="C628" i="4"/>
  <c r="B628" i="4"/>
  <c r="A628" i="4"/>
  <c r="C627" i="4"/>
  <c r="B627" i="4"/>
  <c r="A627" i="4"/>
  <c r="C626" i="4"/>
  <c r="B626" i="4"/>
  <c r="A626" i="4"/>
  <c r="C625" i="4"/>
  <c r="B625" i="4"/>
  <c r="A625" i="4"/>
  <c r="C624" i="4"/>
  <c r="B624" i="4"/>
  <c r="A624" i="4"/>
  <c r="C623" i="4"/>
  <c r="B623" i="4"/>
  <c r="A623" i="4"/>
  <c r="C622" i="4"/>
  <c r="B622" i="4"/>
  <c r="A622" i="4"/>
  <c r="C621" i="4"/>
  <c r="B621" i="4"/>
  <c r="A621" i="4"/>
  <c r="C620" i="4"/>
  <c r="B620" i="4"/>
  <c r="A620" i="4"/>
  <c r="C619" i="4"/>
  <c r="B619" i="4"/>
  <c r="A619" i="4"/>
  <c r="C618" i="4"/>
  <c r="B618" i="4"/>
  <c r="A618" i="4"/>
  <c r="C617" i="4"/>
  <c r="B617" i="4"/>
  <c r="A617" i="4"/>
  <c r="C616" i="4"/>
  <c r="B616" i="4"/>
  <c r="A616" i="4"/>
  <c r="C615" i="4"/>
  <c r="B615" i="4"/>
  <c r="A615" i="4"/>
  <c r="C614" i="4"/>
  <c r="B614" i="4"/>
  <c r="A614" i="4"/>
  <c r="C613" i="4"/>
  <c r="B613" i="4"/>
  <c r="A613" i="4"/>
  <c r="C612" i="4"/>
  <c r="B612" i="4"/>
  <c r="A612" i="4"/>
  <c r="C611" i="4"/>
  <c r="B611" i="4"/>
  <c r="A611" i="4"/>
  <c r="C610" i="4"/>
  <c r="B610" i="4"/>
  <c r="A610" i="4"/>
  <c r="C609" i="4"/>
  <c r="B609" i="4"/>
  <c r="A609" i="4"/>
  <c r="C608" i="4"/>
  <c r="B608" i="4"/>
  <c r="A608" i="4"/>
  <c r="C607" i="4"/>
  <c r="B607" i="4"/>
  <c r="A607" i="4"/>
  <c r="C606" i="4"/>
  <c r="B606" i="4"/>
  <c r="A606" i="4"/>
  <c r="C605" i="4"/>
  <c r="B605" i="4"/>
  <c r="A605" i="4"/>
  <c r="C604" i="4"/>
  <c r="B604" i="4"/>
  <c r="A604" i="4"/>
  <c r="C603" i="4"/>
  <c r="B603" i="4"/>
  <c r="A603" i="4"/>
  <c r="C602" i="4"/>
  <c r="B602" i="4"/>
  <c r="A602" i="4"/>
  <c r="C601" i="4"/>
  <c r="B601" i="4"/>
  <c r="A601" i="4"/>
  <c r="C600" i="4"/>
  <c r="B600" i="4"/>
  <c r="A600" i="4"/>
  <c r="C599" i="4"/>
  <c r="B599" i="4"/>
  <c r="A599" i="4"/>
  <c r="C598" i="4"/>
  <c r="B598" i="4"/>
  <c r="A598" i="4"/>
  <c r="C597" i="4"/>
  <c r="B597" i="4"/>
  <c r="A597" i="4"/>
  <c r="C596" i="4"/>
  <c r="B596" i="4"/>
  <c r="A596" i="4"/>
  <c r="C595" i="4"/>
  <c r="B595" i="4"/>
  <c r="A595" i="4"/>
  <c r="C594" i="4"/>
  <c r="B594" i="4"/>
  <c r="A594" i="4"/>
  <c r="C593" i="4"/>
  <c r="B593" i="4"/>
  <c r="A593" i="4"/>
  <c r="C592" i="4"/>
  <c r="B592" i="4"/>
  <c r="A592" i="4"/>
  <c r="C591" i="4"/>
  <c r="B591" i="4"/>
  <c r="A591" i="4"/>
  <c r="C590" i="4"/>
  <c r="B590" i="4"/>
  <c r="A590" i="4"/>
  <c r="C589" i="4"/>
  <c r="B589" i="4"/>
  <c r="A589" i="4"/>
  <c r="C588" i="4"/>
  <c r="B588" i="4"/>
  <c r="A588" i="4"/>
  <c r="C587" i="4"/>
  <c r="B587" i="4"/>
  <c r="A587" i="4"/>
  <c r="C586" i="4"/>
  <c r="B586" i="4"/>
  <c r="A586" i="4"/>
  <c r="C585" i="4"/>
  <c r="B585" i="4"/>
  <c r="A585" i="4"/>
  <c r="C584" i="4"/>
  <c r="B584" i="4"/>
  <c r="A584" i="4"/>
  <c r="C583" i="4"/>
  <c r="B583" i="4"/>
  <c r="A583" i="4"/>
  <c r="C582" i="4"/>
  <c r="B582" i="4"/>
  <c r="A582" i="4"/>
  <c r="C581" i="4"/>
  <c r="B581" i="4"/>
  <c r="A581" i="4"/>
  <c r="C580" i="4"/>
  <c r="B580" i="4"/>
  <c r="A580" i="4"/>
  <c r="C579" i="4"/>
  <c r="B579" i="4"/>
  <c r="A579" i="4"/>
  <c r="C578" i="4"/>
  <c r="B578" i="4"/>
  <c r="A578" i="4"/>
  <c r="C577" i="4"/>
  <c r="B577" i="4"/>
  <c r="A577" i="4"/>
  <c r="C576" i="4"/>
  <c r="B576" i="4"/>
  <c r="A576" i="4"/>
  <c r="C575" i="4"/>
  <c r="B575" i="4"/>
  <c r="A575" i="4"/>
  <c r="C574" i="4"/>
  <c r="B574" i="4"/>
  <c r="A574" i="4"/>
  <c r="C573" i="4"/>
  <c r="B573" i="4"/>
  <c r="A573" i="4"/>
  <c r="C572" i="4"/>
  <c r="B572" i="4"/>
  <c r="A572" i="4"/>
  <c r="C571" i="4"/>
  <c r="B571" i="4"/>
  <c r="A571" i="4"/>
  <c r="C570" i="4"/>
  <c r="B570" i="4"/>
  <c r="A570" i="4"/>
  <c r="C569" i="4"/>
  <c r="B569" i="4"/>
  <c r="A569" i="4"/>
  <c r="C568" i="4"/>
  <c r="B568" i="4"/>
  <c r="A568" i="4"/>
  <c r="C567" i="4"/>
  <c r="B567" i="4"/>
  <c r="A567" i="4"/>
  <c r="C566" i="4"/>
  <c r="B566" i="4"/>
  <c r="A566" i="4"/>
  <c r="C565" i="4"/>
  <c r="B565" i="4"/>
  <c r="A565" i="4"/>
  <c r="C564" i="4"/>
  <c r="B564" i="4"/>
  <c r="A564" i="4"/>
  <c r="C563" i="4"/>
  <c r="B563" i="4"/>
  <c r="A563" i="4"/>
  <c r="C562" i="4"/>
  <c r="B562" i="4"/>
  <c r="A562" i="4"/>
  <c r="C561" i="4"/>
  <c r="B561" i="4"/>
  <c r="A561" i="4"/>
  <c r="C560" i="4"/>
  <c r="B560" i="4"/>
  <c r="A560" i="4"/>
  <c r="C559" i="4"/>
  <c r="B559" i="4"/>
  <c r="A559" i="4"/>
  <c r="C558" i="4"/>
  <c r="B558" i="4"/>
  <c r="A558" i="4"/>
  <c r="C557" i="4"/>
  <c r="B557" i="4"/>
  <c r="A557" i="4"/>
  <c r="C556" i="4"/>
  <c r="B556" i="4"/>
  <c r="A556" i="4"/>
  <c r="C555" i="4"/>
  <c r="B555" i="4"/>
  <c r="A555" i="4"/>
  <c r="C554" i="4"/>
  <c r="B554" i="4"/>
  <c r="A554" i="4"/>
  <c r="C553" i="4"/>
  <c r="B553" i="4"/>
  <c r="A553" i="4"/>
  <c r="C552" i="4"/>
  <c r="B552" i="4"/>
  <c r="A552" i="4"/>
  <c r="C551" i="4"/>
  <c r="B551" i="4"/>
  <c r="A551" i="4"/>
  <c r="C550" i="4"/>
  <c r="B550" i="4"/>
  <c r="A550" i="4"/>
  <c r="C549" i="4"/>
  <c r="B549" i="4"/>
  <c r="A549" i="4"/>
  <c r="C548" i="4"/>
  <c r="B548" i="4"/>
  <c r="A548" i="4"/>
  <c r="C547" i="4"/>
  <c r="B547" i="4"/>
  <c r="A547" i="4"/>
  <c r="C546" i="4"/>
  <c r="B546" i="4"/>
  <c r="A546" i="4"/>
  <c r="C545" i="4"/>
  <c r="B545" i="4"/>
  <c r="A545" i="4"/>
  <c r="C544" i="4"/>
  <c r="B544" i="4"/>
  <c r="A544" i="4"/>
  <c r="C543" i="4"/>
  <c r="B543" i="4"/>
  <c r="A543" i="4"/>
  <c r="C542" i="4"/>
  <c r="B542" i="4"/>
  <c r="A542" i="4"/>
  <c r="C541" i="4"/>
  <c r="B541" i="4"/>
  <c r="A541" i="4"/>
  <c r="C540" i="4"/>
  <c r="B540" i="4"/>
  <c r="A540" i="4"/>
  <c r="C539" i="4"/>
  <c r="B539" i="4"/>
  <c r="A539" i="4"/>
  <c r="C538" i="4"/>
  <c r="B538" i="4"/>
  <c r="A538" i="4"/>
  <c r="C537" i="4"/>
  <c r="B537" i="4"/>
  <c r="A537" i="4"/>
  <c r="C536" i="4"/>
  <c r="B536" i="4"/>
  <c r="A536" i="4"/>
  <c r="C535" i="4"/>
  <c r="B535" i="4"/>
  <c r="A535" i="4"/>
  <c r="C534" i="4"/>
  <c r="B534" i="4"/>
  <c r="A534" i="4"/>
  <c r="C533" i="4"/>
  <c r="B533" i="4"/>
  <c r="A533" i="4"/>
  <c r="C532" i="4"/>
  <c r="B532" i="4"/>
  <c r="A532" i="4"/>
  <c r="C531" i="4"/>
  <c r="B531" i="4"/>
  <c r="A531" i="4"/>
  <c r="C530" i="4"/>
  <c r="B530" i="4"/>
  <c r="A530" i="4"/>
  <c r="C529" i="4"/>
  <c r="B529" i="4"/>
  <c r="A529" i="4"/>
  <c r="C528" i="4"/>
  <c r="B528" i="4"/>
  <c r="A528" i="4"/>
  <c r="C527" i="4"/>
  <c r="B527" i="4"/>
  <c r="A527" i="4"/>
  <c r="C526" i="4"/>
  <c r="B526" i="4"/>
  <c r="A526" i="4"/>
  <c r="C525" i="4"/>
  <c r="B525" i="4"/>
  <c r="A525" i="4"/>
  <c r="C524" i="4"/>
  <c r="B524" i="4"/>
  <c r="A524" i="4"/>
  <c r="C523" i="4"/>
  <c r="B523" i="4"/>
  <c r="A523" i="4"/>
  <c r="C522" i="4"/>
  <c r="B522" i="4"/>
  <c r="A522" i="4"/>
  <c r="C521" i="4"/>
  <c r="B521" i="4"/>
  <c r="A521" i="4"/>
  <c r="C520" i="4"/>
  <c r="B520" i="4"/>
  <c r="A520" i="4"/>
  <c r="C519" i="4"/>
  <c r="B519" i="4"/>
  <c r="A519" i="4"/>
  <c r="C518" i="4"/>
  <c r="B518" i="4"/>
  <c r="A518" i="4"/>
  <c r="C517" i="4"/>
  <c r="B517" i="4"/>
  <c r="A517" i="4"/>
  <c r="C516" i="4"/>
  <c r="B516" i="4"/>
  <c r="A516" i="4"/>
  <c r="C515" i="4"/>
  <c r="B515" i="4"/>
  <c r="A515" i="4"/>
  <c r="C514" i="4"/>
  <c r="B514" i="4"/>
  <c r="A514" i="4"/>
  <c r="C513" i="4"/>
  <c r="B513" i="4"/>
  <c r="A513" i="4"/>
  <c r="C512" i="4"/>
  <c r="B512" i="4"/>
  <c r="A512" i="4"/>
  <c r="C511" i="4"/>
  <c r="B511" i="4"/>
  <c r="A511" i="4"/>
  <c r="C510" i="4"/>
  <c r="B510" i="4"/>
  <c r="A510" i="4"/>
  <c r="C509" i="4"/>
  <c r="B509" i="4"/>
  <c r="A509" i="4"/>
  <c r="C508" i="4"/>
  <c r="B508" i="4"/>
  <c r="A508" i="4"/>
  <c r="C507" i="4"/>
  <c r="B507" i="4"/>
  <c r="A507" i="4"/>
  <c r="C506" i="4"/>
  <c r="B506" i="4"/>
  <c r="A506" i="4"/>
  <c r="C505" i="4"/>
  <c r="B505" i="4"/>
  <c r="A505" i="4"/>
  <c r="C504" i="4"/>
  <c r="B504" i="4"/>
  <c r="A504" i="4"/>
  <c r="C503" i="4"/>
  <c r="B503" i="4"/>
  <c r="A503" i="4"/>
  <c r="C502" i="4"/>
  <c r="B502" i="4"/>
  <c r="A502" i="4"/>
  <c r="C501" i="4"/>
  <c r="B501" i="4"/>
  <c r="A501" i="4"/>
  <c r="C500" i="4"/>
  <c r="B500" i="4"/>
  <c r="A500" i="4"/>
  <c r="C499" i="4"/>
  <c r="B499" i="4"/>
  <c r="A499" i="4"/>
  <c r="C498" i="4"/>
  <c r="B498" i="4"/>
  <c r="A498" i="4"/>
  <c r="C497" i="4"/>
  <c r="B497" i="4"/>
  <c r="A497" i="4"/>
  <c r="C496" i="4"/>
  <c r="B496" i="4"/>
  <c r="A496" i="4"/>
  <c r="C495" i="4"/>
  <c r="B495" i="4"/>
  <c r="A495" i="4"/>
  <c r="C494" i="4"/>
  <c r="B494" i="4"/>
  <c r="A494" i="4"/>
  <c r="C493" i="4"/>
  <c r="B493" i="4"/>
  <c r="A493" i="4"/>
  <c r="C492" i="4"/>
  <c r="B492" i="4"/>
  <c r="A492" i="4"/>
  <c r="C491" i="4"/>
  <c r="B491" i="4"/>
  <c r="A491" i="4"/>
  <c r="C490" i="4"/>
  <c r="B490" i="4"/>
  <c r="A490" i="4"/>
  <c r="C489" i="4"/>
  <c r="B489" i="4"/>
  <c r="A489" i="4"/>
  <c r="C488" i="4"/>
  <c r="B488" i="4"/>
  <c r="A488" i="4"/>
  <c r="C487" i="4"/>
  <c r="B487" i="4"/>
  <c r="A487" i="4"/>
  <c r="C486" i="4"/>
  <c r="B486" i="4"/>
  <c r="A486" i="4"/>
  <c r="C485" i="4"/>
  <c r="B485" i="4"/>
  <c r="A485" i="4"/>
  <c r="C484" i="4"/>
  <c r="B484" i="4"/>
  <c r="A484" i="4"/>
  <c r="C483" i="4"/>
  <c r="B483" i="4"/>
  <c r="A483" i="4"/>
  <c r="C482" i="4"/>
  <c r="B482" i="4"/>
  <c r="A482" i="4"/>
  <c r="C481" i="4"/>
  <c r="B481" i="4"/>
  <c r="A481" i="4"/>
  <c r="C480" i="4"/>
  <c r="B480" i="4"/>
  <c r="A480" i="4"/>
  <c r="C479" i="4"/>
  <c r="B479" i="4"/>
  <c r="A479" i="4"/>
  <c r="C478" i="4"/>
  <c r="B478" i="4"/>
  <c r="A478" i="4"/>
  <c r="C477" i="4"/>
  <c r="B477" i="4"/>
  <c r="A477" i="4"/>
  <c r="C476" i="4"/>
  <c r="B476" i="4"/>
  <c r="A476" i="4"/>
  <c r="C475" i="4"/>
  <c r="B475" i="4"/>
  <c r="A475" i="4"/>
  <c r="C474" i="4"/>
  <c r="B474" i="4"/>
  <c r="A474" i="4"/>
  <c r="C473" i="4"/>
  <c r="B473" i="4"/>
  <c r="A473" i="4"/>
  <c r="C472" i="4"/>
  <c r="B472" i="4"/>
  <c r="A472" i="4"/>
  <c r="C471" i="4"/>
  <c r="B471" i="4"/>
  <c r="A471" i="4"/>
  <c r="C470" i="4"/>
  <c r="B470" i="4"/>
  <c r="A470" i="4"/>
  <c r="C469" i="4"/>
  <c r="B469" i="4"/>
  <c r="A469" i="4"/>
  <c r="C468" i="4"/>
  <c r="B468" i="4"/>
  <c r="A468" i="4"/>
  <c r="C467" i="4"/>
  <c r="B467" i="4"/>
  <c r="A467" i="4"/>
  <c r="C466" i="4"/>
  <c r="B466" i="4"/>
  <c r="A466" i="4"/>
  <c r="C465" i="4"/>
  <c r="B465" i="4"/>
  <c r="A465" i="4"/>
  <c r="C464" i="4"/>
  <c r="B464" i="4"/>
  <c r="A464" i="4"/>
  <c r="C463" i="4"/>
  <c r="B463" i="4"/>
  <c r="A463" i="4"/>
  <c r="C462" i="4"/>
  <c r="B462" i="4"/>
  <c r="A462" i="4"/>
  <c r="C461" i="4"/>
  <c r="B461" i="4"/>
  <c r="A461" i="4"/>
  <c r="C460" i="4"/>
  <c r="B460" i="4"/>
  <c r="A460" i="4"/>
  <c r="C459" i="4"/>
  <c r="B459" i="4"/>
  <c r="A459" i="4"/>
  <c r="C458" i="4"/>
  <c r="B458" i="4"/>
  <c r="A458" i="4"/>
  <c r="C457" i="4"/>
  <c r="B457" i="4"/>
  <c r="A457" i="4"/>
  <c r="C456" i="4"/>
  <c r="B456" i="4"/>
  <c r="A456" i="4"/>
  <c r="C455" i="4"/>
  <c r="B455" i="4"/>
  <c r="A455" i="4"/>
  <c r="C454" i="4"/>
  <c r="B454" i="4"/>
  <c r="A454" i="4"/>
  <c r="C453" i="4"/>
  <c r="B453" i="4"/>
  <c r="A453" i="4"/>
  <c r="C452" i="4"/>
  <c r="B452" i="4"/>
  <c r="A452" i="4"/>
  <c r="C451" i="4"/>
  <c r="B451" i="4"/>
  <c r="A451" i="4"/>
  <c r="C450" i="4"/>
  <c r="B450" i="4"/>
  <c r="A450" i="4"/>
  <c r="C449" i="4"/>
  <c r="B449" i="4"/>
  <c r="A449" i="4"/>
  <c r="C448" i="4"/>
  <c r="B448" i="4"/>
  <c r="A448" i="4"/>
  <c r="C447" i="4"/>
  <c r="B447" i="4"/>
  <c r="A447" i="4"/>
  <c r="C446" i="4"/>
  <c r="B446" i="4"/>
  <c r="A446" i="4"/>
  <c r="C445" i="4"/>
  <c r="B445" i="4"/>
  <c r="A445" i="4"/>
  <c r="C444" i="4"/>
  <c r="B444" i="4"/>
  <c r="A444" i="4"/>
  <c r="C443" i="4"/>
  <c r="B443" i="4"/>
  <c r="A443" i="4"/>
  <c r="C442" i="4"/>
  <c r="B442" i="4"/>
  <c r="A442" i="4"/>
  <c r="C441" i="4"/>
  <c r="B441" i="4"/>
  <c r="A441" i="4"/>
  <c r="C440" i="4"/>
  <c r="B440" i="4"/>
  <c r="A440" i="4"/>
  <c r="C439" i="4"/>
  <c r="B439" i="4"/>
  <c r="A439" i="4"/>
  <c r="C438" i="4"/>
  <c r="B438" i="4"/>
  <c r="A438" i="4"/>
  <c r="C437" i="4"/>
  <c r="B437" i="4"/>
  <c r="A437" i="4"/>
  <c r="C436" i="4"/>
  <c r="B436" i="4"/>
  <c r="A436" i="4"/>
  <c r="C435" i="4"/>
  <c r="B435" i="4"/>
  <c r="A435" i="4"/>
  <c r="C434" i="4"/>
  <c r="B434" i="4"/>
  <c r="A434" i="4"/>
  <c r="C433" i="4"/>
  <c r="B433" i="4"/>
  <c r="A433" i="4"/>
  <c r="C432" i="4"/>
  <c r="B432" i="4"/>
  <c r="A432" i="4"/>
  <c r="C431" i="4"/>
  <c r="B431" i="4"/>
  <c r="A431" i="4"/>
  <c r="C430" i="4"/>
  <c r="B430" i="4"/>
  <c r="A430" i="4"/>
  <c r="C429" i="4"/>
  <c r="B429" i="4"/>
  <c r="A429" i="4"/>
  <c r="C428" i="4"/>
  <c r="B428" i="4"/>
  <c r="A428" i="4"/>
  <c r="C427" i="4"/>
  <c r="B427" i="4"/>
  <c r="A427" i="4"/>
  <c r="C426" i="4"/>
  <c r="B426" i="4"/>
  <c r="A426" i="4"/>
  <c r="C425" i="4"/>
  <c r="B425" i="4"/>
  <c r="A425" i="4"/>
  <c r="C424" i="4"/>
  <c r="B424" i="4"/>
  <c r="A424" i="4"/>
  <c r="C423" i="4"/>
  <c r="B423" i="4"/>
  <c r="A423" i="4"/>
  <c r="C422" i="4"/>
  <c r="B422" i="4"/>
  <c r="A422" i="4"/>
  <c r="C421" i="4"/>
  <c r="B421" i="4"/>
  <c r="A421" i="4"/>
  <c r="C420" i="4"/>
  <c r="B420" i="4"/>
  <c r="A420" i="4"/>
  <c r="C419" i="4"/>
  <c r="B419" i="4"/>
  <c r="A419" i="4"/>
  <c r="C418" i="4"/>
  <c r="B418" i="4"/>
  <c r="A418" i="4"/>
  <c r="C417" i="4"/>
  <c r="B417" i="4"/>
  <c r="A417" i="4"/>
  <c r="C416" i="4"/>
  <c r="B416" i="4"/>
  <c r="A416" i="4"/>
  <c r="C415" i="4"/>
  <c r="B415" i="4"/>
  <c r="A415" i="4"/>
  <c r="C414" i="4"/>
  <c r="B414" i="4"/>
  <c r="A414" i="4"/>
  <c r="C413" i="4"/>
  <c r="B413" i="4"/>
  <c r="A413" i="4"/>
  <c r="C412" i="4"/>
  <c r="B412" i="4"/>
  <c r="A412" i="4"/>
  <c r="C411" i="4"/>
  <c r="B411" i="4"/>
  <c r="A411" i="4"/>
  <c r="C410" i="4"/>
  <c r="B410" i="4"/>
  <c r="A410" i="4"/>
  <c r="C409" i="4"/>
  <c r="B409" i="4"/>
  <c r="A409" i="4"/>
  <c r="C408" i="4"/>
  <c r="B408" i="4"/>
  <c r="A408" i="4"/>
  <c r="C407" i="4"/>
  <c r="B407" i="4"/>
  <c r="A407" i="4"/>
  <c r="C406" i="4"/>
  <c r="B406" i="4"/>
  <c r="A406" i="4"/>
  <c r="C405" i="4"/>
  <c r="B405" i="4"/>
  <c r="A405" i="4"/>
  <c r="C404" i="4"/>
  <c r="B404" i="4"/>
  <c r="A404" i="4"/>
  <c r="C403" i="4"/>
  <c r="B403" i="4"/>
  <c r="A403" i="4"/>
  <c r="C402" i="4"/>
  <c r="B402" i="4"/>
  <c r="A402" i="4"/>
  <c r="C401" i="4"/>
  <c r="B401" i="4"/>
  <c r="A401" i="4"/>
  <c r="C400" i="4"/>
  <c r="B400" i="4"/>
  <c r="A400" i="4"/>
  <c r="C399" i="4"/>
  <c r="B399" i="4"/>
  <c r="A399" i="4"/>
  <c r="C398" i="4"/>
  <c r="B398" i="4"/>
  <c r="A398" i="4"/>
  <c r="C397" i="4"/>
  <c r="B397" i="4"/>
  <c r="A397" i="4"/>
  <c r="C396" i="4"/>
  <c r="B396" i="4"/>
  <c r="A396" i="4"/>
  <c r="C395" i="4"/>
  <c r="B395" i="4"/>
  <c r="A395" i="4"/>
  <c r="C394" i="4"/>
  <c r="B394" i="4"/>
  <c r="A394" i="4"/>
  <c r="C393" i="4"/>
  <c r="B393" i="4"/>
  <c r="A393" i="4"/>
  <c r="C392" i="4"/>
  <c r="B392" i="4"/>
  <c r="A392" i="4"/>
  <c r="C391" i="4"/>
  <c r="B391" i="4"/>
  <c r="A391" i="4"/>
  <c r="C390" i="4"/>
  <c r="B390" i="4"/>
  <c r="A390" i="4"/>
  <c r="C389" i="4"/>
  <c r="B389" i="4"/>
  <c r="A389" i="4"/>
  <c r="C388" i="4"/>
  <c r="B388" i="4"/>
  <c r="A388" i="4"/>
  <c r="C387" i="4"/>
  <c r="B387" i="4"/>
  <c r="A387" i="4"/>
  <c r="C386" i="4"/>
  <c r="B386" i="4"/>
  <c r="A386" i="4"/>
  <c r="C385" i="4"/>
  <c r="B385" i="4"/>
  <c r="A385" i="4"/>
  <c r="C384" i="4"/>
  <c r="B384" i="4"/>
  <c r="A384" i="4"/>
  <c r="C383" i="4"/>
  <c r="B383" i="4"/>
  <c r="A383" i="4"/>
  <c r="C382" i="4"/>
  <c r="B382" i="4"/>
  <c r="A382" i="4"/>
  <c r="C381" i="4"/>
  <c r="B381" i="4"/>
  <c r="A381" i="4"/>
  <c r="C380" i="4"/>
  <c r="B380" i="4"/>
  <c r="A380" i="4"/>
  <c r="C379" i="4"/>
  <c r="B379" i="4"/>
  <c r="A379" i="4"/>
  <c r="C378" i="4"/>
  <c r="B378" i="4"/>
  <c r="A378" i="4"/>
  <c r="C377" i="4"/>
  <c r="B377" i="4"/>
  <c r="A377" i="4"/>
  <c r="C376" i="4"/>
  <c r="B376" i="4"/>
  <c r="A376" i="4"/>
  <c r="C375" i="4"/>
  <c r="B375" i="4"/>
  <c r="A375" i="4"/>
  <c r="C374" i="4"/>
  <c r="B374" i="4"/>
  <c r="A374" i="4"/>
  <c r="C373" i="4"/>
  <c r="B373" i="4"/>
  <c r="A373" i="4"/>
  <c r="C372" i="4"/>
  <c r="B372" i="4"/>
  <c r="A372" i="4"/>
  <c r="C371" i="4"/>
  <c r="B371" i="4"/>
  <c r="A371" i="4"/>
  <c r="C370" i="4"/>
  <c r="B370" i="4"/>
  <c r="A370" i="4"/>
  <c r="C369" i="4"/>
  <c r="B369" i="4"/>
  <c r="A369" i="4"/>
  <c r="C368" i="4"/>
  <c r="B368" i="4"/>
  <c r="A368" i="4"/>
  <c r="C367" i="4"/>
  <c r="B367" i="4"/>
  <c r="A367" i="4"/>
  <c r="C366" i="4"/>
  <c r="B366" i="4"/>
  <c r="A366" i="4"/>
  <c r="C365" i="4"/>
  <c r="B365" i="4"/>
  <c r="A365" i="4"/>
  <c r="C364" i="4"/>
  <c r="B364" i="4"/>
  <c r="A364" i="4"/>
  <c r="C363" i="4"/>
  <c r="B363" i="4"/>
  <c r="A363" i="4"/>
  <c r="C362" i="4"/>
  <c r="B362" i="4"/>
  <c r="A362" i="4"/>
  <c r="C361" i="4"/>
  <c r="B361" i="4"/>
  <c r="A361" i="4"/>
  <c r="C360" i="4"/>
  <c r="B360" i="4"/>
  <c r="A360" i="4"/>
  <c r="C359" i="4"/>
  <c r="B359" i="4"/>
  <c r="A359" i="4"/>
  <c r="C358" i="4"/>
  <c r="B358" i="4"/>
  <c r="A358" i="4"/>
  <c r="C357" i="4"/>
  <c r="B357" i="4"/>
  <c r="A357" i="4"/>
  <c r="C356" i="4"/>
  <c r="B356" i="4"/>
  <c r="A356" i="4"/>
  <c r="C355" i="4"/>
  <c r="B355" i="4"/>
  <c r="A355" i="4"/>
  <c r="C354" i="4"/>
  <c r="B354" i="4"/>
  <c r="A354" i="4"/>
  <c r="C353" i="4"/>
  <c r="B353" i="4"/>
  <c r="A353" i="4"/>
  <c r="C352" i="4"/>
  <c r="B352" i="4"/>
  <c r="A352" i="4"/>
  <c r="C351" i="4"/>
  <c r="B351" i="4"/>
  <c r="A351" i="4"/>
  <c r="C350" i="4"/>
  <c r="B350" i="4"/>
  <c r="A350" i="4"/>
  <c r="C349" i="4"/>
  <c r="B349" i="4"/>
  <c r="A349" i="4"/>
  <c r="C348" i="4"/>
  <c r="B348" i="4"/>
  <c r="A348" i="4"/>
  <c r="C347" i="4"/>
  <c r="B347" i="4"/>
  <c r="A347" i="4"/>
  <c r="C346" i="4"/>
  <c r="B346" i="4"/>
  <c r="A346" i="4"/>
  <c r="C345" i="4"/>
  <c r="B345" i="4"/>
  <c r="A345" i="4"/>
  <c r="C344" i="4"/>
  <c r="B344" i="4"/>
  <c r="A344" i="4"/>
  <c r="C343" i="4"/>
  <c r="B343" i="4"/>
  <c r="A343" i="4"/>
  <c r="C342" i="4"/>
  <c r="B342" i="4"/>
  <c r="A342" i="4"/>
  <c r="C341" i="4"/>
  <c r="B341" i="4"/>
  <c r="A341" i="4"/>
  <c r="C340" i="4"/>
  <c r="B340" i="4"/>
  <c r="A340" i="4"/>
  <c r="C339" i="4"/>
  <c r="B339" i="4"/>
  <c r="A339" i="4"/>
  <c r="C338" i="4"/>
  <c r="B338" i="4"/>
  <c r="A338" i="4"/>
  <c r="C337" i="4"/>
  <c r="B337" i="4"/>
  <c r="A337" i="4"/>
  <c r="C336" i="4"/>
  <c r="B336" i="4"/>
  <c r="A336" i="4"/>
  <c r="C335" i="4"/>
  <c r="B335" i="4"/>
  <c r="A335" i="4"/>
  <c r="C334" i="4"/>
  <c r="B334" i="4"/>
  <c r="A334" i="4"/>
  <c r="C333" i="4"/>
  <c r="B333" i="4"/>
  <c r="A333" i="4"/>
  <c r="C332" i="4"/>
  <c r="B332" i="4"/>
  <c r="A332" i="4"/>
  <c r="C331" i="4"/>
  <c r="B331" i="4"/>
  <c r="A331" i="4"/>
  <c r="C330" i="4"/>
  <c r="B330" i="4"/>
  <c r="A330" i="4"/>
  <c r="C329" i="4"/>
  <c r="B329" i="4"/>
  <c r="A329" i="4"/>
  <c r="C328" i="4"/>
  <c r="B328" i="4"/>
  <c r="A328" i="4"/>
  <c r="C327" i="4"/>
  <c r="B327" i="4"/>
  <c r="A327" i="4"/>
  <c r="C326" i="4"/>
  <c r="B326" i="4"/>
  <c r="A326" i="4"/>
  <c r="C325" i="4"/>
  <c r="B325" i="4"/>
  <c r="A325" i="4"/>
  <c r="C324" i="4"/>
  <c r="B324" i="4"/>
  <c r="A324" i="4"/>
  <c r="C323" i="4"/>
  <c r="B323" i="4"/>
  <c r="A323" i="4"/>
  <c r="C322" i="4"/>
  <c r="B322" i="4"/>
  <c r="A322" i="4"/>
  <c r="C321" i="4"/>
  <c r="B321" i="4"/>
  <c r="A321" i="4"/>
  <c r="C320" i="4"/>
  <c r="B320" i="4"/>
  <c r="A320" i="4"/>
  <c r="C319" i="4"/>
  <c r="B319" i="4"/>
  <c r="A319" i="4"/>
  <c r="C318" i="4"/>
  <c r="B318" i="4"/>
  <c r="A318" i="4"/>
  <c r="C317" i="4"/>
  <c r="B317" i="4"/>
  <c r="A317" i="4"/>
  <c r="C316" i="4"/>
  <c r="B316" i="4"/>
  <c r="A316" i="4"/>
  <c r="C315" i="4"/>
  <c r="B315" i="4"/>
  <c r="A315" i="4"/>
  <c r="C314" i="4"/>
  <c r="B314" i="4"/>
  <c r="A314" i="4"/>
  <c r="C313" i="4"/>
  <c r="B313" i="4"/>
  <c r="A313" i="4"/>
  <c r="C312" i="4"/>
  <c r="B312" i="4"/>
  <c r="A312" i="4"/>
  <c r="C311" i="4"/>
  <c r="B311" i="4"/>
  <c r="A311" i="4"/>
  <c r="C310" i="4"/>
  <c r="B310" i="4"/>
  <c r="A310" i="4"/>
  <c r="C309" i="4"/>
  <c r="B309" i="4"/>
  <c r="A309" i="4"/>
  <c r="C308" i="4"/>
  <c r="B308" i="4"/>
  <c r="A308" i="4"/>
  <c r="C307" i="4"/>
  <c r="B307" i="4"/>
  <c r="A307" i="4"/>
  <c r="C306" i="4"/>
  <c r="B306" i="4"/>
  <c r="A306" i="4"/>
  <c r="C305" i="4"/>
  <c r="B305" i="4"/>
  <c r="A305" i="4"/>
  <c r="C304" i="4"/>
  <c r="B304" i="4"/>
  <c r="A304" i="4"/>
  <c r="C303" i="4"/>
  <c r="B303" i="4"/>
  <c r="A303" i="4"/>
  <c r="C302" i="4"/>
  <c r="B302" i="4"/>
  <c r="A302" i="4"/>
  <c r="C301" i="4"/>
  <c r="B301" i="4"/>
  <c r="A301" i="4"/>
  <c r="C300" i="4"/>
  <c r="B300" i="4"/>
  <c r="A300" i="4"/>
  <c r="C299" i="4"/>
  <c r="B299" i="4"/>
  <c r="A299" i="4"/>
  <c r="C298" i="4"/>
  <c r="B298" i="4"/>
  <c r="A298" i="4"/>
  <c r="C297" i="4"/>
  <c r="B297" i="4"/>
  <c r="A297" i="4"/>
  <c r="C296" i="4"/>
  <c r="B296" i="4"/>
  <c r="A296" i="4"/>
  <c r="C295" i="4"/>
  <c r="B295" i="4"/>
  <c r="A295" i="4"/>
  <c r="C294" i="4"/>
  <c r="B294" i="4"/>
  <c r="A294" i="4"/>
  <c r="C293" i="4"/>
  <c r="B293" i="4"/>
  <c r="A293" i="4"/>
  <c r="C292" i="4"/>
  <c r="B292" i="4"/>
  <c r="A292" i="4"/>
  <c r="C291" i="4"/>
  <c r="B291" i="4"/>
  <c r="A291" i="4"/>
  <c r="C290" i="4"/>
  <c r="B290" i="4"/>
  <c r="A290" i="4"/>
  <c r="C289" i="4"/>
  <c r="B289" i="4"/>
  <c r="A289" i="4"/>
  <c r="C288" i="4"/>
  <c r="B288" i="4"/>
  <c r="A288" i="4"/>
  <c r="C287" i="4"/>
  <c r="B287" i="4"/>
  <c r="A287" i="4"/>
  <c r="C286" i="4"/>
  <c r="B286" i="4"/>
  <c r="A286" i="4"/>
  <c r="C285" i="4"/>
  <c r="B285" i="4"/>
  <c r="A285" i="4"/>
  <c r="C284" i="4"/>
  <c r="B284" i="4"/>
  <c r="A284" i="4"/>
  <c r="C283" i="4"/>
  <c r="B283" i="4"/>
  <c r="A283" i="4"/>
  <c r="C282" i="4"/>
  <c r="B282" i="4"/>
  <c r="A282" i="4"/>
  <c r="C281" i="4"/>
  <c r="B281" i="4"/>
  <c r="A281" i="4"/>
  <c r="C280" i="4"/>
  <c r="B280" i="4"/>
  <c r="A280" i="4"/>
  <c r="C279" i="4"/>
  <c r="B279" i="4"/>
  <c r="A279" i="4"/>
  <c r="C278" i="4"/>
  <c r="B278" i="4"/>
  <c r="A278" i="4"/>
  <c r="C277" i="4"/>
  <c r="B277" i="4"/>
  <c r="A277" i="4"/>
  <c r="C276" i="4"/>
  <c r="B276" i="4"/>
  <c r="A276" i="4"/>
  <c r="C275" i="4"/>
  <c r="B275" i="4"/>
  <c r="A275" i="4"/>
  <c r="C274" i="4"/>
  <c r="B274" i="4"/>
  <c r="A274" i="4"/>
  <c r="C273" i="4"/>
  <c r="B273" i="4"/>
  <c r="A273" i="4"/>
  <c r="C272" i="4"/>
  <c r="B272" i="4"/>
  <c r="A272" i="4"/>
  <c r="C271" i="4"/>
  <c r="B271" i="4"/>
  <c r="A271" i="4"/>
  <c r="C270" i="4"/>
  <c r="B270" i="4"/>
  <c r="A270" i="4"/>
  <c r="C269" i="4"/>
  <c r="B269" i="4"/>
  <c r="A269" i="4"/>
  <c r="C268" i="4"/>
  <c r="B268" i="4"/>
  <c r="A268" i="4"/>
  <c r="C267" i="4"/>
  <c r="B267" i="4"/>
  <c r="A267" i="4"/>
  <c r="C266" i="4"/>
  <c r="B266" i="4"/>
  <c r="A266" i="4"/>
  <c r="C265" i="4"/>
  <c r="B265" i="4"/>
  <c r="A265" i="4"/>
  <c r="C264" i="4"/>
  <c r="B264" i="4"/>
  <c r="A264" i="4"/>
  <c r="C263" i="4"/>
  <c r="B263" i="4"/>
  <c r="A263" i="4"/>
  <c r="C262" i="4"/>
  <c r="B262" i="4"/>
  <c r="A262" i="4"/>
  <c r="C261" i="4"/>
  <c r="B261" i="4"/>
  <c r="A261" i="4"/>
  <c r="C260" i="4"/>
  <c r="B260" i="4"/>
  <c r="A260" i="4"/>
  <c r="C259" i="4"/>
  <c r="B259" i="4"/>
  <c r="A259" i="4"/>
  <c r="C258" i="4"/>
  <c r="B258" i="4"/>
  <c r="A258" i="4"/>
  <c r="C257" i="4"/>
  <c r="B257" i="4"/>
  <c r="A257" i="4"/>
  <c r="C256" i="4"/>
  <c r="B256" i="4"/>
  <c r="A256" i="4"/>
  <c r="C255" i="4"/>
  <c r="B255" i="4"/>
  <c r="A255" i="4"/>
  <c r="C254" i="4"/>
  <c r="B254" i="4"/>
  <c r="A254" i="4"/>
  <c r="C253" i="4"/>
  <c r="B253" i="4"/>
  <c r="A253" i="4"/>
  <c r="C252" i="4"/>
  <c r="B252" i="4"/>
  <c r="A252" i="4"/>
  <c r="C251" i="4"/>
  <c r="B251" i="4"/>
  <c r="A251" i="4"/>
  <c r="C250" i="4"/>
  <c r="B250" i="4"/>
  <c r="A250" i="4"/>
  <c r="C249" i="4"/>
  <c r="B249" i="4"/>
  <c r="A249" i="4"/>
  <c r="C248" i="4"/>
  <c r="B248" i="4"/>
  <c r="A248" i="4"/>
  <c r="C247" i="4"/>
  <c r="B247" i="4"/>
  <c r="A247" i="4"/>
  <c r="C246" i="4"/>
  <c r="B246" i="4"/>
  <c r="A246" i="4"/>
  <c r="C245" i="4"/>
  <c r="B245" i="4"/>
  <c r="A245" i="4"/>
  <c r="C244" i="4"/>
  <c r="B244" i="4"/>
  <c r="A244" i="4"/>
  <c r="C243" i="4"/>
  <c r="B243" i="4"/>
  <c r="A243" i="4"/>
  <c r="C242" i="4"/>
  <c r="B242" i="4"/>
  <c r="A242" i="4"/>
  <c r="C241" i="4"/>
  <c r="B241" i="4"/>
  <c r="A241" i="4"/>
  <c r="C240" i="4"/>
  <c r="B240" i="4"/>
  <c r="A240" i="4"/>
  <c r="C239" i="4"/>
  <c r="B239" i="4"/>
  <c r="A239" i="4"/>
  <c r="C238" i="4"/>
  <c r="B238" i="4"/>
  <c r="A238" i="4"/>
  <c r="C237" i="4"/>
  <c r="B237" i="4"/>
  <c r="A237" i="4"/>
  <c r="C236" i="4"/>
  <c r="B236" i="4"/>
  <c r="A236" i="4"/>
  <c r="C235" i="4"/>
  <c r="B235" i="4"/>
  <c r="A235" i="4"/>
  <c r="C234" i="4"/>
  <c r="B234" i="4"/>
  <c r="A234" i="4"/>
  <c r="C233" i="4"/>
  <c r="B233" i="4"/>
  <c r="A233" i="4"/>
  <c r="C232" i="4"/>
  <c r="B232" i="4"/>
  <c r="A232" i="4"/>
  <c r="C231" i="4"/>
  <c r="B231" i="4"/>
  <c r="A231" i="4"/>
  <c r="C230" i="4"/>
  <c r="B230" i="4"/>
  <c r="A230" i="4"/>
  <c r="C229" i="4"/>
  <c r="B229" i="4"/>
  <c r="A229" i="4"/>
  <c r="C228" i="4"/>
  <c r="B228" i="4"/>
  <c r="A228" i="4"/>
  <c r="C227" i="4"/>
  <c r="B227" i="4"/>
  <c r="A227" i="4"/>
  <c r="C226" i="4"/>
  <c r="B226" i="4"/>
  <c r="A226" i="4"/>
  <c r="C225" i="4"/>
  <c r="B225" i="4"/>
  <c r="A225" i="4"/>
  <c r="C224" i="4"/>
  <c r="B224" i="4"/>
  <c r="A224" i="4"/>
  <c r="C223" i="4"/>
  <c r="B223" i="4"/>
  <c r="A223" i="4"/>
  <c r="C222" i="4"/>
  <c r="B222" i="4"/>
  <c r="A222" i="4"/>
  <c r="C221" i="4"/>
  <c r="B221" i="4"/>
  <c r="A221" i="4"/>
  <c r="C220" i="4"/>
  <c r="B220" i="4"/>
  <c r="A220" i="4"/>
  <c r="C219" i="4"/>
  <c r="B219" i="4"/>
  <c r="A219" i="4"/>
  <c r="C218" i="4"/>
  <c r="B218" i="4"/>
  <c r="A218" i="4"/>
  <c r="C217" i="4"/>
  <c r="B217" i="4"/>
  <c r="A217" i="4"/>
  <c r="C216" i="4"/>
  <c r="B216" i="4"/>
  <c r="A216" i="4"/>
  <c r="C215" i="4"/>
  <c r="B215" i="4"/>
  <c r="A215" i="4"/>
  <c r="C214" i="4"/>
  <c r="B214" i="4"/>
  <c r="A214" i="4"/>
  <c r="C213" i="4"/>
  <c r="B213" i="4"/>
  <c r="A213" i="4"/>
  <c r="C212" i="4"/>
  <c r="B212" i="4"/>
  <c r="A212" i="4"/>
  <c r="C211" i="4"/>
  <c r="B211" i="4"/>
  <c r="A211" i="4"/>
  <c r="C210" i="4"/>
  <c r="B210" i="4"/>
  <c r="A210" i="4"/>
  <c r="C209" i="4"/>
  <c r="B209" i="4"/>
  <c r="A209" i="4"/>
  <c r="C208" i="4"/>
  <c r="B208" i="4"/>
  <c r="A208" i="4"/>
  <c r="C207" i="4"/>
  <c r="B207" i="4"/>
  <c r="A207" i="4"/>
  <c r="C206" i="4"/>
  <c r="B206" i="4"/>
  <c r="A206" i="4"/>
  <c r="C205" i="4"/>
  <c r="B205" i="4"/>
  <c r="A205" i="4"/>
  <c r="C204" i="4"/>
  <c r="B204" i="4"/>
  <c r="A204" i="4"/>
  <c r="C203" i="4"/>
  <c r="B203" i="4"/>
  <c r="A203" i="4"/>
  <c r="C202" i="4"/>
  <c r="B202" i="4"/>
  <c r="A202" i="4"/>
  <c r="C201" i="4"/>
  <c r="B201" i="4"/>
  <c r="A201" i="4"/>
  <c r="C200" i="4"/>
  <c r="B200" i="4"/>
  <c r="A200" i="4"/>
  <c r="C199" i="4"/>
  <c r="B199" i="4"/>
  <c r="A199" i="4"/>
  <c r="C198" i="4"/>
  <c r="B198" i="4"/>
  <c r="A198" i="4"/>
  <c r="C197" i="4"/>
  <c r="B197" i="4"/>
  <c r="A197" i="4"/>
  <c r="C196" i="4"/>
  <c r="B196" i="4"/>
  <c r="A196" i="4"/>
  <c r="C195" i="4"/>
  <c r="B195" i="4"/>
  <c r="A195" i="4"/>
  <c r="C194" i="4"/>
  <c r="B194" i="4"/>
  <c r="A194" i="4"/>
  <c r="C193" i="4"/>
  <c r="B193" i="4"/>
  <c r="A193" i="4"/>
  <c r="C192" i="4"/>
  <c r="B192" i="4"/>
  <c r="A192" i="4"/>
  <c r="C191" i="4"/>
  <c r="B191" i="4"/>
  <c r="A191" i="4"/>
  <c r="C190" i="4"/>
  <c r="B190" i="4"/>
  <c r="A190" i="4"/>
  <c r="C189" i="4"/>
  <c r="B189" i="4"/>
  <c r="A189" i="4"/>
  <c r="C188" i="4"/>
  <c r="B188" i="4"/>
  <c r="A188" i="4"/>
  <c r="C187" i="4"/>
  <c r="B187" i="4"/>
  <c r="A187" i="4"/>
  <c r="C186" i="4"/>
  <c r="B186" i="4"/>
  <c r="A186" i="4"/>
  <c r="C185" i="4"/>
  <c r="B185" i="4"/>
  <c r="A185" i="4"/>
  <c r="C184" i="4"/>
  <c r="B184" i="4"/>
  <c r="A184" i="4"/>
  <c r="C183" i="4"/>
  <c r="B183" i="4"/>
  <c r="A183" i="4"/>
  <c r="C182" i="4"/>
  <c r="B182" i="4"/>
  <c r="A182" i="4"/>
  <c r="C181" i="4"/>
  <c r="B181" i="4"/>
  <c r="A181" i="4"/>
  <c r="C180" i="4"/>
  <c r="B180" i="4"/>
  <c r="A180" i="4"/>
  <c r="C179" i="4"/>
  <c r="B179" i="4"/>
  <c r="A179" i="4"/>
  <c r="C178" i="4"/>
  <c r="B178" i="4"/>
  <c r="A178" i="4"/>
  <c r="C177" i="4"/>
  <c r="B177" i="4"/>
  <c r="A177" i="4"/>
  <c r="C176" i="4"/>
  <c r="B176" i="4"/>
  <c r="A176" i="4"/>
  <c r="C175" i="4"/>
  <c r="B175" i="4"/>
  <c r="A175" i="4"/>
  <c r="C174" i="4"/>
  <c r="B174" i="4"/>
  <c r="A174" i="4"/>
  <c r="C173" i="4"/>
  <c r="B173" i="4"/>
  <c r="A173" i="4"/>
  <c r="C172" i="4"/>
  <c r="B172" i="4"/>
  <c r="A172" i="4"/>
  <c r="C171" i="4"/>
  <c r="B171" i="4"/>
  <c r="A171" i="4"/>
  <c r="C170" i="4"/>
  <c r="B170" i="4"/>
  <c r="A170" i="4"/>
  <c r="C169" i="4"/>
  <c r="B169" i="4"/>
  <c r="A169" i="4"/>
  <c r="C168" i="4"/>
  <c r="B168" i="4"/>
  <c r="A168" i="4"/>
  <c r="C167" i="4"/>
  <c r="B167" i="4"/>
  <c r="A167" i="4"/>
  <c r="C166" i="4"/>
  <c r="B166" i="4"/>
  <c r="A166" i="4"/>
  <c r="C165" i="4"/>
  <c r="B165" i="4"/>
  <c r="A165" i="4"/>
  <c r="C164" i="4"/>
  <c r="B164" i="4"/>
  <c r="A164" i="4"/>
  <c r="C163" i="4"/>
  <c r="B163" i="4"/>
  <c r="A163" i="4"/>
  <c r="C162" i="4"/>
  <c r="B162" i="4"/>
  <c r="A162" i="4"/>
  <c r="C161" i="4"/>
  <c r="B161" i="4"/>
  <c r="A161" i="4"/>
  <c r="C160" i="4"/>
  <c r="B160" i="4"/>
  <c r="A160" i="4"/>
  <c r="C159" i="4"/>
  <c r="B159" i="4"/>
  <c r="A159" i="4"/>
  <c r="C158" i="4"/>
  <c r="B158" i="4"/>
  <c r="A158" i="4"/>
  <c r="C157" i="4"/>
  <c r="B157" i="4"/>
  <c r="A157" i="4"/>
  <c r="C156" i="4"/>
  <c r="B156" i="4"/>
  <c r="A156" i="4"/>
  <c r="C155" i="4"/>
  <c r="B155" i="4"/>
  <c r="A155" i="4"/>
  <c r="C154" i="4"/>
  <c r="B154" i="4"/>
  <c r="A154" i="4"/>
  <c r="C153" i="4"/>
  <c r="B153" i="4"/>
  <c r="A153" i="4"/>
  <c r="C152" i="4"/>
  <c r="B152" i="4"/>
  <c r="A152" i="4"/>
  <c r="C151" i="4"/>
  <c r="B151" i="4"/>
  <c r="A151" i="4"/>
  <c r="C150" i="4"/>
  <c r="B150" i="4"/>
  <c r="A150" i="4"/>
  <c r="C149" i="4"/>
  <c r="B149" i="4"/>
  <c r="A149" i="4"/>
  <c r="C148" i="4"/>
  <c r="B148" i="4"/>
  <c r="A148" i="4"/>
  <c r="C147" i="4"/>
  <c r="B147" i="4"/>
  <c r="A147" i="4"/>
  <c r="C146" i="4"/>
  <c r="B146" i="4"/>
  <c r="A146" i="4"/>
  <c r="C145" i="4"/>
  <c r="B145" i="4"/>
  <c r="A145" i="4"/>
  <c r="C144" i="4"/>
  <c r="B144" i="4"/>
  <c r="A144" i="4"/>
  <c r="C143" i="4"/>
  <c r="B143" i="4"/>
  <c r="A143" i="4"/>
  <c r="C142" i="4"/>
  <c r="B142" i="4"/>
  <c r="A142" i="4"/>
  <c r="C141" i="4"/>
  <c r="B141" i="4"/>
  <c r="A141" i="4"/>
  <c r="C140" i="4"/>
  <c r="B140" i="4"/>
  <c r="A140" i="4"/>
  <c r="C139" i="4"/>
  <c r="B139" i="4"/>
  <c r="A139" i="4"/>
  <c r="C138" i="4"/>
  <c r="B138" i="4"/>
  <c r="A138" i="4"/>
  <c r="C137" i="4"/>
  <c r="B137" i="4"/>
  <c r="A137" i="4"/>
  <c r="C136" i="4"/>
  <c r="B136" i="4"/>
  <c r="A136" i="4"/>
  <c r="C135" i="4"/>
  <c r="B135" i="4"/>
  <c r="A135" i="4"/>
  <c r="C134" i="4"/>
  <c r="B134" i="4"/>
  <c r="A134" i="4"/>
  <c r="C133" i="4"/>
  <c r="B133" i="4"/>
  <c r="A133" i="4"/>
  <c r="C132" i="4"/>
  <c r="B132" i="4"/>
  <c r="A132" i="4"/>
  <c r="C131" i="4"/>
  <c r="B131" i="4"/>
  <c r="A131" i="4"/>
  <c r="C130" i="4"/>
  <c r="B130" i="4"/>
  <c r="A130" i="4"/>
  <c r="C129" i="4"/>
  <c r="B129" i="4"/>
  <c r="A129" i="4"/>
  <c r="C128" i="4"/>
  <c r="B128" i="4"/>
  <c r="A128" i="4"/>
  <c r="C127" i="4"/>
  <c r="B127" i="4"/>
  <c r="A127" i="4"/>
  <c r="C126" i="4"/>
  <c r="B126" i="4"/>
  <c r="A126" i="4"/>
  <c r="C125" i="4"/>
  <c r="B125" i="4"/>
  <c r="A125" i="4"/>
  <c r="C124" i="4"/>
  <c r="B124" i="4"/>
  <c r="A124" i="4"/>
  <c r="C123" i="4"/>
  <c r="B123" i="4"/>
  <c r="A123" i="4"/>
  <c r="C122" i="4"/>
  <c r="B122" i="4"/>
  <c r="A122" i="4"/>
  <c r="C121" i="4"/>
  <c r="B121" i="4"/>
  <c r="A121" i="4"/>
  <c r="C120" i="4"/>
  <c r="B120" i="4"/>
  <c r="A120" i="4"/>
  <c r="C119" i="4"/>
  <c r="B119" i="4"/>
  <c r="A119" i="4"/>
  <c r="C118" i="4"/>
  <c r="B118" i="4"/>
  <c r="A118" i="4"/>
  <c r="C117" i="4"/>
  <c r="B117" i="4"/>
  <c r="A117" i="4"/>
  <c r="C116" i="4"/>
  <c r="B116" i="4"/>
  <c r="A116" i="4"/>
  <c r="C115" i="4"/>
  <c r="B115" i="4"/>
  <c r="A115" i="4"/>
  <c r="C114" i="4"/>
  <c r="B114" i="4"/>
  <c r="A114" i="4"/>
  <c r="C113" i="4"/>
  <c r="B113" i="4"/>
  <c r="A113" i="4"/>
  <c r="C112" i="4"/>
  <c r="B112" i="4"/>
  <c r="A112" i="4"/>
  <c r="C111" i="4"/>
  <c r="B111" i="4"/>
  <c r="A111" i="4"/>
  <c r="C110" i="4"/>
  <c r="B110" i="4"/>
  <c r="A110" i="4"/>
  <c r="C109" i="4"/>
  <c r="B109" i="4"/>
  <c r="A109" i="4"/>
  <c r="C108" i="4"/>
  <c r="B108" i="4"/>
  <c r="A108" i="4"/>
  <c r="C107" i="4"/>
  <c r="B107" i="4"/>
  <c r="A107" i="4"/>
  <c r="C106" i="4"/>
  <c r="B106" i="4"/>
  <c r="A106" i="4"/>
  <c r="C105" i="4"/>
  <c r="B105" i="4"/>
  <c r="A105" i="4"/>
  <c r="C104" i="4"/>
  <c r="B104" i="4"/>
  <c r="A104" i="4"/>
  <c r="C103" i="4"/>
  <c r="B103" i="4"/>
  <c r="A103" i="4"/>
  <c r="C102" i="4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C2" i="4"/>
  <c r="B2" i="4"/>
  <c r="A2" i="4"/>
  <c r="A951" i="3"/>
  <c r="A950" i="3"/>
  <c r="A949" i="3"/>
  <c r="A948" i="3"/>
  <c r="B947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546" i="4" l="1"/>
  <c r="E263" i="4"/>
  <c r="E455" i="4"/>
  <c r="E479" i="4"/>
  <c r="E559" i="4"/>
  <c r="E687" i="4"/>
  <c r="E815" i="4"/>
  <c r="E943" i="4"/>
  <c r="E674" i="4"/>
  <c r="E802" i="4"/>
  <c r="E930" i="4"/>
  <c r="E7" i="4"/>
  <c r="E104" i="4"/>
  <c r="D109" i="4"/>
  <c r="E112" i="4"/>
  <c r="D117" i="4"/>
  <c r="E120" i="4"/>
  <c r="D125" i="4"/>
  <c r="E128" i="4"/>
  <c r="D133" i="4"/>
  <c r="E135" i="4"/>
  <c r="D141" i="4"/>
  <c r="E144" i="4"/>
  <c r="D149" i="4"/>
  <c r="E152" i="4"/>
  <c r="D157" i="4"/>
  <c r="E160" i="4"/>
  <c r="E184" i="4"/>
  <c r="E192" i="4"/>
  <c r="E200" i="4"/>
  <c r="E216" i="4"/>
  <c r="E224" i="4"/>
  <c r="E248" i="4"/>
  <c r="E256" i="4"/>
  <c r="E264" i="4"/>
  <c r="E280" i="4"/>
  <c r="E288" i="4"/>
  <c r="E312" i="4"/>
  <c r="E320" i="4"/>
  <c r="E328" i="4"/>
  <c r="E344" i="4"/>
  <c r="E352" i="4"/>
  <c r="E376" i="4"/>
  <c r="E384" i="4"/>
  <c r="E392" i="4"/>
  <c r="E408" i="4"/>
  <c r="E416" i="4"/>
  <c r="E432" i="4"/>
  <c r="E440" i="4"/>
  <c r="E448" i="4"/>
  <c r="E456" i="4"/>
  <c r="E472" i="4"/>
  <c r="E480" i="4"/>
  <c r="E496" i="4"/>
  <c r="E512" i="4"/>
  <c r="E528" i="4"/>
  <c r="E544" i="4"/>
  <c r="E560" i="4"/>
  <c r="E576" i="4"/>
  <c r="E592" i="4"/>
  <c r="E608" i="4"/>
  <c r="E624" i="4"/>
  <c r="E640" i="4"/>
  <c r="E656" i="4"/>
  <c r="E672" i="4"/>
  <c r="E688" i="4"/>
  <c r="E704" i="4"/>
  <c r="E720" i="4"/>
  <c r="E768" i="4"/>
  <c r="E784" i="4"/>
  <c r="E800" i="4"/>
  <c r="E816" i="4"/>
  <c r="E832" i="4"/>
  <c r="E848" i="4"/>
  <c r="E864" i="4"/>
  <c r="E880" i="4"/>
  <c r="E896" i="4"/>
  <c r="E305" i="4"/>
  <c r="E369" i="4"/>
  <c r="E262" i="4"/>
  <c r="E350" i="4"/>
  <c r="E478" i="4"/>
  <c r="E950" i="4"/>
  <c r="E393" i="4"/>
  <c r="E609" i="4"/>
  <c r="E737" i="4"/>
  <c r="E865" i="4"/>
  <c r="E514" i="4"/>
  <c r="E578" i="4"/>
  <c r="E642" i="4"/>
  <c r="E706" i="4"/>
  <c r="E770" i="4"/>
  <c r="E157" i="4"/>
  <c r="E165" i="4"/>
  <c r="D178" i="4"/>
  <c r="D194" i="4"/>
  <c r="D210" i="4"/>
  <c r="E221" i="4"/>
  <c r="E229" i="4"/>
  <c r="D242" i="4"/>
  <c r="E253" i="4"/>
  <c r="E261" i="4"/>
  <c r="E269" i="4"/>
  <c r="E277" i="4"/>
  <c r="D290" i="4"/>
  <c r="D298" i="4"/>
  <c r="D306" i="4"/>
  <c r="D314" i="4"/>
  <c r="D322" i="4"/>
  <c r="D338" i="4"/>
  <c r="E349" i="4"/>
  <c r="D354" i="4"/>
  <c r="D370" i="4"/>
  <c r="D378" i="4"/>
  <c r="D386" i="4"/>
  <c r="E397" i="4"/>
  <c r="D402" i="4"/>
  <c r="D418" i="4"/>
  <c r="E429" i="4"/>
  <c r="D442" i="4"/>
  <c r="E461" i="4"/>
  <c r="E477" i="4"/>
  <c r="E493" i="4"/>
  <c r="D162" i="4"/>
  <c r="E173" i="4"/>
  <c r="E181" i="4"/>
  <c r="E189" i="4"/>
  <c r="E197" i="4"/>
  <c r="E205" i="4"/>
  <c r="E213" i="4"/>
  <c r="D226" i="4"/>
  <c r="D234" i="4"/>
  <c r="E245" i="4"/>
  <c r="D258" i="4"/>
  <c r="D274" i="4"/>
  <c r="E285" i="4"/>
  <c r="E293" i="4"/>
  <c r="E317" i="4"/>
  <c r="E325" i="4"/>
  <c r="E333" i="4"/>
  <c r="D346" i="4"/>
  <c r="E357" i="4"/>
  <c r="E365" i="4"/>
  <c r="E373" i="4"/>
  <c r="D394" i="4"/>
  <c r="E405" i="4"/>
  <c r="E413" i="4"/>
  <c r="E421" i="4"/>
  <c r="D434" i="4"/>
  <c r="E445" i="4"/>
  <c r="E453" i="4"/>
  <c r="D466" i="4"/>
  <c r="D474" i="4"/>
  <c r="D490" i="4"/>
  <c r="E736" i="4"/>
  <c r="E752" i="4"/>
  <c r="E912" i="4"/>
  <c r="E928" i="4"/>
  <c r="E944" i="4"/>
  <c r="D170" i="4"/>
  <c r="D186" i="4"/>
  <c r="D202" i="4"/>
  <c r="D218" i="4"/>
  <c r="E237" i="4"/>
  <c r="D250" i="4"/>
  <c r="D266" i="4"/>
  <c r="D282" i="4"/>
  <c r="E301" i="4"/>
  <c r="E309" i="4"/>
  <c r="D330" i="4"/>
  <c r="E341" i="4"/>
  <c r="D362" i="4"/>
  <c r="E381" i="4"/>
  <c r="E389" i="4"/>
  <c r="D410" i="4"/>
  <c r="D426" i="4"/>
  <c r="E437" i="4"/>
  <c r="D450" i="4"/>
  <c r="D458" i="4"/>
  <c r="E469" i="4"/>
  <c r="D482" i="4"/>
  <c r="E485" i="4"/>
  <c r="E499" i="4"/>
  <c r="E507" i="4"/>
  <c r="E515" i="4"/>
  <c r="E523" i="4"/>
  <c r="E531" i="4"/>
  <c r="E539" i="4"/>
  <c r="E547" i="4"/>
  <c r="E555" i="4"/>
  <c r="E563" i="4"/>
  <c r="E571" i="4"/>
  <c r="E579" i="4"/>
  <c r="E587" i="4"/>
  <c r="E595" i="4"/>
  <c r="E603" i="4"/>
  <c r="E611" i="4"/>
  <c r="E619" i="4"/>
  <c r="E627" i="4"/>
  <c r="E635" i="4"/>
  <c r="E643" i="4"/>
  <c r="E651" i="4"/>
  <c r="E659" i="4"/>
  <c r="E667" i="4"/>
  <c r="E675" i="4"/>
  <c r="E683" i="4"/>
  <c r="E691" i="4"/>
  <c r="E699" i="4"/>
  <c r="E707" i="4"/>
  <c r="E715" i="4"/>
  <c r="E723" i="4"/>
  <c r="E731" i="4"/>
  <c r="E739" i="4"/>
  <c r="E747" i="4"/>
  <c r="E755" i="4"/>
  <c r="E763" i="4"/>
  <c r="E771" i="4"/>
  <c r="E779" i="4"/>
  <c r="E787" i="4"/>
  <c r="E795" i="4"/>
  <c r="E803" i="4"/>
  <c r="E811" i="4"/>
  <c r="E819" i="4"/>
  <c r="E827" i="4"/>
  <c r="E843" i="4"/>
  <c r="E851" i="4"/>
  <c r="E859" i="4"/>
  <c r="E867" i="4"/>
  <c r="E875" i="4"/>
  <c r="E883" i="4"/>
  <c r="E891" i="4"/>
  <c r="E907" i="4"/>
  <c r="E915" i="4"/>
  <c r="E923" i="4"/>
  <c r="E931" i="4"/>
  <c r="E939" i="4"/>
  <c r="E947" i="4"/>
  <c r="E411" i="4"/>
  <c r="D21" i="4"/>
  <c r="D37" i="4"/>
  <c r="D53" i="4"/>
  <c r="D69" i="4"/>
  <c r="D85" i="4"/>
  <c r="D101" i="4"/>
  <c r="D16" i="4"/>
  <c r="E27" i="4"/>
  <c r="E43" i="4"/>
  <c r="D64" i="4"/>
  <c r="D80" i="4"/>
  <c r="D96" i="4"/>
  <c r="E107" i="4"/>
  <c r="D128" i="4"/>
  <c r="D152" i="4"/>
  <c r="D160" i="4"/>
  <c r="D184" i="4"/>
  <c r="D208" i="4"/>
  <c r="E219" i="4"/>
  <c r="D232" i="4"/>
  <c r="E251" i="4"/>
  <c r="D264" i="4"/>
  <c r="D280" i="4"/>
  <c r="D296" i="4"/>
  <c r="D312" i="4"/>
  <c r="E323" i="4"/>
  <c r="D336" i="4"/>
  <c r="E347" i="4"/>
  <c r="E363" i="4"/>
  <c r="D376" i="4"/>
  <c r="E395" i="4"/>
  <c r="E427" i="4"/>
  <c r="E491" i="4"/>
  <c r="E929" i="4"/>
  <c r="E801" i="4"/>
  <c r="E673" i="4"/>
  <c r="E545" i="4"/>
  <c r="E6" i="4"/>
  <c r="D11" i="4"/>
  <c r="E14" i="4"/>
  <c r="D19" i="4"/>
  <c r="E22" i="4"/>
  <c r="D27" i="4"/>
  <c r="D35" i="4"/>
  <c r="E38" i="4"/>
  <c r="D43" i="4"/>
  <c r="E46" i="4"/>
  <c r="D51" i="4"/>
  <c r="D59" i="4"/>
  <c r="E62" i="4"/>
  <c r="D67" i="4"/>
  <c r="E70" i="4"/>
  <c r="D75" i="4"/>
  <c r="E78" i="4"/>
  <c r="D83" i="4"/>
  <c r="E86" i="4"/>
  <c r="D91" i="4"/>
  <c r="E93" i="4"/>
  <c r="E94" i="4"/>
  <c r="D99" i="4"/>
  <c r="E102" i="4"/>
  <c r="D107" i="4"/>
  <c r="E110" i="4"/>
  <c r="D115" i="4"/>
  <c r="E118" i="4"/>
  <c r="D123" i="4"/>
  <c r="E126" i="4"/>
  <c r="D131" i="4"/>
  <c r="E134" i="4"/>
  <c r="D139" i="4"/>
  <c r="E142" i="4"/>
  <c r="D147" i="4"/>
  <c r="E150" i="4"/>
  <c r="D155" i="4"/>
  <c r="E158" i="4"/>
  <c r="E174" i="4"/>
  <c r="E182" i="4"/>
  <c r="E198" i="4"/>
  <c r="E206" i="4"/>
  <c r="E214" i="4"/>
  <c r="E222" i="4"/>
  <c r="E238" i="4"/>
  <c r="E246" i="4"/>
  <c r="E270" i="4"/>
  <c r="E278" i="4"/>
  <c r="E286" i="4"/>
  <c r="E302" i="4"/>
  <c r="E310" i="4"/>
  <c r="E326" i="4"/>
  <c r="E334" i="4"/>
  <c r="E342" i="4"/>
  <c r="E366" i="4"/>
  <c r="E374" i="4"/>
  <c r="E390" i="4"/>
  <c r="E398" i="4"/>
  <c r="E406" i="4"/>
  <c r="E414" i="4"/>
  <c r="E430" i="4"/>
  <c r="E438" i="4"/>
  <c r="E454" i="4"/>
  <c r="E462" i="4"/>
  <c r="E470" i="4"/>
  <c r="E494" i="4"/>
  <c r="E502" i="4"/>
  <c r="E510" i="4"/>
  <c r="E518" i="4"/>
  <c r="E526" i="4"/>
  <c r="E534" i="4"/>
  <c r="E542" i="4"/>
  <c r="E550" i="4"/>
  <c r="E558" i="4"/>
  <c r="E566" i="4"/>
  <c r="E574" i="4"/>
  <c r="E582" i="4"/>
  <c r="E590" i="4"/>
  <c r="E598" i="4"/>
  <c r="E606" i="4"/>
  <c r="E614" i="4"/>
  <c r="E622" i="4"/>
  <c r="E630" i="4"/>
  <c r="E638" i="4"/>
  <c r="E646" i="4"/>
  <c r="E654" i="4"/>
  <c r="E662" i="4"/>
  <c r="E670" i="4"/>
  <c r="E678" i="4"/>
  <c r="E686" i="4"/>
  <c r="E694" i="4"/>
  <c r="E702" i="4"/>
  <c r="E710" i="4"/>
  <c r="E718" i="4"/>
  <c r="E726" i="4"/>
  <c r="E734" i="4"/>
  <c r="E742" i="4"/>
  <c r="E750" i="4"/>
  <c r="E758" i="4"/>
  <c r="E766" i="4"/>
  <c r="E774" i="4"/>
  <c r="E782" i="4"/>
  <c r="E790" i="4"/>
  <c r="E798" i="4"/>
  <c r="E806" i="4"/>
  <c r="E814" i="4"/>
  <c r="E822" i="4"/>
  <c r="E830" i="4"/>
  <c r="E838" i="4"/>
  <c r="E846" i="4"/>
  <c r="E854" i="4"/>
  <c r="E862" i="4"/>
  <c r="E870" i="4"/>
  <c r="E878" i="4"/>
  <c r="E886" i="4"/>
  <c r="E894" i="4"/>
  <c r="E902" i="4"/>
  <c r="E910" i="4"/>
  <c r="E918" i="4"/>
  <c r="E926" i="4"/>
  <c r="E934" i="4"/>
  <c r="E942" i="4"/>
  <c r="E24" i="4"/>
  <c r="E40" i="4"/>
  <c r="E56" i="4"/>
  <c r="D8" i="4"/>
  <c r="D24" i="4"/>
  <c r="D40" i="4"/>
  <c r="D56" i="4"/>
  <c r="D88" i="4"/>
  <c r="D104" i="4"/>
  <c r="E131" i="4"/>
  <c r="E155" i="4"/>
  <c r="D168" i="4"/>
  <c r="D192" i="4"/>
  <c r="E227" i="4"/>
  <c r="D240" i="4"/>
  <c r="D272" i="4"/>
  <c r="D288" i="4"/>
  <c r="D304" i="4"/>
  <c r="D320" i="4"/>
  <c r="D352" i="4"/>
  <c r="E419" i="4"/>
  <c r="E451" i="4"/>
  <c r="E475" i="4"/>
  <c r="E168" i="4"/>
  <c r="E208" i="4"/>
  <c r="E232" i="4"/>
  <c r="E272" i="4"/>
  <c r="E296" i="4"/>
  <c r="E304" i="4"/>
  <c r="E360" i="4"/>
  <c r="E377" i="4"/>
  <c r="E433" i="4"/>
  <c r="E441" i="4"/>
  <c r="E473" i="4"/>
  <c r="E497" i="4"/>
  <c r="E561" i="4"/>
  <c r="E593" i="4"/>
  <c r="E625" i="4"/>
  <c r="E641" i="4"/>
  <c r="E657" i="4"/>
  <c r="E689" i="4"/>
  <c r="E705" i="4"/>
  <c r="E721" i="4"/>
  <c r="E753" i="4"/>
  <c r="E769" i="4"/>
  <c r="E785" i="4"/>
  <c r="E817" i="4"/>
  <c r="E833" i="4"/>
  <c r="E849" i="4"/>
  <c r="E881" i="4"/>
  <c r="E897" i="4"/>
  <c r="E913" i="4"/>
  <c r="E945" i="4"/>
  <c r="E879" i="4"/>
  <c r="E751" i="4"/>
  <c r="E623" i="4"/>
  <c r="E495" i="4"/>
  <c r="E16" i="4"/>
  <c r="E32" i="4"/>
  <c r="D45" i="4"/>
  <c r="E64" i="4"/>
  <c r="D77" i="4"/>
  <c r="E88" i="4"/>
  <c r="E35" i="4"/>
  <c r="D48" i="4"/>
  <c r="E59" i="4"/>
  <c r="D72" i="4"/>
  <c r="E91" i="4"/>
  <c r="D112" i="4"/>
  <c r="E123" i="4"/>
  <c r="D144" i="4"/>
  <c r="E163" i="4"/>
  <c r="D176" i="4"/>
  <c r="E187" i="4"/>
  <c r="D200" i="4"/>
  <c r="D216" i="4"/>
  <c r="E235" i="4"/>
  <c r="D248" i="4"/>
  <c r="E259" i="4"/>
  <c r="E275" i="4"/>
  <c r="E291" i="4"/>
  <c r="E331" i="4"/>
  <c r="E339" i="4"/>
  <c r="E355" i="4"/>
  <c r="D368" i="4"/>
  <c r="E387" i="4"/>
  <c r="E435" i="4"/>
  <c r="E459" i="4"/>
  <c r="E483" i="4"/>
  <c r="E835" i="4"/>
  <c r="E834" i="4"/>
  <c r="E899" i="4"/>
  <c r="E898" i="4"/>
  <c r="E176" i="4"/>
  <c r="E240" i="4"/>
  <c r="E336" i="4"/>
  <c r="E368" i="4"/>
  <c r="E385" i="4"/>
  <c r="E409" i="4"/>
  <c r="E417" i="4"/>
  <c r="E449" i="4"/>
  <c r="E457" i="4"/>
  <c r="E481" i="4"/>
  <c r="E513" i="4"/>
  <c r="E529" i="4"/>
  <c r="E577" i="4"/>
  <c r="E866" i="4"/>
  <c r="E738" i="4"/>
  <c r="E610" i="4"/>
  <c r="D13" i="4"/>
  <c r="D29" i="4"/>
  <c r="E48" i="4"/>
  <c r="D61" i="4"/>
  <c r="E80" i="4"/>
  <c r="D93" i="4"/>
  <c r="E19" i="4"/>
  <c r="D32" i="4"/>
  <c r="E49" i="4"/>
  <c r="E51" i="4"/>
  <c r="E67" i="4"/>
  <c r="E83" i="4"/>
  <c r="E99" i="4"/>
  <c r="D120" i="4"/>
  <c r="D136" i="4"/>
  <c r="E147" i="4"/>
  <c r="E171" i="4"/>
  <c r="E195" i="4"/>
  <c r="E211" i="4"/>
  <c r="D224" i="4"/>
  <c r="D256" i="4"/>
  <c r="E283" i="4"/>
  <c r="E299" i="4"/>
  <c r="E315" i="4"/>
  <c r="D328" i="4"/>
  <c r="D344" i="4"/>
  <c r="D360" i="4"/>
  <c r="E31" i="4"/>
  <c r="E39" i="4"/>
  <c r="E63" i="4"/>
  <c r="E103" i="4"/>
  <c r="E127" i="4"/>
  <c r="E159" i="4"/>
  <c r="E166" i="4"/>
  <c r="E190" i="4"/>
  <c r="E199" i="4"/>
  <c r="E223" i="4"/>
  <c r="E230" i="4"/>
  <c r="E254" i="4"/>
  <c r="E287" i="4"/>
  <c r="E294" i="4"/>
  <c r="E318" i="4"/>
  <c r="E327" i="4"/>
  <c r="E351" i="4"/>
  <c r="E358" i="4"/>
  <c r="D380" i="4"/>
  <c r="E382" i="4"/>
  <c r="D388" i="4"/>
  <c r="E391" i="4"/>
  <c r="D396" i="4"/>
  <c r="E399" i="4"/>
  <c r="D404" i="4"/>
  <c r="E407" i="4"/>
  <c r="D412" i="4"/>
  <c r="E415" i="4"/>
  <c r="D420" i="4"/>
  <c r="E422" i="4"/>
  <c r="D428" i="4"/>
  <c r="E431" i="4"/>
  <c r="D436" i="4"/>
  <c r="E439" i="4"/>
  <c r="D444" i="4"/>
  <c r="E446" i="4"/>
  <c r="D452" i="4"/>
  <c r="D460" i="4"/>
  <c r="E463" i="4"/>
  <c r="D468" i="4"/>
  <c r="E471" i="4"/>
  <c r="D476" i="4"/>
  <c r="D484" i="4"/>
  <c r="E486" i="4"/>
  <c r="D492" i="4"/>
  <c r="E527" i="4"/>
  <c r="E591" i="4"/>
  <c r="E655" i="4"/>
  <c r="E719" i="4"/>
  <c r="E783" i="4"/>
  <c r="E847" i="4"/>
  <c r="E911" i="4"/>
  <c r="D500" i="4"/>
  <c r="E503" i="4"/>
  <c r="D508" i="4"/>
  <c r="E511" i="4"/>
  <c r="D516" i="4"/>
  <c r="E519" i="4"/>
  <c r="D524" i="4"/>
  <c r="D532" i="4"/>
  <c r="E535" i="4"/>
  <c r="D540" i="4"/>
  <c r="E543" i="4"/>
  <c r="D548" i="4"/>
  <c r="E551" i="4"/>
  <c r="D556" i="4"/>
  <c r="D564" i="4"/>
  <c r="E567" i="4"/>
  <c r="D572" i="4"/>
  <c r="E575" i="4"/>
  <c r="D580" i="4"/>
  <c r="E583" i="4"/>
  <c r="D588" i="4"/>
  <c r="D596" i="4"/>
  <c r="E599" i="4"/>
  <c r="D604" i="4"/>
  <c r="E607" i="4"/>
  <c r="D612" i="4"/>
  <c r="E615" i="4"/>
  <c r="D620" i="4"/>
  <c r="D628" i="4"/>
  <c r="E631" i="4"/>
  <c r="D636" i="4"/>
  <c r="E639" i="4"/>
  <c r="D644" i="4"/>
  <c r="E647" i="4"/>
  <c r="D652" i="4"/>
  <c r="D660" i="4"/>
  <c r="E663" i="4"/>
  <c r="D668" i="4"/>
  <c r="E671" i="4"/>
  <c r="D676" i="4"/>
  <c r="E679" i="4"/>
  <c r="D684" i="4"/>
  <c r="D692" i="4"/>
  <c r="E695" i="4"/>
  <c r="D700" i="4"/>
  <c r="E703" i="4"/>
  <c r="D708" i="4"/>
  <c r="E711" i="4"/>
  <c r="D716" i="4"/>
  <c r="D724" i="4"/>
  <c r="E727" i="4"/>
  <c r="D732" i="4"/>
  <c r="E735" i="4"/>
  <c r="D740" i="4"/>
  <c r="E743" i="4"/>
  <c r="D748" i="4"/>
  <c r="D756" i="4"/>
  <c r="E759" i="4"/>
  <c r="D764" i="4"/>
  <c r="E767" i="4"/>
  <c r="D772" i="4"/>
  <c r="E775" i="4"/>
  <c r="D780" i="4"/>
  <c r="D788" i="4"/>
  <c r="E791" i="4"/>
  <c r="D796" i="4"/>
  <c r="E799" i="4"/>
  <c r="D804" i="4"/>
  <c r="E807" i="4"/>
  <c r="D812" i="4"/>
  <c r="D820" i="4"/>
  <c r="E823" i="4"/>
  <c r="D828" i="4"/>
  <c r="E831" i="4"/>
  <c r="D836" i="4"/>
  <c r="E839" i="4"/>
  <c r="D844" i="4"/>
  <c r="D852" i="4"/>
  <c r="E855" i="4"/>
  <c r="D860" i="4"/>
  <c r="E863" i="4"/>
  <c r="D868" i="4"/>
  <c r="E871" i="4"/>
  <c r="D876" i="4"/>
  <c r="D884" i="4"/>
  <c r="E887" i="4"/>
  <c r="D892" i="4"/>
  <c r="E895" i="4"/>
  <c r="D900" i="4"/>
  <c r="E903" i="4"/>
  <c r="D908" i="4"/>
  <c r="D916" i="4"/>
  <c r="E919" i="4"/>
  <c r="D924" i="4"/>
  <c r="E927" i="4"/>
  <c r="D932" i="4"/>
  <c r="E935" i="4"/>
  <c r="D940" i="4"/>
  <c r="D948" i="4"/>
  <c r="E951" i="4"/>
  <c r="E424" i="4"/>
  <c r="E488" i="4"/>
  <c r="E498" i="4"/>
  <c r="E504" i="4"/>
  <c r="E520" i="4"/>
  <c r="E530" i="4"/>
  <c r="E536" i="4"/>
  <c r="E552" i="4"/>
  <c r="E562" i="4"/>
  <c r="E568" i="4"/>
  <c r="E584" i="4"/>
  <c r="E594" i="4"/>
  <c r="E600" i="4"/>
  <c r="E616" i="4"/>
  <c r="E626" i="4"/>
  <c r="E632" i="4"/>
  <c r="E648" i="4"/>
  <c r="E658" i="4"/>
  <c r="E664" i="4"/>
  <c r="E680" i="4"/>
  <c r="E690" i="4"/>
  <c r="E696" i="4"/>
  <c r="E712" i="4"/>
  <c r="E722" i="4"/>
  <c r="E728" i="4"/>
  <c r="E744" i="4"/>
  <c r="E754" i="4"/>
  <c r="E760" i="4"/>
  <c r="E776" i="4"/>
  <c r="E786" i="4"/>
  <c r="E792" i="4"/>
  <c r="E808" i="4"/>
  <c r="E818" i="4"/>
  <c r="E824" i="4"/>
  <c r="E840" i="4"/>
  <c r="E850" i="4"/>
  <c r="E856" i="4"/>
  <c r="E872" i="4"/>
  <c r="E882" i="4"/>
  <c r="E888" i="4"/>
  <c r="E904" i="4"/>
  <c r="E914" i="4"/>
  <c r="E920" i="4"/>
  <c r="E936" i="4"/>
  <c r="E946" i="4"/>
  <c r="D951" i="4"/>
  <c r="P951" i="4" s="1" a="1"/>
  <c r="P951" i="4" s="1"/>
  <c r="D498" i="4"/>
  <c r="E501" i="4"/>
  <c r="D506" i="4"/>
  <c r="E509" i="4"/>
  <c r="D514" i="4"/>
  <c r="E517" i="4"/>
  <c r="D522" i="4"/>
  <c r="E525" i="4"/>
  <c r="D530" i="4"/>
  <c r="E533" i="4"/>
  <c r="D538" i="4"/>
  <c r="E541" i="4"/>
  <c r="D546" i="4"/>
  <c r="P546" i="4" s="1" a="1"/>
  <c r="P546" i="4" s="1"/>
  <c r="E549" i="4"/>
  <c r="D554" i="4"/>
  <c r="E557" i="4"/>
  <c r="D562" i="4"/>
  <c r="E565" i="4"/>
  <c r="D570" i="4"/>
  <c r="E573" i="4"/>
  <c r="D578" i="4"/>
  <c r="E581" i="4"/>
  <c r="D586" i="4"/>
  <c r="E589" i="4"/>
  <c r="D594" i="4"/>
  <c r="E597" i="4"/>
  <c r="D602" i="4"/>
  <c r="E605" i="4"/>
  <c r="D610" i="4"/>
  <c r="E613" i="4"/>
  <c r="D618" i="4"/>
  <c r="E621" i="4"/>
  <c r="D626" i="4"/>
  <c r="E629" i="4"/>
  <c r="D634" i="4"/>
  <c r="P634" i="4" s="1" a="1"/>
  <c r="P634" i="4" s="1"/>
  <c r="E637" i="4"/>
  <c r="D642" i="4"/>
  <c r="E645" i="4"/>
  <c r="D650" i="4"/>
  <c r="E653" i="4"/>
  <c r="D658" i="4"/>
  <c r="E661" i="4"/>
  <c r="D666" i="4"/>
  <c r="E669" i="4"/>
  <c r="D674" i="4"/>
  <c r="E677" i="4"/>
  <c r="D682" i="4"/>
  <c r="E685" i="4"/>
  <c r="D690" i="4"/>
  <c r="E693" i="4"/>
  <c r="D698" i="4"/>
  <c r="E701" i="4"/>
  <c r="D706" i="4"/>
  <c r="P706" i="4" s="1" a="1"/>
  <c r="P706" i="4" s="1"/>
  <c r="E709" i="4"/>
  <c r="D714" i="4"/>
  <c r="E717" i="4"/>
  <c r="D722" i="4"/>
  <c r="P722" i="4" s="1" a="1"/>
  <c r="P722" i="4" s="1"/>
  <c r="E725" i="4"/>
  <c r="D730" i="4"/>
  <c r="E733" i="4"/>
  <c r="D738" i="4"/>
  <c r="E741" i="4"/>
  <c r="D746" i="4"/>
  <c r="E749" i="4"/>
  <c r="D754" i="4"/>
  <c r="E757" i="4"/>
  <c r="D762" i="4"/>
  <c r="E765" i="4"/>
  <c r="D770" i="4"/>
  <c r="E773" i="4"/>
  <c r="D778" i="4"/>
  <c r="E781" i="4"/>
  <c r="D786" i="4"/>
  <c r="E789" i="4"/>
  <c r="D794" i="4"/>
  <c r="E797" i="4"/>
  <c r="D802" i="4"/>
  <c r="E805" i="4"/>
  <c r="D810" i="4"/>
  <c r="E813" i="4"/>
  <c r="D818" i="4"/>
  <c r="E821" i="4"/>
  <c r="D826" i="4"/>
  <c r="E829" i="4"/>
  <c r="D834" i="4"/>
  <c r="E837" i="4"/>
  <c r="D842" i="4"/>
  <c r="E845" i="4"/>
  <c r="D850" i="4"/>
  <c r="E853" i="4"/>
  <c r="D858" i="4"/>
  <c r="E861" i="4"/>
  <c r="D866" i="4"/>
  <c r="E869" i="4"/>
  <c r="D874" i="4"/>
  <c r="E877" i="4"/>
  <c r="D882" i="4"/>
  <c r="P882" i="4" s="1" a="1"/>
  <c r="P882" i="4" s="1"/>
  <c r="E885" i="4"/>
  <c r="D890" i="4"/>
  <c r="E893" i="4"/>
  <c r="D898" i="4"/>
  <c r="E901" i="4"/>
  <c r="D906" i="4"/>
  <c r="E909" i="4"/>
  <c r="D914" i="4"/>
  <c r="E917" i="4"/>
  <c r="D922" i="4"/>
  <c r="E925" i="4"/>
  <c r="D930" i="4"/>
  <c r="P930" i="4" s="1" a="1"/>
  <c r="P930" i="4" s="1"/>
  <c r="E933" i="4"/>
  <c r="D938" i="4"/>
  <c r="E941" i="4"/>
  <c r="D946" i="4"/>
  <c r="E949" i="4"/>
  <c r="D5" i="4"/>
  <c r="F5" i="4"/>
  <c r="E71" i="4"/>
  <c r="E72" i="4"/>
  <c r="E96" i="4"/>
  <c r="E95" i="4"/>
  <c r="E371" i="4"/>
  <c r="E8" i="4"/>
  <c r="E75" i="4"/>
  <c r="E73" i="4"/>
  <c r="E113" i="4"/>
  <c r="E115" i="4"/>
  <c r="E139" i="4"/>
  <c r="E137" i="4"/>
  <c r="E177" i="4"/>
  <c r="E179" i="4"/>
  <c r="E203" i="4"/>
  <c r="E201" i="4"/>
  <c r="E241" i="4"/>
  <c r="E243" i="4"/>
  <c r="E267" i="4"/>
  <c r="E265" i="4"/>
  <c r="P280" i="4" a="1"/>
  <c r="P280" i="4" s="1"/>
  <c r="P288" i="4" a="1"/>
  <c r="P288" i="4" s="1"/>
  <c r="E307" i="4"/>
  <c r="E11" i="4"/>
  <c r="E9" i="4"/>
  <c r="E29" i="4"/>
  <c r="E30" i="4"/>
  <c r="E54" i="4"/>
  <c r="E53" i="4"/>
  <c r="P139" i="4" a="1"/>
  <c r="P139" i="4" s="1"/>
  <c r="E136" i="4"/>
  <c r="P35" i="4" a="1"/>
  <c r="P35" i="4" s="1"/>
  <c r="E329" i="4"/>
  <c r="E117" i="4"/>
  <c r="E17" i="4"/>
  <c r="E41" i="4"/>
  <c r="E81" i="4"/>
  <c r="E105" i="4"/>
  <c r="E145" i="4"/>
  <c r="E21" i="4"/>
  <c r="E61" i="4"/>
  <c r="E85" i="4"/>
  <c r="E125" i="4"/>
  <c r="E149" i="4"/>
  <c r="D6" i="4"/>
  <c r="E33" i="4"/>
  <c r="D46" i="4"/>
  <c r="E65" i="4"/>
  <c r="E89" i="4"/>
  <c r="D102" i="4"/>
  <c r="D126" i="4"/>
  <c r="D142" i="4"/>
  <c r="E161" i="4"/>
  <c r="E193" i="4"/>
  <c r="D214" i="4"/>
  <c r="D238" i="4"/>
  <c r="D254" i="4"/>
  <c r="E289" i="4"/>
  <c r="D302" i="4"/>
  <c r="E321" i="4"/>
  <c r="D334" i="4"/>
  <c r="D350" i="4"/>
  <c r="D358" i="4"/>
  <c r="D374" i="4"/>
  <c r="D9" i="4"/>
  <c r="E12" i="4"/>
  <c r="D17" i="4"/>
  <c r="E20" i="4"/>
  <c r="D25" i="4"/>
  <c r="E28" i="4"/>
  <c r="D33" i="4"/>
  <c r="E36" i="4"/>
  <c r="D41" i="4"/>
  <c r="E44" i="4"/>
  <c r="D49" i="4"/>
  <c r="E52" i="4"/>
  <c r="D57" i="4"/>
  <c r="E60" i="4"/>
  <c r="D65" i="4"/>
  <c r="E68" i="4"/>
  <c r="D73" i="4"/>
  <c r="E76" i="4"/>
  <c r="D81" i="4"/>
  <c r="E84" i="4"/>
  <c r="D89" i="4"/>
  <c r="E92" i="4"/>
  <c r="D97" i="4"/>
  <c r="E100" i="4"/>
  <c r="D105" i="4"/>
  <c r="E108" i="4"/>
  <c r="D113" i="4"/>
  <c r="E116" i="4"/>
  <c r="D121" i="4"/>
  <c r="E124" i="4"/>
  <c r="D129" i="4"/>
  <c r="E132" i="4"/>
  <c r="D137" i="4"/>
  <c r="E140" i="4"/>
  <c r="D145" i="4"/>
  <c r="E148" i="4"/>
  <c r="D153" i="4"/>
  <c r="E156" i="4"/>
  <c r="D161" i="4"/>
  <c r="E164" i="4"/>
  <c r="D169" i="4"/>
  <c r="E172" i="4"/>
  <c r="D177" i="4"/>
  <c r="E180" i="4"/>
  <c r="D185" i="4"/>
  <c r="E188" i="4"/>
  <c r="D193" i="4"/>
  <c r="E196" i="4"/>
  <c r="D201" i="4"/>
  <c r="E204" i="4"/>
  <c r="D209" i="4"/>
  <c r="E212" i="4"/>
  <c r="D217" i="4"/>
  <c r="E220" i="4"/>
  <c r="D225" i="4"/>
  <c r="E228" i="4"/>
  <c r="D233" i="4"/>
  <c r="E236" i="4"/>
  <c r="D241" i="4"/>
  <c r="E244" i="4"/>
  <c r="D249" i="4"/>
  <c r="E252" i="4"/>
  <c r="D257" i="4"/>
  <c r="E260" i="4"/>
  <c r="D265" i="4"/>
  <c r="E268" i="4"/>
  <c r="D273" i="4"/>
  <c r="E276" i="4"/>
  <c r="D281" i="4"/>
  <c r="E284" i="4"/>
  <c r="D289" i="4"/>
  <c r="E292" i="4"/>
  <c r="D297" i="4"/>
  <c r="E300" i="4"/>
  <c r="D305" i="4"/>
  <c r="E308" i="4"/>
  <c r="D313" i="4"/>
  <c r="E316" i="4"/>
  <c r="D321" i="4"/>
  <c r="E324" i="4"/>
  <c r="D329" i="4"/>
  <c r="E332" i="4"/>
  <c r="D337" i="4"/>
  <c r="E340" i="4"/>
  <c r="D345" i="4"/>
  <c r="E348" i="4"/>
  <c r="D353" i="4"/>
  <c r="E356" i="4"/>
  <c r="D361" i="4"/>
  <c r="E364" i="4"/>
  <c r="D369" i="4"/>
  <c r="E372" i="4"/>
  <c r="D377" i="4"/>
  <c r="E380" i="4"/>
  <c r="D385" i="4"/>
  <c r="E388" i="4"/>
  <c r="D393" i="4"/>
  <c r="E396" i="4"/>
  <c r="D401" i="4"/>
  <c r="E404" i="4"/>
  <c r="D409" i="4"/>
  <c r="E412" i="4"/>
  <c r="D417" i="4"/>
  <c r="E420" i="4"/>
  <c r="D425" i="4"/>
  <c r="E428" i="4"/>
  <c r="D433" i="4"/>
  <c r="E436" i="4"/>
  <c r="D441" i="4"/>
  <c r="E444" i="4"/>
  <c r="D449" i="4"/>
  <c r="E452" i="4"/>
  <c r="D457" i="4"/>
  <c r="E460" i="4"/>
  <c r="D465" i="4"/>
  <c r="E468" i="4"/>
  <c r="D473" i="4"/>
  <c r="E476" i="4"/>
  <c r="D481" i="4"/>
  <c r="E484" i="4"/>
  <c r="D489" i="4"/>
  <c r="E492" i="4"/>
  <c r="D497" i="4"/>
  <c r="E500" i="4"/>
  <c r="D505" i="4"/>
  <c r="E508" i="4"/>
  <c r="D513" i="4"/>
  <c r="E516" i="4"/>
  <c r="D521" i="4"/>
  <c r="E524" i="4"/>
  <c r="D529" i="4"/>
  <c r="E532" i="4"/>
  <c r="D537" i="4"/>
  <c r="E540" i="4"/>
  <c r="D545" i="4"/>
  <c r="E548" i="4"/>
  <c r="D553" i="4"/>
  <c r="E556" i="4"/>
  <c r="D561" i="4"/>
  <c r="E564" i="4"/>
  <c r="D569" i="4"/>
  <c r="E572" i="4"/>
  <c r="D577" i="4"/>
  <c r="E580" i="4"/>
  <c r="D585" i="4"/>
  <c r="E588" i="4"/>
  <c r="D593" i="4"/>
  <c r="E596" i="4"/>
  <c r="D601" i="4"/>
  <c r="E604" i="4"/>
  <c r="D609" i="4"/>
  <c r="E612" i="4"/>
  <c r="D617" i="4"/>
  <c r="E620" i="4"/>
  <c r="D625" i="4"/>
  <c r="E628" i="4"/>
  <c r="D633" i="4"/>
  <c r="E636" i="4"/>
  <c r="D641" i="4"/>
  <c r="E644" i="4"/>
  <c r="D649" i="4"/>
  <c r="E652" i="4"/>
  <c r="D657" i="4"/>
  <c r="E660" i="4"/>
  <c r="D665" i="4"/>
  <c r="E668" i="4"/>
  <c r="D673" i="4"/>
  <c r="E676" i="4"/>
  <c r="D681" i="4"/>
  <c r="E684" i="4"/>
  <c r="D689" i="4"/>
  <c r="E692" i="4"/>
  <c r="D697" i="4"/>
  <c r="E700" i="4"/>
  <c r="D705" i="4"/>
  <c r="E708" i="4"/>
  <c r="D713" i="4"/>
  <c r="E716" i="4"/>
  <c r="D721" i="4"/>
  <c r="E724" i="4"/>
  <c r="D729" i="4"/>
  <c r="E732" i="4"/>
  <c r="D737" i="4"/>
  <c r="E740" i="4"/>
  <c r="D745" i="4"/>
  <c r="E748" i="4"/>
  <c r="D753" i="4"/>
  <c r="E756" i="4"/>
  <c r="D761" i="4"/>
  <c r="E764" i="4"/>
  <c r="D769" i="4"/>
  <c r="E772" i="4"/>
  <c r="D777" i="4"/>
  <c r="E780" i="4"/>
  <c r="D785" i="4"/>
  <c r="E788" i="4"/>
  <c r="D793" i="4"/>
  <c r="E796" i="4"/>
  <c r="D801" i="4"/>
  <c r="E804" i="4"/>
  <c r="P804" i="4" s="1" a="1"/>
  <c r="P804" i="4" s="1"/>
  <c r="D809" i="4"/>
  <c r="E812" i="4"/>
  <c r="D817" i="4"/>
  <c r="E820" i="4"/>
  <c r="D825" i="4"/>
  <c r="E828" i="4"/>
  <c r="D833" i="4"/>
  <c r="E836" i="4"/>
  <c r="D841" i="4"/>
  <c r="E844" i="4"/>
  <c r="D849" i="4"/>
  <c r="E852" i="4"/>
  <c r="D857" i="4"/>
  <c r="E860" i="4"/>
  <c r="D865" i="4"/>
  <c r="E868" i="4"/>
  <c r="D873" i="4"/>
  <c r="E876" i="4"/>
  <c r="D881" i="4"/>
  <c r="E884" i="4"/>
  <c r="D889" i="4"/>
  <c r="E892" i="4"/>
  <c r="D897" i="4"/>
  <c r="E900" i="4"/>
  <c r="D905" i="4"/>
  <c r="E908" i="4"/>
  <c r="D913" i="4"/>
  <c r="E916" i="4"/>
  <c r="D921" i="4"/>
  <c r="E924" i="4"/>
  <c r="D929" i="4"/>
  <c r="E932" i="4"/>
  <c r="D937" i="4"/>
  <c r="E940" i="4"/>
  <c r="D945" i="4"/>
  <c r="E948" i="4"/>
  <c r="E938" i="4"/>
  <c r="E922" i="4"/>
  <c r="E906" i="4"/>
  <c r="E890" i="4"/>
  <c r="E874" i="4"/>
  <c r="E858" i="4"/>
  <c r="E842" i="4"/>
  <c r="E826" i="4"/>
  <c r="E810" i="4"/>
  <c r="E794" i="4"/>
  <c r="E778" i="4"/>
  <c r="E762" i="4"/>
  <c r="E746" i="4"/>
  <c r="E730" i="4"/>
  <c r="E714" i="4"/>
  <c r="E698" i="4"/>
  <c r="E682" i="4"/>
  <c r="E666" i="4"/>
  <c r="E650" i="4"/>
  <c r="E634" i="4"/>
  <c r="E618" i="4"/>
  <c r="E602" i="4"/>
  <c r="E586" i="4"/>
  <c r="E570" i="4"/>
  <c r="E554" i="4"/>
  <c r="E538" i="4"/>
  <c r="E522" i="4"/>
  <c r="E506" i="4"/>
  <c r="E489" i="4"/>
  <c r="E447" i="4"/>
  <c r="E425" i="4"/>
  <c r="E383" i="4"/>
  <c r="E361" i="4"/>
  <c r="E319" i="4"/>
  <c r="E297" i="4"/>
  <c r="E255" i="4"/>
  <c r="E233" i="4"/>
  <c r="E191" i="4"/>
  <c r="E169" i="4"/>
  <c r="P396" i="4" a="1"/>
  <c r="P396" i="4" s="1"/>
  <c r="D30" i="4"/>
  <c r="D62" i="4"/>
  <c r="D78" i="4"/>
  <c r="E97" i="4"/>
  <c r="D110" i="4"/>
  <c r="E121" i="4"/>
  <c r="D150" i="4"/>
  <c r="D190" i="4"/>
  <c r="D206" i="4"/>
  <c r="E225" i="4"/>
  <c r="D246" i="4"/>
  <c r="D278" i="4"/>
  <c r="D294" i="4"/>
  <c r="D318" i="4"/>
  <c r="D12" i="4"/>
  <c r="E15" i="4"/>
  <c r="D20" i="4"/>
  <c r="E23" i="4"/>
  <c r="D28" i="4"/>
  <c r="D36" i="4"/>
  <c r="D44" i="4"/>
  <c r="E47" i="4"/>
  <c r="D52" i="4"/>
  <c r="E55" i="4"/>
  <c r="D60" i="4"/>
  <c r="D68" i="4"/>
  <c r="D76" i="4"/>
  <c r="E79" i="4"/>
  <c r="D84" i="4"/>
  <c r="E87" i="4"/>
  <c r="D92" i="4"/>
  <c r="D100" i="4"/>
  <c r="D108" i="4"/>
  <c r="E111" i="4"/>
  <c r="D116" i="4"/>
  <c r="E119" i="4"/>
  <c r="D124" i="4"/>
  <c r="D132" i="4"/>
  <c r="D140" i="4"/>
  <c r="E143" i="4"/>
  <c r="D148" i="4"/>
  <c r="E151" i="4"/>
  <c r="D156" i="4"/>
  <c r="D164" i="4"/>
  <c r="D172" i="4"/>
  <c r="E175" i="4"/>
  <c r="D180" i="4"/>
  <c r="E183" i="4"/>
  <c r="D188" i="4"/>
  <c r="D196" i="4"/>
  <c r="D204" i="4"/>
  <c r="E207" i="4"/>
  <c r="D212" i="4"/>
  <c r="E215" i="4"/>
  <c r="D220" i="4"/>
  <c r="D228" i="4"/>
  <c r="D236" i="4"/>
  <c r="E239" i="4"/>
  <c r="D244" i="4"/>
  <c r="E247" i="4"/>
  <c r="D252" i="4"/>
  <c r="D260" i="4"/>
  <c r="D268" i="4"/>
  <c r="E271" i="4"/>
  <c r="D276" i="4"/>
  <c r="E279" i="4"/>
  <c r="D284" i="4"/>
  <c r="D292" i="4"/>
  <c r="D300" i="4"/>
  <c r="E303" i="4"/>
  <c r="D308" i="4"/>
  <c r="E311" i="4"/>
  <c r="D316" i="4"/>
  <c r="D324" i="4"/>
  <c r="D332" i="4"/>
  <c r="E335" i="4"/>
  <c r="D340" i="4"/>
  <c r="E343" i="4"/>
  <c r="D348" i="4"/>
  <c r="D356" i="4"/>
  <c r="D364" i="4"/>
  <c r="E367" i="4"/>
  <c r="D372" i="4"/>
  <c r="E375" i="4"/>
  <c r="E937" i="4"/>
  <c r="E921" i="4"/>
  <c r="E905" i="4"/>
  <c r="E889" i="4"/>
  <c r="E873" i="4"/>
  <c r="E857" i="4"/>
  <c r="E841" i="4"/>
  <c r="E825" i="4"/>
  <c r="E809" i="4"/>
  <c r="E793" i="4"/>
  <c r="E777" i="4"/>
  <c r="E761" i="4"/>
  <c r="E745" i="4"/>
  <c r="E729" i="4"/>
  <c r="E713" i="4"/>
  <c r="E697" i="4"/>
  <c r="E681" i="4"/>
  <c r="E665" i="4"/>
  <c r="E649" i="4"/>
  <c r="E633" i="4"/>
  <c r="E617" i="4"/>
  <c r="E601" i="4"/>
  <c r="E585" i="4"/>
  <c r="E569" i="4"/>
  <c r="E553" i="4"/>
  <c r="E537" i="4"/>
  <c r="E521" i="4"/>
  <c r="E505" i="4"/>
  <c r="E467" i="4"/>
  <c r="E403" i="4"/>
  <c r="D22" i="4"/>
  <c r="D38" i="4"/>
  <c r="D54" i="4"/>
  <c r="D70" i="4"/>
  <c r="D94" i="4"/>
  <c r="D118" i="4"/>
  <c r="D134" i="4"/>
  <c r="D158" i="4"/>
  <c r="D174" i="4"/>
  <c r="E185" i="4"/>
  <c r="D198" i="4"/>
  <c r="D222" i="4"/>
  <c r="E249" i="4"/>
  <c r="D262" i="4"/>
  <c r="D286" i="4"/>
  <c r="E313" i="4"/>
  <c r="D326" i="4"/>
  <c r="D342" i="4"/>
  <c r="E353" i="4"/>
  <c r="D366" i="4"/>
  <c r="D7" i="4"/>
  <c r="E10" i="4"/>
  <c r="D15" i="4"/>
  <c r="E18" i="4"/>
  <c r="D23" i="4"/>
  <c r="E26" i="4"/>
  <c r="D31" i="4"/>
  <c r="E34" i="4"/>
  <c r="D39" i="4"/>
  <c r="E42" i="4"/>
  <c r="D47" i="4"/>
  <c r="E50" i="4"/>
  <c r="D55" i="4"/>
  <c r="E58" i="4"/>
  <c r="D63" i="4"/>
  <c r="E66" i="4"/>
  <c r="D71" i="4"/>
  <c r="E74" i="4"/>
  <c r="D79" i="4"/>
  <c r="E82" i="4"/>
  <c r="D87" i="4"/>
  <c r="E90" i="4"/>
  <c r="D95" i="4"/>
  <c r="E98" i="4"/>
  <c r="D103" i="4"/>
  <c r="E106" i="4"/>
  <c r="D111" i="4"/>
  <c r="E114" i="4"/>
  <c r="D119" i="4"/>
  <c r="E122" i="4"/>
  <c r="D127" i="4"/>
  <c r="E130" i="4"/>
  <c r="D135" i="4"/>
  <c r="E138" i="4"/>
  <c r="D143" i="4"/>
  <c r="E146" i="4"/>
  <c r="D151" i="4"/>
  <c r="E154" i="4"/>
  <c r="D159" i="4"/>
  <c r="E162" i="4"/>
  <c r="D167" i="4"/>
  <c r="E170" i="4"/>
  <c r="D175" i="4"/>
  <c r="E178" i="4"/>
  <c r="D183" i="4"/>
  <c r="E186" i="4"/>
  <c r="D191" i="4"/>
  <c r="E194" i="4"/>
  <c r="D199" i="4"/>
  <c r="E202" i="4"/>
  <c r="D207" i="4"/>
  <c r="E210" i="4"/>
  <c r="D215" i="4"/>
  <c r="E218" i="4"/>
  <c r="D223" i="4"/>
  <c r="E226" i="4"/>
  <c r="D231" i="4"/>
  <c r="E234" i="4"/>
  <c r="D239" i="4"/>
  <c r="E242" i="4"/>
  <c r="D247" i="4"/>
  <c r="E250" i="4"/>
  <c r="D255" i="4"/>
  <c r="E258" i="4"/>
  <c r="D263" i="4"/>
  <c r="E266" i="4"/>
  <c r="D271" i="4"/>
  <c r="E274" i="4"/>
  <c r="D279" i="4"/>
  <c r="E282" i="4"/>
  <c r="D287" i="4"/>
  <c r="E290" i="4"/>
  <c r="D295" i="4"/>
  <c r="E298" i="4"/>
  <c r="D303" i="4"/>
  <c r="E306" i="4"/>
  <c r="D311" i="4"/>
  <c r="E314" i="4"/>
  <c r="D319" i="4"/>
  <c r="E322" i="4"/>
  <c r="D327" i="4"/>
  <c r="E330" i="4"/>
  <c r="D335" i="4"/>
  <c r="E338" i="4"/>
  <c r="D343" i="4"/>
  <c r="E346" i="4"/>
  <c r="D351" i="4"/>
  <c r="E354" i="4"/>
  <c r="D359" i="4"/>
  <c r="E362" i="4"/>
  <c r="D367" i="4"/>
  <c r="E370" i="4"/>
  <c r="D375" i="4"/>
  <c r="E378" i="4"/>
  <c r="D383" i="4"/>
  <c r="E386" i="4"/>
  <c r="D391" i="4"/>
  <c r="E394" i="4"/>
  <c r="D399" i="4"/>
  <c r="E402" i="4"/>
  <c r="D407" i="4"/>
  <c r="E410" i="4"/>
  <c r="D415" i="4"/>
  <c r="E418" i="4"/>
  <c r="D423" i="4"/>
  <c r="E426" i="4"/>
  <c r="D431" i="4"/>
  <c r="E434" i="4"/>
  <c r="D439" i="4"/>
  <c r="E442" i="4"/>
  <c r="D447" i="4"/>
  <c r="E450" i="4"/>
  <c r="D455" i="4"/>
  <c r="E458" i="4"/>
  <c r="D463" i="4"/>
  <c r="E466" i="4"/>
  <c r="D471" i="4"/>
  <c r="E474" i="4"/>
  <c r="D479" i="4"/>
  <c r="E482" i="4"/>
  <c r="D487" i="4"/>
  <c r="E490" i="4"/>
  <c r="D495" i="4"/>
  <c r="D503" i="4"/>
  <c r="D511" i="4"/>
  <c r="D519" i="4"/>
  <c r="D527" i="4"/>
  <c r="D535" i="4"/>
  <c r="D543" i="4"/>
  <c r="D551" i="4"/>
  <c r="D559" i="4"/>
  <c r="D567" i="4"/>
  <c r="D575" i="4"/>
  <c r="D583" i="4"/>
  <c r="D591" i="4"/>
  <c r="D599" i="4"/>
  <c r="D607" i="4"/>
  <c r="D615" i="4"/>
  <c r="D623" i="4"/>
  <c r="D631" i="4"/>
  <c r="D639" i="4"/>
  <c r="D647" i="4"/>
  <c r="D655" i="4"/>
  <c r="D663" i="4"/>
  <c r="D671" i="4"/>
  <c r="D679" i="4"/>
  <c r="D687" i="4"/>
  <c r="D695" i="4"/>
  <c r="D703" i="4"/>
  <c r="D711" i="4"/>
  <c r="D719" i="4"/>
  <c r="D727" i="4"/>
  <c r="D735" i="4"/>
  <c r="D743" i="4"/>
  <c r="D751" i="4"/>
  <c r="D759" i="4"/>
  <c r="D767" i="4"/>
  <c r="D775" i="4"/>
  <c r="D783" i="4"/>
  <c r="D791" i="4"/>
  <c r="D799" i="4"/>
  <c r="D807" i="4"/>
  <c r="D815" i="4"/>
  <c r="D823" i="4"/>
  <c r="D831" i="4"/>
  <c r="D839" i="4"/>
  <c r="D847" i="4"/>
  <c r="D855" i="4"/>
  <c r="D863" i="4"/>
  <c r="D871" i="4"/>
  <c r="D879" i="4"/>
  <c r="D887" i="4"/>
  <c r="D895" i="4"/>
  <c r="D903" i="4"/>
  <c r="D911" i="4"/>
  <c r="D919" i="4"/>
  <c r="D927" i="4"/>
  <c r="D935" i="4"/>
  <c r="D943" i="4"/>
  <c r="E487" i="4"/>
  <c r="E465" i="4"/>
  <c r="E423" i="4"/>
  <c r="E401" i="4"/>
  <c r="E359" i="4"/>
  <c r="E337" i="4"/>
  <c r="E295" i="4"/>
  <c r="E273" i="4"/>
  <c r="E231" i="4"/>
  <c r="E209" i="4"/>
  <c r="E167" i="4"/>
  <c r="D14" i="4"/>
  <c r="E25" i="4"/>
  <c r="E57" i="4"/>
  <c r="D86" i="4"/>
  <c r="E129" i="4"/>
  <c r="E153" i="4"/>
  <c r="D166" i="4"/>
  <c r="D182" i="4"/>
  <c r="E217" i="4"/>
  <c r="D230" i="4"/>
  <c r="E257" i="4"/>
  <c r="D270" i="4"/>
  <c r="E281" i="4"/>
  <c r="D310" i="4"/>
  <c r="E345" i="4"/>
  <c r="E5" i="4"/>
  <c r="G5" i="4"/>
  <c r="D10" i="4"/>
  <c r="E13" i="4"/>
  <c r="D18" i="4"/>
  <c r="D26" i="4"/>
  <c r="D34" i="4"/>
  <c r="E37" i="4"/>
  <c r="D42" i="4"/>
  <c r="E45" i="4"/>
  <c r="D50" i="4"/>
  <c r="D58" i="4"/>
  <c r="D66" i="4"/>
  <c r="E69" i="4"/>
  <c r="D74" i="4"/>
  <c r="E77" i="4"/>
  <c r="D82" i="4"/>
  <c r="D90" i="4"/>
  <c r="D98" i="4"/>
  <c r="E101" i="4"/>
  <c r="D106" i="4"/>
  <c r="E109" i="4"/>
  <c r="D114" i="4"/>
  <c r="D122" i="4"/>
  <c r="D130" i="4"/>
  <c r="E133" i="4"/>
  <c r="D138" i="4"/>
  <c r="E141" i="4"/>
  <c r="D146" i="4"/>
  <c r="D154" i="4"/>
  <c r="P786" i="4" a="1"/>
  <c r="P786" i="4" s="1"/>
  <c r="P874" i="4" a="1"/>
  <c r="P874" i="4" s="1"/>
  <c r="E464" i="4"/>
  <c r="E443" i="4"/>
  <c r="E400" i="4"/>
  <c r="E379" i="4"/>
  <c r="D165" i="4"/>
  <c r="D173" i="4"/>
  <c r="D181" i="4"/>
  <c r="D189" i="4"/>
  <c r="D197" i="4"/>
  <c r="D205" i="4"/>
  <c r="D213" i="4"/>
  <c r="D221" i="4"/>
  <c r="D229" i="4"/>
  <c r="D237" i="4"/>
  <c r="D245" i="4"/>
  <c r="D253" i="4"/>
  <c r="D261" i="4"/>
  <c r="D269" i="4"/>
  <c r="D277" i="4"/>
  <c r="D285" i="4"/>
  <c r="D293" i="4"/>
  <c r="D301" i="4"/>
  <c r="D309" i="4"/>
  <c r="D317" i="4"/>
  <c r="D325" i="4"/>
  <c r="D333" i="4"/>
  <c r="D341" i="4"/>
  <c r="D349" i="4"/>
  <c r="D357" i="4"/>
  <c r="D365" i="4"/>
  <c r="D373" i="4"/>
  <c r="D381" i="4"/>
  <c r="D389" i="4"/>
  <c r="D397" i="4"/>
  <c r="D405" i="4"/>
  <c r="D413" i="4"/>
  <c r="D421" i="4"/>
  <c r="D429" i="4"/>
  <c r="D437" i="4"/>
  <c r="D445" i="4"/>
  <c r="D453" i="4"/>
  <c r="D461" i="4"/>
  <c r="D469" i="4"/>
  <c r="D477" i="4"/>
  <c r="D485" i="4"/>
  <c r="D493" i="4"/>
  <c r="D501" i="4"/>
  <c r="D509" i="4"/>
  <c r="D517" i="4"/>
  <c r="D525" i="4"/>
  <c r="D533" i="4"/>
  <c r="D541" i="4"/>
  <c r="D549" i="4"/>
  <c r="D557" i="4"/>
  <c r="D565" i="4"/>
  <c r="D573" i="4"/>
  <c r="D581" i="4"/>
  <c r="D589" i="4"/>
  <c r="D597" i="4"/>
  <c r="D605" i="4"/>
  <c r="D613" i="4"/>
  <c r="D621" i="4"/>
  <c r="D629" i="4"/>
  <c r="D637" i="4"/>
  <c r="D645" i="4"/>
  <c r="D653" i="4"/>
  <c r="D661" i="4"/>
  <c r="D669" i="4"/>
  <c r="D677" i="4"/>
  <c r="D685" i="4"/>
  <c r="D693" i="4"/>
  <c r="D701" i="4"/>
  <c r="D709" i="4"/>
  <c r="D717" i="4"/>
  <c r="D725" i="4"/>
  <c r="D733" i="4"/>
  <c r="D741" i="4"/>
  <c r="D749" i="4"/>
  <c r="D757" i="4"/>
  <c r="D765" i="4"/>
  <c r="D773" i="4"/>
  <c r="D781" i="4"/>
  <c r="D789" i="4"/>
  <c r="D797" i="4"/>
  <c r="D805" i="4"/>
  <c r="D813" i="4"/>
  <c r="D821" i="4"/>
  <c r="D829" i="4"/>
  <c r="D837" i="4"/>
  <c r="D845" i="4"/>
  <c r="D853" i="4"/>
  <c r="D861" i="4"/>
  <c r="D869" i="4"/>
  <c r="D877" i="4"/>
  <c r="D885" i="4"/>
  <c r="D893" i="4"/>
  <c r="D901" i="4"/>
  <c r="D909" i="4"/>
  <c r="D917" i="4"/>
  <c r="D925" i="4"/>
  <c r="D933" i="4"/>
  <c r="D941" i="4"/>
  <c r="D949" i="4"/>
  <c r="D384" i="4"/>
  <c r="D392" i="4"/>
  <c r="D400" i="4"/>
  <c r="D408" i="4"/>
  <c r="D416" i="4"/>
  <c r="D424" i="4"/>
  <c r="D432" i="4"/>
  <c r="D440" i="4"/>
  <c r="D448" i="4"/>
  <c r="D456" i="4"/>
  <c r="D464" i="4"/>
  <c r="D472" i="4"/>
  <c r="D480" i="4"/>
  <c r="D488" i="4"/>
  <c r="D496" i="4"/>
  <c r="D504" i="4"/>
  <c r="D512" i="4"/>
  <c r="D520" i="4"/>
  <c r="D528" i="4"/>
  <c r="D536" i="4"/>
  <c r="D544" i="4"/>
  <c r="D552" i="4"/>
  <c r="D560" i="4"/>
  <c r="D568" i="4"/>
  <c r="D576" i="4"/>
  <c r="D584" i="4"/>
  <c r="D592" i="4"/>
  <c r="D600" i="4"/>
  <c r="D608" i="4"/>
  <c r="D616" i="4"/>
  <c r="D624" i="4"/>
  <c r="D632" i="4"/>
  <c r="D640" i="4"/>
  <c r="D648" i="4"/>
  <c r="D656" i="4"/>
  <c r="D664" i="4"/>
  <c r="D672" i="4"/>
  <c r="D680" i="4"/>
  <c r="D688" i="4"/>
  <c r="D696" i="4"/>
  <c r="D704" i="4"/>
  <c r="D712" i="4"/>
  <c r="D720" i="4"/>
  <c r="D728" i="4"/>
  <c r="D736" i="4"/>
  <c r="D744" i="4"/>
  <c r="D752" i="4"/>
  <c r="D760" i="4"/>
  <c r="D768" i="4"/>
  <c r="D776" i="4"/>
  <c r="D784" i="4"/>
  <c r="D792" i="4"/>
  <c r="D800" i="4"/>
  <c r="D808" i="4"/>
  <c r="D816" i="4"/>
  <c r="D824" i="4"/>
  <c r="D832" i="4"/>
  <c r="D840" i="4"/>
  <c r="D848" i="4"/>
  <c r="D856" i="4"/>
  <c r="D864" i="4"/>
  <c r="D872" i="4"/>
  <c r="D880" i="4"/>
  <c r="D888" i="4"/>
  <c r="D896" i="4"/>
  <c r="D904" i="4"/>
  <c r="D912" i="4"/>
  <c r="D920" i="4"/>
  <c r="D928" i="4"/>
  <c r="D936" i="4"/>
  <c r="D944" i="4"/>
  <c r="D163" i="4"/>
  <c r="D171" i="4"/>
  <c r="D179" i="4"/>
  <c r="D187" i="4"/>
  <c r="D195" i="4"/>
  <c r="D203" i="4"/>
  <c r="D211" i="4"/>
  <c r="D219" i="4"/>
  <c r="D227" i="4"/>
  <c r="D235" i="4"/>
  <c r="D243" i="4"/>
  <c r="D251" i="4"/>
  <c r="D259" i="4"/>
  <c r="D267" i="4"/>
  <c r="D275" i="4"/>
  <c r="D283" i="4"/>
  <c r="D291" i="4"/>
  <c r="D299" i="4"/>
  <c r="D307" i="4"/>
  <c r="D315" i="4"/>
  <c r="D323" i="4"/>
  <c r="D331" i="4"/>
  <c r="D339" i="4"/>
  <c r="D347" i="4"/>
  <c r="D355" i="4"/>
  <c r="D363" i="4"/>
  <c r="D371" i="4"/>
  <c r="D379" i="4"/>
  <c r="D387" i="4"/>
  <c r="D395" i="4"/>
  <c r="D403" i="4"/>
  <c r="D411" i="4"/>
  <c r="D419" i="4"/>
  <c r="D427" i="4"/>
  <c r="D435" i="4"/>
  <c r="D443" i="4"/>
  <c r="D451" i="4"/>
  <c r="D459" i="4"/>
  <c r="D467" i="4"/>
  <c r="D475" i="4"/>
  <c r="D483" i="4"/>
  <c r="D491" i="4"/>
  <c r="D499" i="4"/>
  <c r="D507" i="4"/>
  <c r="D515" i="4"/>
  <c r="D523" i="4"/>
  <c r="D531" i="4"/>
  <c r="D539" i="4"/>
  <c r="D547" i="4"/>
  <c r="D555" i="4"/>
  <c r="D563" i="4"/>
  <c r="D571" i="4"/>
  <c r="D579" i="4"/>
  <c r="D587" i="4"/>
  <c r="D595" i="4"/>
  <c r="D603" i="4"/>
  <c r="D611" i="4"/>
  <c r="D619" i="4"/>
  <c r="D627" i="4"/>
  <c r="D635" i="4"/>
  <c r="D643" i="4"/>
  <c r="D651" i="4"/>
  <c r="D659" i="4"/>
  <c r="D667" i="4"/>
  <c r="D675" i="4"/>
  <c r="D683" i="4"/>
  <c r="D691" i="4"/>
  <c r="D699" i="4"/>
  <c r="D707" i="4"/>
  <c r="D715" i="4"/>
  <c r="D723" i="4"/>
  <c r="D731" i="4"/>
  <c r="D739" i="4"/>
  <c r="D747" i="4"/>
  <c r="D755" i="4"/>
  <c r="D763" i="4"/>
  <c r="D771" i="4"/>
  <c r="D779" i="4"/>
  <c r="D787" i="4"/>
  <c r="D795" i="4"/>
  <c r="D803" i="4"/>
  <c r="D811" i="4"/>
  <c r="D819" i="4"/>
  <c r="D827" i="4"/>
  <c r="D835" i="4"/>
  <c r="D843" i="4"/>
  <c r="D851" i="4"/>
  <c r="D859" i="4"/>
  <c r="D867" i="4"/>
  <c r="D875" i="4"/>
  <c r="D883" i="4"/>
  <c r="D891" i="4"/>
  <c r="D899" i="4"/>
  <c r="D907" i="4"/>
  <c r="D915" i="4"/>
  <c r="D923" i="4"/>
  <c r="D931" i="4"/>
  <c r="D939" i="4"/>
  <c r="D947" i="4"/>
  <c r="D382" i="4"/>
  <c r="D390" i="4"/>
  <c r="D398" i="4"/>
  <c r="D406" i="4"/>
  <c r="D414" i="4"/>
  <c r="D422" i="4"/>
  <c r="D430" i="4"/>
  <c r="D438" i="4"/>
  <c r="D446" i="4"/>
  <c r="D454" i="4"/>
  <c r="D462" i="4"/>
  <c r="D470" i="4"/>
  <c r="D478" i="4"/>
  <c r="D486" i="4"/>
  <c r="D494" i="4"/>
  <c r="D502" i="4"/>
  <c r="D510" i="4"/>
  <c r="D518" i="4"/>
  <c r="D526" i="4"/>
  <c r="D534" i="4"/>
  <c r="D542" i="4"/>
  <c r="D550" i="4"/>
  <c r="D558" i="4"/>
  <c r="D566" i="4"/>
  <c r="D574" i="4"/>
  <c r="D582" i="4"/>
  <c r="D590" i="4"/>
  <c r="D598" i="4"/>
  <c r="D606" i="4"/>
  <c r="D614" i="4"/>
  <c r="D622" i="4"/>
  <c r="D630" i="4"/>
  <c r="D638" i="4"/>
  <c r="D646" i="4"/>
  <c r="D654" i="4"/>
  <c r="D662" i="4"/>
  <c r="D670" i="4"/>
  <c r="D678" i="4"/>
  <c r="D686" i="4"/>
  <c r="D694" i="4"/>
  <c r="D702" i="4"/>
  <c r="D710" i="4"/>
  <c r="D718" i="4"/>
  <c r="D726" i="4"/>
  <c r="D734" i="4"/>
  <c r="D742" i="4"/>
  <c r="D750" i="4"/>
  <c r="D758" i="4"/>
  <c r="D766" i="4"/>
  <c r="D774" i="4"/>
  <c r="D782" i="4"/>
  <c r="D790" i="4"/>
  <c r="D798" i="4"/>
  <c r="D806" i="4"/>
  <c r="D814" i="4"/>
  <c r="D822" i="4"/>
  <c r="D830" i="4"/>
  <c r="D838" i="4"/>
  <c r="D846" i="4"/>
  <c r="D854" i="4"/>
  <c r="D862" i="4"/>
  <c r="D870" i="4"/>
  <c r="D878" i="4"/>
  <c r="D886" i="4"/>
  <c r="D894" i="4"/>
  <c r="D902" i="4"/>
  <c r="D910" i="4"/>
  <c r="D918" i="4"/>
  <c r="D926" i="4"/>
  <c r="D934" i="4"/>
  <c r="D942" i="4"/>
  <c r="D950" i="4"/>
  <c r="B5" i="2"/>
  <c r="B4" i="2"/>
  <c r="P866" i="4" l="1" a="1"/>
  <c r="P866" i="4" s="1"/>
  <c r="P834" i="4" a="1"/>
  <c r="P834" i="4" s="1"/>
  <c r="P48" i="4" a="1"/>
  <c r="P48" i="4" s="1"/>
  <c r="P93" i="4" a="1"/>
  <c r="P93" i="4" s="1"/>
  <c r="P770" i="4" a="1"/>
  <c r="P770" i="4" s="1"/>
  <c r="P83" i="4" a="1"/>
  <c r="P83" i="4" s="1"/>
  <c r="P642" i="4" a="1"/>
  <c r="P642" i="4" s="1"/>
  <c r="P514" i="4" a="1"/>
  <c r="P514" i="4" s="1"/>
  <c r="P328" i="4" a="1"/>
  <c r="P328" i="4" s="1"/>
  <c r="P200" i="4" a="1"/>
  <c r="P200" i="4" s="1"/>
  <c r="P155" i="4" a="1"/>
  <c r="P155" i="4" s="1"/>
  <c r="P99" i="4" a="1"/>
  <c r="P99" i="4" s="1"/>
  <c r="P418" i="4" a="1"/>
  <c r="P418" i="4" s="1"/>
  <c r="P104" i="4" a="1"/>
  <c r="P104" i="4" s="1"/>
  <c r="P67" i="4" a="1"/>
  <c r="P67" i="4" s="1"/>
  <c r="P19" i="4" a="1"/>
  <c r="P19" i="4" s="1"/>
  <c r="P312" i="4" a="1"/>
  <c r="P312" i="4" s="1"/>
  <c r="P556" i="4" a="1"/>
  <c r="P556" i="4" s="1"/>
  <c r="P762" i="4" a="1"/>
  <c r="P762" i="4" s="1"/>
  <c r="P890" i="4" a="1"/>
  <c r="P890" i="4" s="1"/>
  <c r="P266" i="4" a="1"/>
  <c r="P266" i="4" s="1"/>
  <c r="P32" i="4" a="1"/>
  <c r="P32" i="4" s="1"/>
  <c r="P370" i="4" a="1"/>
  <c r="P370" i="4" s="1"/>
  <c r="P602" i="4" a="1"/>
  <c r="P602" i="4" s="1"/>
  <c r="P168" i="4" a="1"/>
  <c r="P168" i="4" s="1"/>
  <c r="P428" i="4" a="1"/>
  <c r="P428" i="4" s="1"/>
  <c r="P59" i="4" a="1"/>
  <c r="P59" i="4" s="1"/>
  <c r="P16" i="4" a="1"/>
  <c r="P16" i="4" s="1"/>
  <c r="P296" i="4" a="1"/>
  <c r="P296" i="4" s="1"/>
  <c r="P184" i="4" a="1"/>
  <c r="P184" i="4" s="1"/>
  <c r="J6" i="4"/>
  <c r="J14" i="4"/>
  <c r="J22" i="4"/>
  <c r="J7" i="4"/>
  <c r="J15" i="4"/>
  <c r="J23" i="4"/>
  <c r="J8" i="4"/>
  <c r="J16" i="4"/>
  <c r="J24" i="4"/>
  <c r="J19" i="4"/>
  <c r="J9" i="4"/>
  <c r="J17" i="4"/>
  <c r="J5" i="4"/>
  <c r="J10" i="4"/>
  <c r="J18" i="4"/>
  <c r="J11" i="4"/>
  <c r="J12" i="4"/>
  <c r="J20" i="4"/>
  <c r="J13" i="4"/>
  <c r="J21" i="4"/>
  <c r="P738" i="4" a="1"/>
  <c r="P738" i="4" s="1"/>
  <c r="P320" i="4" a="1"/>
  <c r="P320" i="4" s="1"/>
  <c r="P80" i="4" a="1"/>
  <c r="P80" i="4" s="1"/>
  <c r="P144" i="4" a="1"/>
  <c r="P144" i="4" s="1"/>
  <c r="P826" i="4" a="1"/>
  <c r="P826" i="4" s="1"/>
  <c r="P858" i="4" a="1"/>
  <c r="P858" i="4" s="1"/>
  <c r="P860" i="4" a="1"/>
  <c r="P860" i="4" s="1"/>
  <c r="P75" i="4" a="1"/>
  <c r="P75" i="4" s="1"/>
  <c r="P218" i="4" a="1"/>
  <c r="P218" i="4" s="1"/>
  <c r="P91" i="4" a="1"/>
  <c r="P91" i="4" s="1"/>
  <c r="P43" i="4" a="1"/>
  <c r="P43" i="4" s="1"/>
  <c r="P120" i="4" a="1"/>
  <c r="P120" i="4" s="1"/>
  <c r="P746" i="4" a="1"/>
  <c r="P746" i="4" s="1"/>
  <c r="P368" i="4" a="1"/>
  <c r="P368" i="4" s="1"/>
  <c r="P24" i="4" a="1"/>
  <c r="P24" i="4" s="1"/>
  <c r="P232" i="4" a="1"/>
  <c r="P232" i="4" s="1"/>
  <c r="P157" i="4" a="1"/>
  <c r="P157" i="4" s="1"/>
  <c r="P360" i="4" a="1"/>
  <c r="P360" i="4" s="1"/>
  <c r="P264" i="4" a="1"/>
  <c r="P264" i="4" s="1"/>
  <c r="P500" i="4" a="1"/>
  <c r="P500" i="4" s="1"/>
  <c r="P147" i="4" a="1"/>
  <c r="P147" i="4" s="1"/>
  <c r="P27" i="4" a="1"/>
  <c r="P27" i="4" s="1"/>
  <c r="P40" i="4" a="1"/>
  <c r="P40" i="4" s="1"/>
  <c r="P352" i="4" a="1"/>
  <c r="P352" i="4" s="1"/>
  <c r="P674" i="4" a="1"/>
  <c r="P674" i="4" s="1"/>
  <c r="P442" i="4" a="1"/>
  <c r="P442" i="4" s="1"/>
  <c r="P131" i="4" a="1"/>
  <c r="P131" i="4" s="1"/>
  <c r="P256" i="4" a="1"/>
  <c r="P256" i="4" s="1"/>
  <c r="P216" i="4" a="1"/>
  <c r="P216" i="4" s="1"/>
  <c r="P128" i="4" a="1"/>
  <c r="P128" i="4" s="1"/>
  <c r="P160" i="4" a="1"/>
  <c r="P160" i="4" s="1"/>
  <c r="P618" i="4" a="1"/>
  <c r="P618" i="4" s="1"/>
  <c r="P898" i="4" a="1"/>
  <c r="P898" i="4" s="1"/>
  <c r="P802" i="4" a="1"/>
  <c r="P802" i="4" s="1"/>
  <c r="P714" i="4" a="1"/>
  <c r="P714" i="4" s="1"/>
  <c r="P490" i="4" a="1"/>
  <c r="P490" i="4" s="1"/>
  <c r="P378" i="4" a="1"/>
  <c r="P378" i="4" s="1"/>
  <c r="P484" i="4" a="1"/>
  <c r="P484" i="4" s="1"/>
  <c r="P64" i="4" a="1"/>
  <c r="P64" i="4" s="1"/>
  <c r="P115" i="4" a="1"/>
  <c r="P115" i="4" s="1"/>
  <c r="P376" i="4" a="1"/>
  <c r="P376" i="4" s="1"/>
  <c r="P152" i="4" a="1"/>
  <c r="P152" i="4" s="1"/>
  <c r="P224" i="4" a="1"/>
  <c r="P224" i="4" s="1"/>
  <c r="P176" i="4" a="1"/>
  <c r="P176" i="4" s="1"/>
  <c r="P610" i="4" a="1"/>
  <c r="P610" i="4" s="1"/>
  <c r="P107" i="4" a="1"/>
  <c r="P107" i="4" s="1"/>
  <c r="P336" i="4" a="1"/>
  <c r="P336" i="4" s="1"/>
  <c r="P304" i="4" a="1"/>
  <c r="P304" i="4" s="1"/>
  <c r="P272" i="4" a="1"/>
  <c r="P272" i="4" s="1"/>
  <c r="P248" i="4" a="1"/>
  <c r="P248" i="4" s="1"/>
  <c r="P208" i="4" a="1"/>
  <c r="P208" i="4" s="1"/>
  <c r="P578" i="4" a="1"/>
  <c r="P578" i="4" s="1"/>
  <c r="P123" i="4" a="1"/>
  <c r="P123" i="4" s="1"/>
  <c r="P868" i="4" a="1"/>
  <c r="P868" i="4" s="1"/>
  <c r="P708" i="4" a="1"/>
  <c r="P708" i="4" s="1"/>
  <c r="P676" i="4" a="1"/>
  <c r="P676" i="4" s="1"/>
  <c r="P850" i="4" a="1"/>
  <c r="P850" i="4" s="1"/>
  <c r="P754" i="4" a="1"/>
  <c r="P754" i="4" s="1"/>
  <c r="P690" i="4" a="1"/>
  <c r="P690" i="4" s="1"/>
  <c r="P530" i="4" a="1"/>
  <c r="P530" i="4" s="1"/>
  <c r="P344" i="4" a="1"/>
  <c r="P344" i="4" s="1"/>
  <c r="P56" i="4" a="1"/>
  <c r="P56" i="4" s="1"/>
  <c r="P818" i="4" a="1"/>
  <c r="P818" i="4" s="1"/>
  <c r="P914" i="4" a="1"/>
  <c r="P914" i="4" s="1"/>
  <c r="P562" i="4" a="1"/>
  <c r="P562" i="4" s="1"/>
  <c r="P474" i="4" a="1"/>
  <c r="P474" i="4" s="1"/>
  <c r="P258" i="4" a="1"/>
  <c r="P258" i="4" s="1"/>
  <c r="P620" i="4" a="1"/>
  <c r="P620" i="4" s="1"/>
  <c r="P51" i="4" a="1"/>
  <c r="P51" i="4" s="1"/>
  <c r="P112" i="4" a="1"/>
  <c r="P112" i="4" s="1"/>
  <c r="P820" i="4" a="1"/>
  <c r="P820" i="4" s="1"/>
  <c r="P842" i="4" a="1"/>
  <c r="P842" i="4" s="1"/>
  <c r="P626" i="4" a="1"/>
  <c r="P626" i="4" s="1"/>
  <c r="P594" i="4" a="1"/>
  <c r="P594" i="4" s="1"/>
  <c r="P314" i="4" a="1"/>
  <c r="P314" i="4" s="1"/>
  <c r="P684" i="4" a="1"/>
  <c r="P684" i="4" s="1"/>
  <c r="P900" i="4" a="1"/>
  <c r="P900" i="4" s="1"/>
  <c r="P772" i="4" a="1"/>
  <c r="P772" i="4" s="1"/>
  <c r="P580" i="4" a="1"/>
  <c r="P580" i="4" s="1"/>
  <c r="P452" i="4" a="1"/>
  <c r="P452" i="4" s="1"/>
  <c r="P88" i="4" a="1"/>
  <c r="P88" i="4" s="1"/>
  <c r="P570" i="4" a="1"/>
  <c r="P570" i="4" s="1"/>
  <c r="P692" i="4" a="1"/>
  <c r="P692" i="4" s="1"/>
  <c r="P946" i="4" a="1"/>
  <c r="P946" i="4" s="1"/>
  <c r="P730" i="4" a="1"/>
  <c r="P730" i="4" s="1"/>
  <c r="P698" i="4" a="1"/>
  <c r="P698" i="4" s="1"/>
  <c r="P658" i="4" a="1"/>
  <c r="P658" i="4" s="1"/>
  <c r="P410" i="4" a="1"/>
  <c r="P410" i="4" s="1"/>
  <c r="P748" i="4" a="1"/>
  <c r="P748" i="4" s="1"/>
  <c r="P240" i="4" a="1"/>
  <c r="P240" i="4" s="1"/>
  <c r="P628" i="4" a="1"/>
  <c r="P628" i="4" s="1"/>
  <c r="P498" i="4" a="1"/>
  <c r="P498" i="4" s="1"/>
  <c r="P186" i="4" a="1"/>
  <c r="P186" i="4" s="1"/>
  <c r="P812" i="4" a="1"/>
  <c r="P812" i="4" s="1"/>
  <c r="P8" i="4" a="1"/>
  <c r="P8" i="4" s="1"/>
  <c r="P564" i="4" a="1"/>
  <c r="P564" i="4" s="1"/>
  <c r="P876" i="4" a="1"/>
  <c r="P876" i="4" s="1"/>
  <c r="P810" i="4" a="1"/>
  <c r="P810" i="4" s="1"/>
  <c r="P330" i="4" a="1"/>
  <c r="P330" i="4" s="1"/>
  <c r="P844" i="4" a="1"/>
  <c r="P844" i="4" s="1"/>
  <c r="P780" i="4" a="1"/>
  <c r="P780" i="4" s="1"/>
  <c r="P125" i="4" a="1"/>
  <c r="P125" i="4" s="1"/>
  <c r="P938" i="4" a="1"/>
  <c r="P938" i="4" s="1"/>
  <c r="P362" i="4" a="1"/>
  <c r="P362" i="4" s="1"/>
  <c r="P436" i="4" a="1"/>
  <c r="P436" i="4" s="1"/>
  <c r="P29" i="4" a="1"/>
  <c r="P29" i="4" s="1"/>
  <c r="P192" i="4" a="1"/>
  <c r="P192" i="4" s="1"/>
  <c r="P394" i="4" a="1"/>
  <c r="P394" i="4" s="1"/>
  <c r="P354" i="4" a="1"/>
  <c r="P354" i="4" s="1"/>
  <c r="P884" i="4" a="1"/>
  <c r="P884" i="4" s="1"/>
  <c r="P554" i="4" a="1"/>
  <c r="P554" i="4" s="1"/>
  <c r="P426" i="4" a="1"/>
  <c r="P426" i="4" s="1"/>
  <c r="P202" i="4" a="1"/>
  <c r="P202" i="4" s="1"/>
  <c r="P948" i="4" a="1"/>
  <c r="P948" i="4" s="1"/>
  <c r="P170" i="4" a="1"/>
  <c r="P170" i="4" s="1"/>
  <c r="P650" i="4" a="1"/>
  <c r="P650" i="4" s="1"/>
  <c r="P298" i="4" a="1"/>
  <c r="P298" i="4" s="1"/>
  <c r="P756" i="4" a="1"/>
  <c r="P756" i="4" s="1"/>
  <c r="P778" i="4" a="1"/>
  <c r="P778" i="4" s="1"/>
  <c r="P682" i="4" a="1"/>
  <c r="P682" i="4" s="1"/>
  <c r="P458" i="4" a="1"/>
  <c r="P458" i="4" s="1"/>
  <c r="P234" i="4" a="1"/>
  <c r="P234" i="4" s="1"/>
  <c r="P652" i="4" a="1"/>
  <c r="P652" i="4" s="1"/>
  <c r="Q652" i="4" s="1"/>
  <c r="W652" i="4" s="1"/>
  <c r="P588" i="4" a="1"/>
  <c r="P588" i="4" s="1"/>
  <c r="P524" i="4" a="1"/>
  <c r="P524" i="4" s="1"/>
  <c r="P11" i="4" a="1"/>
  <c r="P11" i="4" s="1"/>
  <c r="P53" i="4" a="1"/>
  <c r="P53" i="4" s="1"/>
  <c r="P862" i="4" a="1"/>
  <c r="P862" i="4" s="1"/>
  <c r="P478" i="4" a="1"/>
  <c r="P478" i="4" s="1"/>
  <c r="P316" i="4" a="1"/>
  <c r="P316" i="4" s="1"/>
  <c r="P20" i="4" a="1"/>
  <c r="P20" i="4" s="1"/>
  <c r="P924" i="4" a="1"/>
  <c r="P924" i="4" s="1"/>
  <c r="P764" i="4" a="1"/>
  <c r="P764" i="4" s="1"/>
  <c r="P476" i="4" a="1"/>
  <c r="P476" i="4" s="1"/>
  <c r="P380" i="4" a="1"/>
  <c r="P380" i="4" s="1"/>
  <c r="P790" i="4" a="1"/>
  <c r="P790" i="4" s="1"/>
  <c r="P534" i="4" a="1"/>
  <c r="P534" i="4" s="1"/>
  <c r="P787" i="4" a="1"/>
  <c r="P787" i="4" s="1"/>
  <c r="P467" i="4" a="1"/>
  <c r="P467" i="4" s="1"/>
  <c r="P211" i="4" a="1"/>
  <c r="P211" i="4" s="1"/>
  <c r="P808" i="4" a="1"/>
  <c r="P808" i="4" s="1"/>
  <c r="P488" i="4" a="1"/>
  <c r="P488" i="4" s="1"/>
  <c r="P869" i="4" a="1"/>
  <c r="P869" i="4" s="1"/>
  <c r="P549" i="4" a="1"/>
  <c r="P549" i="4" s="1"/>
  <c r="P421" i="4" a="1"/>
  <c r="P421" i="4" s="1"/>
  <c r="P229" i="4" a="1"/>
  <c r="P229" i="4" s="1"/>
  <c r="P356" i="4" a="1"/>
  <c r="P356" i="4" s="1"/>
  <c r="P126" i="4" a="1"/>
  <c r="P126" i="4" s="1"/>
  <c r="P96" i="4" a="1"/>
  <c r="P96" i="4" s="1"/>
  <c r="P654" i="4" a="1"/>
  <c r="P654" i="4" s="1"/>
  <c r="P779" i="4" a="1"/>
  <c r="P779" i="4" s="1"/>
  <c r="P331" i="4" a="1"/>
  <c r="P331" i="4" s="1"/>
  <c r="P800" i="4" a="1"/>
  <c r="P800" i="4" s="1"/>
  <c r="P480" i="4" a="1"/>
  <c r="P480" i="4" s="1"/>
  <c r="P733" i="4" a="1"/>
  <c r="P733" i="4" s="1"/>
  <c r="P477" i="4" a="1"/>
  <c r="P477" i="4" s="1"/>
  <c r="P221" i="4" a="1"/>
  <c r="P221" i="4" s="1"/>
  <c r="P794" i="4" a="1"/>
  <c r="P794" i="4" s="1"/>
  <c r="P18" i="4" a="1"/>
  <c r="P18" i="4" s="1"/>
  <c r="P759" i="4" a="1"/>
  <c r="P759" i="4" s="1"/>
  <c r="P631" i="4" a="1"/>
  <c r="P631" i="4" s="1"/>
  <c r="P567" i="4" a="1"/>
  <c r="P567" i="4" s="1"/>
  <c r="P636" i="4" a="1"/>
  <c r="P636" i="4" s="1"/>
  <c r="P348" i="4" a="1"/>
  <c r="P348" i="4" s="1"/>
  <c r="P268" i="4" a="1"/>
  <c r="P268" i="4" s="1"/>
  <c r="P180" i="4" a="1"/>
  <c r="P180" i="4" s="1"/>
  <c r="P92" i="4" a="1"/>
  <c r="P92" i="4" s="1"/>
  <c r="P52" i="4" a="1"/>
  <c r="P52" i="4" s="1"/>
  <c r="P12" i="4" a="1"/>
  <c r="P12" i="4" s="1"/>
  <c r="P278" i="4" a="1"/>
  <c r="P278" i="4" s="1"/>
  <c r="P838" i="4" a="1"/>
  <c r="P838" i="4" s="1"/>
  <c r="P710" i="4" a="1"/>
  <c r="P710" i="4" s="1"/>
  <c r="P582" i="4" a="1"/>
  <c r="P582" i="4" s="1"/>
  <c r="P454" i="4" a="1"/>
  <c r="P454" i="4" s="1"/>
  <c r="P899" i="4" a="1"/>
  <c r="P899" i="4" s="1"/>
  <c r="P771" i="4" a="1"/>
  <c r="P771" i="4" s="1"/>
  <c r="P643" i="4" a="1"/>
  <c r="P643" i="4" s="1"/>
  <c r="P515" i="4" a="1"/>
  <c r="P515" i="4" s="1"/>
  <c r="P387" i="4" a="1"/>
  <c r="P387" i="4" s="1"/>
  <c r="P259" i="4" a="1"/>
  <c r="P259" i="4" s="1"/>
  <c r="P920" i="4" a="1"/>
  <c r="P920" i="4" s="1"/>
  <c r="P792" i="4" a="1"/>
  <c r="P792" i="4" s="1"/>
  <c r="P664" i="4" a="1"/>
  <c r="P664" i="4" s="1"/>
  <c r="P536" i="4" a="1"/>
  <c r="P536" i="4" s="1"/>
  <c r="P408" i="4" a="1"/>
  <c r="P408" i="4" s="1"/>
  <c r="P853" i="4" a="1"/>
  <c r="P853" i="4" s="1"/>
  <c r="P725" i="4" a="1"/>
  <c r="P725" i="4" s="1"/>
  <c r="P597" i="4" a="1"/>
  <c r="P597" i="4" s="1"/>
  <c r="P533" i="4" a="1"/>
  <c r="P533" i="4" s="1"/>
  <c r="P469" i="4" a="1"/>
  <c r="P469" i="4" s="1"/>
  <c r="P405" i="4" a="1"/>
  <c r="P405" i="4" s="1"/>
  <c r="P341" i="4" a="1"/>
  <c r="P341" i="4" s="1"/>
  <c r="P277" i="4" a="1"/>
  <c r="P277" i="4" s="1"/>
  <c r="P213" i="4" a="1"/>
  <c r="P213" i="4" s="1"/>
  <c r="P666" i="4" a="1"/>
  <c r="P666" i="4" s="1"/>
  <c r="P210" i="4" a="1"/>
  <c r="P210" i="4" s="1"/>
  <c r="P182" i="4" a="1"/>
  <c r="P182" i="4" s="1"/>
  <c r="P246" i="4" a="1"/>
  <c r="P246" i="4" s="1"/>
  <c r="P78" i="4" a="1"/>
  <c r="P78" i="4" s="1"/>
  <c r="P586" i="4" a="1"/>
  <c r="P586" i="4" s="1"/>
  <c r="P945" i="4" a="1"/>
  <c r="P945" i="4" s="1"/>
  <c r="P913" i="4" a="1"/>
  <c r="P913" i="4" s="1"/>
  <c r="P881" i="4" a="1"/>
  <c r="P881" i="4" s="1"/>
  <c r="P849" i="4" a="1"/>
  <c r="P849" i="4" s="1"/>
  <c r="P817" i="4" a="1"/>
  <c r="P817" i="4" s="1"/>
  <c r="P785" i="4" a="1"/>
  <c r="P785" i="4" s="1"/>
  <c r="P753" i="4" a="1"/>
  <c r="P753" i="4" s="1"/>
  <c r="P721" i="4" a="1"/>
  <c r="P721" i="4" s="1"/>
  <c r="P689" i="4" a="1"/>
  <c r="P689" i="4" s="1"/>
  <c r="P657" i="4" a="1"/>
  <c r="P657" i="4" s="1"/>
  <c r="P254" i="4" a="1"/>
  <c r="P254" i="4" s="1"/>
  <c r="P117" i="4" a="1"/>
  <c r="P117" i="4" s="1"/>
  <c r="P926" i="4" a="1"/>
  <c r="P926" i="4" s="1"/>
  <c r="P542" i="4" a="1"/>
  <c r="P542" i="4" s="1"/>
  <c r="P158" i="4" a="1"/>
  <c r="P158" i="4" s="1"/>
  <c r="P364" i="4" a="1"/>
  <c r="P364" i="4" s="1"/>
  <c r="P148" i="4" a="1"/>
  <c r="P148" i="4" s="1"/>
  <c r="P892" i="4" a="1"/>
  <c r="P892" i="4" s="1"/>
  <c r="P540" i="4" a="1"/>
  <c r="P540" i="4" s="1"/>
  <c r="P918" i="4" a="1"/>
  <c r="P918" i="4" s="1"/>
  <c r="P598" i="4" a="1"/>
  <c r="P598" i="4" s="1"/>
  <c r="P851" i="4" a="1"/>
  <c r="P851" i="4" s="1"/>
  <c r="P531" i="4" a="1"/>
  <c r="P531" i="4" s="1"/>
  <c r="P275" i="4" a="1"/>
  <c r="P275" i="4" s="1"/>
  <c r="P872" i="4" a="1"/>
  <c r="P872" i="4" s="1"/>
  <c r="P552" i="4" a="1"/>
  <c r="P552" i="4" s="1"/>
  <c r="P933" i="4" a="1"/>
  <c r="P933" i="4" s="1"/>
  <c r="P613" i="4" a="1"/>
  <c r="P613" i="4" s="1"/>
  <c r="P293" i="4" a="1"/>
  <c r="P293" i="4" s="1"/>
  <c r="P286" i="4" a="1"/>
  <c r="P286" i="4" s="1"/>
  <c r="P828" i="4" a="1"/>
  <c r="P828" i="4" s="1"/>
  <c r="P228" i="4" a="1"/>
  <c r="P228" i="4" s="1"/>
  <c r="P100" i="4" a="1"/>
  <c r="P100" i="4" s="1"/>
  <c r="P526" i="4" a="1"/>
  <c r="P526" i="4" s="1"/>
  <c r="P651" i="4" a="1"/>
  <c r="P651" i="4" s="1"/>
  <c r="P267" i="4" a="1"/>
  <c r="P267" i="4" s="1"/>
  <c r="P736" i="4" a="1"/>
  <c r="P736" i="4" s="1"/>
  <c r="P416" i="4" a="1"/>
  <c r="P416" i="4" s="1"/>
  <c r="P669" i="4" a="1"/>
  <c r="P669" i="4" s="1"/>
  <c r="P413" i="4" a="1"/>
  <c r="P413" i="4" s="1"/>
  <c r="P146" i="4" a="1"/>
  <c r="P146" i="4" s="1"/>
  <c r="P14" i="4" a="1"/>
  <c r="P14" i="4" s="1"/>
  <c r="P887" i="4" a="1"/>
  <c r="P887" i="4" s="1"/>
  <c r="P402" i="4" a="1"/>
  <c r="P402" i="4" s="1"/>
  <c r="P338" i="4" a="1"/>
  <c r="P338" i="4" s="1"/>
  <c r="P178" i="4" a="1"/>
  <c r="P178" i="4" s="1"/>
  <c r="P732" i="4" a="1"/>
  <c r="P732" i="4" s="1"/>
  <c r="P308" i="4" a="1"/>
  <c r="P308" i="4" s="1"/>
  <c r="P220" i="4" a="1"/>
  <c r="P220" i="4" s="1"/>
  <c r="P140" i="4" a="1"/>
  <c r="P140" i="4" s="1"/>
  <c r="P102" i="4" a="1"/>
  <c r="P102" i="4" s="1"/>
  <c r="P902" i="4" a="1"/>
  <c r="P902" i="4" s="1"/>
  <c r="P774" i="4" a="1"/>
  <c r="P774" i="4" s="1"/>
  <c r="P646" i="4" a="1"/>
  <c r="P646" i="4" s="1"/>
  <c r="P518" i="4" a="1"/>
  <c r="P518" i="4" s="1"/>
  <c r="P390" i="4" a="1"/>
  <c r="P390" i="4" s="1"/>
  <c r="P835" i="4" a="1"/>
  <c r="P835" i="4" s="1"/>
  <c r="P707" i="4" a="1"/>
  <c r="P707" i="4" s="1"/>
  <c r="P579" i="4" a="1"/>
  <c r="P579" i="4" s="1"/>
  <c r="P451" i="4" a="1"/>
  <c r="P451" i="4" s="1"/>
  <c r="P323" i="4" a="1"/>
  <c r="P323" i="4" s="1"/>
  <c r="P195" i="4" a="1"/>
  <c r="P195" i="4" s="1"/>
  <c r="P856" i="4" a="1"/>
  <c r="P856" i="4" s="1"/>
  <c r="P728" i="4" a="1"/>
  <c r="P728" i="4" s="1"/>
  <c r="P600" i="4" a="1"/>
  <c r="P600" i="4" s="1"/>
  <c r="P472" i="4" a="1"/>
  <c r="P472" i="4" s="1"/>
  <c r="P917" i="4" a="1"/>
  <c r="P917" i="4" s="1"/>
  <c r="P789" i="4" a="1"/>
  <c r="P789" i="4" s="1"/>
  <c r="P661" i="4" a="1"/>
  <c r="P661" i="4" s="1"/>
  <c r="P894" i="4" a="1"/>
  <c r="P894" i="4" s="1"/>
  <c r="P830" i="4" a="1"/>
  <c r="P830" i="4" s="1"/>
  <c r="P766" i="4" a="1"/>
  <c r="P766" i="4" s="1"/>
  <c r="P702" i="4" a="1"/>
  <c r="P702" i="4" s="1"/>
  <c r="P638" i="4" a="1"/>
  <c r="P638" i="4" s="1"/>
  <c r="P574" i="4" a="1"/>
  <c r="P574" i="4" s="1"/>
  <c r="P510" i="4" a="1"/>
  <c r="P510" i="4" s="1"/>
  <c r="P446" i="4" a="1"/>
  <c r="P446" i="4" s="1"/>
  <c r="P382" i="4" a="1"/>
  <c r="P382" i="4" s="1"/>
  <c r="P891" i="4" a="1"/>
  <c r="P891" i="4" s="1"/>
  <c r="P827" i="4" a="1"/>
  <c r="P827" i="4" s="1"/>
  <c r="P763" i="4" a="1"/>
  <c r="P763" i="4" s="1"/>
  <c r="P699" i="4" a="1"/>
  <c r="P699" i="4" s="1"/>
  <c r="P635" i="4" a="1"/>
  <c r="P635" i="4" s="1"/>
  <c r="P571" i="4" a="1"/>
  <c r="P571" i="4" s="1"/>
  <c r="P507" i="4" a="1"/>
  <c r="P507" i="4" s="1"/>
  <c r="P443" i="4" a="1"/>
  <c r="P443" i="4" s="1"/>
  <c r="P379" i="4" a="1"/>
  <c r="P379" i="4" s="1"/>
  <c r="P315" i="4" a="1"/>
  <c r="P315" i="4" s="1"/>
  <c r="P251" i="4" a="1"/>
  <c r="P251" i="4" s="1"/>
  <c r="P187" i="4" a="1"/>
  <c r="P187" i="4" s="1"/>
  <c r="P912" i="4" a="1"/>
  <c r="P912" i="4" s="1"/>
  <c r="P848" i="4" a="1"/>
  <c r="P848" i="4" s="1"/>
  <c r="P784" i="4" a="1"/>
  <c r="P784" i="4" s="1"/>
  <c r="P720" i="4" a="1"/>
  <c r="P720" i="4" s="1"/>
  <c r="P656" i="4" a="1"/>
  <c r="P656" i="4" s="1"/>
  <c r="P592" i="4" a="1"/>
  <c r="P592" i="4" s="1"/>
  <c r="P528" i="4" a="1"/>
  <c r="P528" i="4" s="1"/>
  <c r="P464" i="4" a="1"/>
  <c r="P464" i="4" s="1"/>
  <c r="P400" i="4" a="1"/>
  <c r="P400" i="4" s="1"/>
  <c r="P909" i="4" a="1"/>
  <c r="P909" i="4" s="1"/>
  <c r="P845" i="4" a="1"/>
  <c r="P845" i="4" s="1"/>
  <c r="P781" i="4" a="1"/>
  <c r="P781" i="4" s="1"/>
  <c r="P717" i="4" a="1"/>
  <c r="P717" i="4" s="1"/>
  <c r="P653" i="4" a="1"/>
  <c r="P653" i="4" s="1"/>
  <c r="P589" i="4" a="1"/>
  <c r="P589" i="4" s="1"/>
  <c r="P525" i="4" a="1"/>
  <c r="P525" i="4" s="1"/>
  <c r="P461" i="4" a="1"/>
  <c r="P461" i="4" s="1"/>
  <c r="P397" i="4" a="1"/>
  <c r="P397" i="4" s="1"/>
  <c r="P333" i="4" a="1"/>
  <c r="P333" i="4" s="1"/>
  <c r="P269" i="4" a="1"/>
  <c r="P269" i="4" s="1"/>
  <c r="P205" i="4" a="1"/>
  <c r="P205" i="4" s="1"/>
  <c r="P538" i="4" a="1"/>
  <c r="P538" i="4" s="1"/>
  <c r="P386" i="4" a="1"/>
  <c r="P386" i="4" s="1"/>
  <c r="P290" i="4" a="1"/>
  <c r="P290" i="4" s="1"/>
  <c r="P242" i="4" a="1"/>
  <c r="P242" i="4" s="1"/>
  <c r="P366" i="4" a="1"/>
  <c r="P366" i="4" s="1"/>
  <c r="P222" i="4" a="1"/>
  <c r="P222" i="4" s="1"/>
  <c r="P70" i="4" a="1"/>
  <c r="P70" i="4" s="1"/>
  <c r="P62" i="4" a="1"/>
  <c r="P62" i="4" s="1"/>
  <c r="P136" i="4" a="1"/>
  <c r="P136" i="4" s="1"/>
  <c r="P734" i="4" a="1"/>
  <c r="P734" i="4" s="1"/>
  <c r="P236" i="4" a="1"/>
  <c r="P236" i="4" s="1"/>
  <c r="P662" i="4" a="1"/>
  <c r="P662" i="4" s="1"/>
  <c r="P915" i="4" a="1"/>
  <c r="P915" i="4" s="1"/>
  <c r="P595" i="4" a="1"/>
  <c r="P595" i="4" s="1"/>
  <c r="P936" i="4" a="1"/>
  <c r="P936" i="4" s="1"/>
  <c r="P616" i="4" a="1"/>
  <c r="P616" i="4" s="1"/>
  <c r="P805" i="4" a="1"/>
  <c r="P805" i="4" s="1"/>
  <c r="P782" i="4" a="1"/>
  <c r="P782" i="4" s="1"/>
  <c r="P907" i="4" a="1"/>
  <c r="P907" i="4" s="1"/>
  <c r="P459" i="4" a="1"/>
  <c r="P459" i="4" s="1"/>
  <c r="P864" i="4" a="1"/>
  <c r="P864" i="4" s="1"/>
  <c r="P544" i="4" a="1"/>
  <c r="P544" i="4" s="1"/>
  <c r="P797" i="4" a="1"/>
  <c r="P797" i="4" s="1"/>
  <c r="P541" i="4" a="1"/>
  <c r="P541" i="4" s="1"/>
  <c r="P66" i="4" a="1"/>
  <c r="P66" i="4" s="1"/>
  <c r="P695" i="4" a="1"/>
  <c r="P695" i="4" s="1"/>
  <c r="P886" i="4" a="1"/>
  <c r="P886" i="4" s="1"/>
  <c r="P758" i="4" a="1"/>
  <c r="P758" i="4" s="1"/>
  <c r="P630" i="4" a="1"/>
  <c r="P630" i="4" s="1"/>
  <c r="P502" i="4" a="1"/>
  <c r="P502" i="4" s="1"/>
  <c r="P947" i="4" a="1"/>
  <c r="P947" i="4" s="1"/>
  <c r="P819" i="4" a="1"/>
  <c r="P819" i="4" s="1"/>
  <c r="P691" i="4" a="1"/>
  <c r="P691" i="4" s="1"/>
  <c r="P563" i="4" a="1"/>
  <c r="P563" i="4" s="1"/>
  <c r="P435" i="4" a="1"/>
  <c r="P435" i="4" s="1"/>
  <c r="P307" i="4" a="1"/>
  <c r="P307" i="4" s="1"/>
  <c r="P179" i="4" a="1"/>
  <c r="P179" i="4" s="1"/>
  <c r="P840" i="4" a="1"/>
  <c r="P840" i="4" s="1"/>
  <c r="P712" i="4" a="1"/>
  <c r="P712" i="4" s="1"/>
  <c r="P584" i="4" a="1"/>
  <c r="P584" i="4" s="1"/>
  <c r="P456" i="4" a="1"/>
  <c r="P456" i="4" s="1"/>
  <c r="P412" i="4" a="1"/>
  <c r="P412" i="4" s="1"/>
  <c r="P927" i="4" a="1"/>
  <c r="P927" i="4" s="1"/>
  <c r="P863" i="4" a="1"/>
  <c r="P863" i="4" s="1"/>
  <c r="P799" i="4" a="1"/>
  <c r="P799" i="4" s="1"/>
  <c r="P735" i="4" a="1"/>
  <c r="P735" i="4" s="1"/>
  <c r="P671" i="4" a="1"/>
  <c r="P671" i="4" s="1"/>
  <c r="P607" i="4" a="1"/>
  <c r="P607" i="4" s="1"/>
  <c r="P543" i="4" a="1"/>
  <c r="P543" i="4" s="1"/>
  <c r="P487" i="4" a="1"/>
  <c r="P487" i="4" s="1"/>
  <c r="P455" i="4" a="1"/>
  <c r="P455" i="4" s="1"/>
  <c r="P423" i="4" a="1"/>
  <c r="P423" i="4" s="1"/>
  <c r="P391" i="4" a="1"/>
  <c r="P391" i="4" s="1"/>
  <c r="P359" i="4" a="1"/>
  <c r="P359" i="4" s="1"/>
  <c r="P327" i="4" a="1"/>
  <c r="P327" i="4" s="1"/>
  <c r="P295" i="4" a="1"/>
  <c r="P295" i="4" s="1"/>
  <c r="P263" i="4" a="1"/>
  <c r="P263" i="4" s="1"/>
  <c r="P231" i="4" a="1"/>
  <c r="P231" i="4" s="1"/>
  <c r="P199" i="4" a="1"/>
  <c r="P199" i="4" s="1"/>
  <c r="P167" i="4" a="1"/>
  <c r="P167" i="4" s="1"/>
  <c r="P135" i="4" a="1"/>
  <c r="P135" i="4" s="1"/>
  <c r="P103" i="4" a="1"/>
  <c r="P103" i="4" s="1"/>
  <c r="P71" i="4" a="1"/>
  <c r="P71" i="4" s="1"/>
  <c r="P39" i="4" a="1"/>
  <c r="P39" i="4" s="1"/>
  <c r="P7" i="4" a="1"/>
  <c r="P7" i="4" s="1"/>
  <c r="P668" i="4" a="1"/>
  <c r="P668" i="4" s="1"/>
  <c r="P292" i="4" a="1"/>
  <c r="P292" i="4" s="1"/>
  <c r="P164" i="4" a="1"/>
  <c r="P164" i="4" s="1"/>
  <c r="P36" i="4" a="1"/>
  <c r="P36" i="4" s="1"/>
  <c r="P61" i="4" a="1"/>
  <c r="P61" i="4" s="1"/>
  <c r="P72" i="4" a="1"/>
  <c r="P72" i="4" s="1"/>
  <c r="P798" i="4" a="1"/>
  <c r="P798" i="4" s="1"/>
  <c r="P670" i="4" a="1"/>
  <c r="P670" i="4" s="1"/>
  <c r="P414" i="4" a="1"/>
  <c r="P414" i="4" s="1"/>
  <c r="P276" i="4" a="1"/>
  <c r="P276" i="4" s="1"/>
  <c r="P188" i="4" a="1"/>
  <c r="P188" i="4" s="1"/>
  <c r="P60" i="4" a="1"/>
  <c r="P60" i="4" s="1"/>
  <c r="P796" i="4" a="1"/>
  <c r="P796" i="4" s="1"/>
  <c r="P700" i="4" a="1"/>
  <c r="P700" i="4" s="1"/>
  <c r="P572" i="4" a="1"/>
  <c r="P572" i="4" s="1"/>
  <c r="P444" i="4" a="1"/>
  <c r="P444" i="4" s="1"/>
  <c r="P854" i="4" a="1"/>
  <c r="P854" i="4" s="1"/>
  <c r="P470" i="4" a="1"/>
  <c r="P470" i="4" s="1"/>
  <c r="P723" i="4" a="1"/>
  <c r="P723" i="4" s="1"/>
  <c r="P403" i="4" a="1"/>
  <c r="P403" i="4" s="1"/>
  <c r="P680" i="4" a="1"/>
  <c r="P680" i="4" s="1"/>
  <c r="P741" i="4" a="1"/>
  <c r="P741" i="4" s="1"/>
  <c r="P302" i="4" a="1"/>
  <c r="P302" i="4" s="1"/>
  <c r="P846" i="4" a="1"/>
  <c r="P846" i="4" s="1"/>
  <c r="P718" i="4" a="1"/>
  <c r="P718" i="4" s="1"/>
  <c r="P590" i="4" a="1"/>
  <c r="P590" i="4" s="1"/>
  <c r="P462" i="4" a="1"/>
  <c r="P462" i="4" s="1"/>
  <c r="P843" i="4" a="1"/>
  <c r="P843" i="4" s="1"/>
  <c r="P715" i="4" a="1"/>
  <c r="P715" i="4" s="1"/>
  <c r="P587" i="4" a="1"/>
  <c r="P587" i="4" s="1"/>
  <c r="P395" i="4" a="1"/>
  <c r="P395" i="4" s="1"/>
  <c r="P203" i="4" a="1"/>
  <c r="P203" i="4" s="1"/>
  <c r="P672" i="4" a="1"/>
  <c r="P672" i="4" s="1"/>
  <c r="P925" i="4" a="1"/>
  <c r="P925" i="4" s="1"/>
  <c r="P349" i="4" a="1"/>
  <c r="P349" i="4" s="1"/>
  <c r="P45" i="4" a="1"/>
  <c r="P45" i="4" s="1"/>
  <c r="P942" i="4" a="1"/>
  <c r="P942" i="4" s="1"/>
  <c r="P878" i="4" a="1"/>
  <c r="P878" i="4" s="1"/>
  <c r="P814" i="4" a="1"/>
  <c r="P814" i="4" s="1"/>
  <c r="P750" i="4" a="1"/>
  <c r="P750" i="4" s="1"/>
  <c r="P686" i="4" a="1"/>
  <c r="P686" i="4" s="1"/>
  <c r="P622" i="4" a="1"/>
  <c r="P622" i="4" s="1"/>
  <c r="P558" i="4" a="1"/>
  <c r="P558" i="4" s="1"/>
  <c r="P494" i="4" a="1"/>
  <c r="P494" i="4" s="1"/>
  <c r="P430" i="4" a="1"/>
  <c r="P430" i="4" s="1"/>
  <c r="P939" i="4" a="1"/>
  <c r="P939" i="4" s="1"/>
  <c r="P875" i="4" a="1"/>
  <c r="P875" i="4" s="1"/>
  <c r="P811" i="4" a="1"/>
  <c r="P811" i="4" s="1"/>
  <c r="P747" i="4" a="1"/>
  <c r="P747" i="4" s="1"/>
  <c r="P683" i="4" a="1"/>
  <c r="P683" i="4" s="1"/>
  <c r="P619" i="4" a="1"/>
  <c r="P619" i="4" s="1"/>
  <c r="P555" i="4" a="1"/>
  <c r="P555" i="4" s="1"/>
  <c r="P491" i="4" a="1"/>
  <c r="P491" i="4" s="1"/>
  <c r="P427" i="4" a="1"/>
  <c r="P427" i="4" s="1"/>
  <c r="Q428" i="4" s="1"/>
  <c r="W428" i="4" s="1"/>
  <c r="P363" i="4" a="1"/>
  <c r="P363" i="4" s="1"/>
  <c r="P299" i="4" a="1"/>
  <c r="P299" i="4" s="1"/>
  <c r="P235" i="4" a="1"/>
  <c r="P235" i="4" s="1"/>
  <c r="P171" i="4" a="1"/>
  <c r="P171" i="4" s="1"/>
  <c r="P896" i="4" a="1"/>
  <c r="P896" i="4" s="1"/>
  <c r="P832" i="4" a="1"/>
  <c r="P832" i="4" s="1"/>
  <c r="P768" i="4" a="1"/>
  <c r="P768" i="4" s="1"/>
  <c r="P704" i="4" a="1"/>
  <c r="P704" i="4" s="1"/>
  <c r="P640" i="4" a="1"/>
  <c r="P640" i="4" s="1"/>
  <c r="P576" i="4" a="1"/>
  <c r="P576" i="4" s="1"/>
  <c r="P512" i="4" a="1"/>
  <c r="P512" i="4" s="1"/>
  <c r="P448" i="4" a="1"/>
  <c r="P448" i="4" s="1"/>
  <c r="P384" i="4" a="1"/>
  <c r="P384" i="4" s="1"/>
  <c r="P893" i="4" a="1"/>
  <c r="P893" i="4" s="1"/>
  <c r="P829" i="4" a="1"/>
  <c r="P829" i="4" s="1"/>
  <c r="P765" i="4" a="1"/>
  <c r="P765" i="4" s="1"/>
  <c r="P701" i="4" a="1"/>
  <c r="P701" i="4" s="1"/>
  <c r="P637" i="4" a="1"/>
  <c r="P637" i="4" s="1"/>
  <c r="P573" i="4" a="1"/>
  <c r="P573" i="4" s="1"/>
  <c r="P509" i="4" a="1"/>
  <c r="P509" i="4" s="1"/>
  <c r="P445" i="4" a="1"/>
  <c r="P445" i="4" s="1"/>
  <c r="P381" i="4" a="1"/>
  <c r="P381" i="4" s="1"/>
  <c r="P317" i="4" a="1"/>
  <c r="P317" i="4" s="1"/>
  <c r="P253" i="4" a="1"/>
  <c r="P253" i="4" s="1"/>
  <c r="P189" i="4" a="1"/>
  <c r="P189" i="4" s="1"/>
  <c r="P130" i="4" a="1"/>
  <c r="P130" i="4" s="1"/>
  <c r="P82" i="4" a="1"/>
  <c r="P82" i="4" s="1"/>
  <c r="P42" i="4" a="1"/>
  <c r="P42" i="4" s="1"/>
  <c r="P919" i="4" a="1"/>
  <c r="P919" i="4" s="1"/>
  <c r="P855" i="4" a="1"/>
  <c r="P855" i="4" s="1"/>
  <c r="P791" i="4" a="1"/>
  <c r="P791" i="4" s="1"/>
  <c r="P727" i="4" a="1"/>
  <c r="P727" i="4" s="1"/>
  <c r="P663" i="4" a="1"/>
  <c r="P663" i="4" s="1"/>
  <c r="P599" i="4" a="1"/>
  <c r="P599" i="4" s="1"/>
  <c r="Q599" i="4" s="1"/>
  <c r="W599" i="4" s="1"/>
  <c r="P535" i="4" a="1"/>
  <c r="P535" i="4" s="1"/>
  <c r="P482" i="4" a="1"/>
  <c r="P482" i="4" s="1"/>
  <c r="P450" i="4" a="1"/>
  <c r="P450" i="4" s="1"/>
  <c r="P322" i="4" a="1"/>
  <c r="P322" i="4" s="1"/>
  <c r="P226" i="4" a="1"/>
  <c r="P226" i="4" s="1"/>
  <c r="P506" i="4" a="1"/>
  <c r="P506" i="4" s="1"/>
  <c r="P932" i="4" a="1"/>
  <c r="P932" i="4" s="1"/>
  <c r="P836" i="4" a="1"/>
  <c r="P836" i="4" s="1"/>
  <c r="P740" i="4" a="1"/>
  <c r="P740" i="4" s="1"/>
  <c r="P644" i="4" a="1"/>
  <c r="P644" i="4" s="1"/>
  <c r="P612" i="4" a="1"/>
  <c r="P612" i="4" s="1"/>
  <c r="P548" i="4" a="1"/>
  <c r="P548" i="4" s="1"/>
  <c r="P516" i="4" a="1"/>
  <c r="P516" i="4" s="1"/>
  <c r="P420" i="4" a="1"/>
  <c r="P420" i="4" s="1"/>
  <c r="P388" i="4" a="1"/>
  <c r="P388" i="4" s="1"/>
  <c r="P21" i="4" a="1"/>
  <c r="P21" i="4" s="1"/>
  <c r="P606" i="4" a="1"/>
  <c r="P606" i="4" s="1"/>
  <c r="P108" i="4" a="1"/>
  <c r="P108" i="4" s="1"/>
  <c r="P508" i="4" a="1"/>
  <c r="P508" i="4" s="1"/>
  <c r="P726" i="4" a="1"/>
  <c r="P726" i="4" s="1"/>
  <c r="P406" i="4" a="1"/>
  <c r="P406" i="4" s="1"/>
  <c r="P659" i="4" a="1"/>
  <c r="P659" i="4" s="1"/>
  <c r="P339" i="4" a="1"/>
  <c r="P339" i="4" s="1"/>
  <c r="P744" i="4" a="1"/>
  <c r="P744" i="4" s="1"/>
  <c r="P424" i="4" a="1"/>
  <c r="P424" i="4" s="1"/>
  <c r="P677" i="4" a="1"/>
  <c r="P677" i="4" s="1"/>
  <c r="P485" i="4" a="1"/>
  <c r="P485" i="4" s="1"/>
  <c r="P357" i="4" a="1"/>
  <c r="P357" i="4" s="1"/>
  <c r="P165" i="4" a="1"/>
  <c r="P165" i="4" s="1"/>
  <c r="P230" i="4" a="1"/>
  <c r="P230" i="4" s="1"/>
  <c r="P134" i="4" a="1"/>
  <c r="P134" i="4" s="1"/>
  <c r="P910" i="4" a="1"/>
  <c r="P910" i="4" s="1"/>
  <c r="P398" i="4" a="1"/>
  <c r="P398" i="4" s="1"/>
  <c r="P523" i="4" a="1"/>
  <c r="P523" i="4" s="1"/>
  <c r="P928" i="4" a="1"/>
  <c r="P928" i="4" s="1"/>
  <c r="P608" i="4" a="1"/>
  <c r="P608" i="4" s="1"/>
  <c r="P861" i="4" a="1"/>
  <c r="P861" i="4" s="1"/>
  <c r="P605" i="4" a="1"/>
  <c r="P605" i="4" s="1"/>
  <c r="P285" i="4" a="1"/>
  <c r="P285" i="4" s="1"/>
  <c r="P106" i="4" a="1"/>
  <c r="P106" i="4" s="1"/>
  <c r="P823" i="4" a="1"/>
  <c r="P823" i="4" s="1"/>
  <c r="P503" i="4" a="1"/>
  <c r="P503" i="4" s="1"/>
  <c r="P274" i="4" a="1"/>
  <c r="P274" i="4" s="1"/>
  <c r="P950" i="4" a="1"/>
  <c r="P950" i="4" s="1"/>
  <c r="P822" i="4" a="1"/>
  <c r="P822" i="4" s="1"/>
  <c r="P694" i="4" a="1"/>
  <c r="P694" i="4" s="1"/>
  <c r="P566" i="4" a="1"/>
  <c r="P566" i="4" s="1"/>
  <c r="P438" i="4" a="1"/>
  <c r="P438" i="4" s="1"/>
  <c r="P883" i="4" a="1"/>
  <c r="P883" i="4" s="1"/>
  <c r="P755" i="4" a="1"/>
  <c r="P755" i="4" s="1"/>
  <c r="P627" i="4" a="1"/>
  <c r="P627" i="4" s="1"/>
  <c r="P499" i="4" a="1"/>
  <c r="P499" i="4" s="1"/>
  <c r="P371" i="4" a="1"/>
  <c r="P371" i="4" s="1"/>
  <c r="P243" i="4" a="1"/>
  <c r="P243" i="4" s="1"/>
  <c r="P904" i="4" a="1"/>
  <c r="P904" i="4" s="1"/>
  <c r="P776" i="4" a="1"/>
  <c r="P776" i="4" s="1"/>
  <c r="P648" i="4" a="1"/>
  <c r="P648" i="4" s="1"/>
  <c r="P520" i="4" a="1"/>
  <c r="P520" i="4" s="1"/>
  <c r="P392" i="4" a="1"/>
  <c r="P392" i="4" s="1"/>
  <c r="P90" i="4" a="1"/>
  <c r="P90" i="4" s="1"/>
  <c r="P934" i="4" a="1"/>
  <c r="P934" i="4" s="1"/>
  <c r="P870" i="4" a="1"/>
  <c r="P870" i="4" s="1"/>
  <c r="P806" i="4" a="1"/>
  <c r="P806" i="4" s="1"/>
  <c r="P742" i="4" a="1"/>
  <c r="P742" i="4" s="1"/>
  <c r="P678" i="4" a="1"/>
  <c r="P678" i="4" s="1"/>
  <c r="P614" i="4" a="1"/>
  <c r="P614" i="4" s="1"/>
  <c r="P550" i="4" a="1"/>
  <c r="P550" i="4" s="1"/>
  <c r="P486" i="4" a="1"/>
  <c r="P486" i="4" s="1"/>
  <c r="P422" i="4" a="1"/>
  <c r="P422" i="4" s="1"/>
  <c r="P931" i="4" a="1"/>
  <c r="P931" i="4" s="1"/>
  <c r="P867" i="4" a="1"/>
  <c r="P867" i="4" s="1"/>
  <c r="P803" i="4" a="1"/>
  <c r="P803" i="4" s="1"/>
  <c r="P739" i="4" a="1"/>
  <c r="P739" i="4" s="1"/>
  <c r="P675" i="4" a="1"/>
  <c r="P675" i="4" s="1"/>
  <c r="P611" i="4" a="1"/>
  <c r="P611" i="4" s="1"/>
  <c r="P547" i="4" a="1"/>
  <c r="P547" i="4" s="1"/>
  <c r="P483" i="4" a="1"/>
  <c r="P483" i="4" s="1"/>
  <c r="P419" i="4" a="1"/>
  <c r="P419" i="4" s="1"/>
  <c r="P355" i="4" a="1"/>
  <c r="P355" i="4" s="1"/>
  <c r="P291" i="4" a="1"/>
  <c r="P291" i="4" s="1"/>
  <c r="P227" i="4" a="1"/>
  <c r="P227" i="4" s="1"/>
  <c r="P163" i="4" a="1"/>
  <c r="P163" i="4" s="1"/>
  <c r="P888" i="4" a="1"/>
  <c r="P888" i="4" s="1"/>
  <c r="P824" i="4" a="1"/>
  <c r="P824" i="4" s="1"/>
  <c r="P760" i="4" a="1"/>
  <c r="P760" i="4" s="1"/>
  <c r="P696" i="4" a="1"/>
  <c r="P696" i="4" s="1"/>
  <c r="P632" i="4" a="1"/>
  <c r="P632" i="4" s="1"/>
  <c r="P568" i="4" a="1"/>
  <c r="P568" i="4" s="1"/>
  <c r="P504" i="4" a="1"/>
  <c r="P504" i="4" s="1"/>
  <c r="P440" i="4" a="1"/>
  <c r="P440" i="4" s="1"/>
  <c r="P949" i="4" a="1"/>
  <c r="P949" i="4" s="1"/>
  <c r="P885" i="4" a="1"/>
  <c r="P885" i="4" s="1"/>
  <c r="P821" i="4" a="1"/>
  <c r="P821" i="4" s="1"/>
  <c r="P757" i="4" a="1"/>
  <c r="P757" i="4" s="1"/>
  <c r="P693" i="4" a="1"/>
  <c r="P693" i="4" s="1"/>
  <c r="P629" i="4" a="1"/>
  <c r="P629" i="4" s="1"/>
  <c r="P565" i="4" a="1"/>
  <c r="P565" i="4" s="1"/>
  <c r="P501" i="4" a="1"/>
  <c r="P501" i="4" s="1"/>
  <c r="P437" i="4" a="1"/>
  <c r="P437" i="4" s="1"/>
  <c r="P373" i="4" a="1"/>
  <c r="P373" i="4" s="1"/>
  <c r="P309" i="4" a="1"/>
  <c r="P309" i="4" s="1"/>
  <c r="P245" i="4" a="1"/>
  <c r="P245" i="4" s="1"/>
  <c r="P181" i="4" a="1"/>
  <c r="P181" i="4" s="1"/>
  <c r="Q628" i="4"/>
  <c r="W628" i="4" s="1"/>
  <c r="P922" i="4" a="1"/>
  <c r="P922" i="4" s="1"/>
  <c r="P466" i="4" a="1"/>
  <c r="P466" i="4" s="1"/>
  <c r="P434" i="4" a="1"/>
  <c r="P434" i="4" s="1"/>
  <c r="P306" i="4" a="1"/>
  <c r="P306" i="4" s="1"/>
  <c r="P194" i="4" a="1"/>
  <c r="P194" i="4" s="1"/>
  <c r="P162" i="4" a="1"/>
  <c r="P162" i="4" s="1"/>
  <c r="P122" i="4" a="1"/>
  <c r="P122" i="4" s="1"/>
  <c r="P77" i="4" a="1"/>
  <c r="P77" i="4" s="1"/>
  <c r="P37" i="4" a="1"/>
  <c r="P37" i="4" s="1"/>
  <c r="P911" i="4" a="1"/>
  <c r="P911" i="4" s="1"/>
  <c r="P847" i="4" a="1"/>
  <c r="P847" i="4" s="1"/>
  <c r="P783" i="4" a="1"/>
  <c r="P783" i="4" s="1"/>
  <c r="P719" i="4" a="1"/>
  <c r="P719" i="4" s="1"/>
  <c r="P655" i="4" a="1"/>
  <c r="P655" i="4" s="1"/>
  <c r="P591" i="4" a="1"/>
  <c r="P591" i="4" s="1"/>
  <c r="P527" i="4" a="1"/>
  <c r="P527" i="4" s="1"/>
  <c r="P479" i="4" a="1"/>
  <c r="P479" i="4" s="1"/>
  <c r="P447" i="4" a="1"/>
  <c r="P447" i="4" s="1"/>
  <c r="P415" i="4" a="1"/>
  <c r="P415" i="4" s="1"/>
  <c r="P383" i="4" a="1"/>
  <c r="P383" i="4" s="1"/>
  <c r="P351" i="4" a="1"/>
  <c r="P351" i="4" s="1"/>
  <c r="P319" i="4" a="1"/>
  <c r="P319" i="4" s="1"/>
  <c r="P287" i="4" a="1"/>
  <c r="P287" i="4" s="1"/>
  <c r="P255" i="4" a="1"/>
  <c r="P255" i="4" s="1"/>
  <c r="P223" i="4" a="1"/>
  <c r="P223" i="4" s="1"/>
  <c r="P191" i="4" a="1"/>
  <c r="P191" i="4" s="1"/>
  <c r="P159" i="4" a="1"/>
  <c r="P159" i="4" s="1"/>
  <c r="P127" i="4" a="1"/>
  <c r="P127" i="4" s="1"/>
  <c r="P95" i="4" a="1"/>
  <c r="P95" i="4" s="1"/>
  <c r="P63" i="4" a="1"/>
  <c r="P63" i="4" s="1"/>
  <c r="P31" i="4" a="1"/>
  <c r="P31" i="4" s="1"/>
  <c r="P326" i="4" a="1"/>
  <c r="P326" i="4" s="1"/>
  <c r="P174" i="4" a="1"/>
  <c r="P174" i="4" s="1"/>
  <c r="P22" i="4" a="1"/>
  <c r="P22" i="4" s="1"/>
  <c r="P604" i="4" a="1"/>
  <c r="P604" i="4" s="1"/>
  <c r="P150" i="4" a="1"/>
  <c r="P150" i="4" s="1"/>
  <c r="P522" i="4" a="1"/>
  <c r="P522" i="4" s="1"/>
  <c r="P906" i="4" a="1"/>
  <c r="P906" i="4" s="1"/>
  <c r="P929" i="4" a="1"/>
  <c r="P929" i="4" s="1"/>
  <c r="P897" i="4" a="1"/>
  <c r="P897" i="4" s="1"/>
  <c r="P865" i="4" a="1"/>
  <c r="P865" i="4" s="1"/>
  <c r="P833" i="4" a="1"/>
  <c r="P833" i="4" s="1"/>
  <c r="P801" i="4" a="1"/>
  <c r="P801" i="4" s="1"/>
  <c r="P769" i="4" a="1"/>
  <c r="P769" i="4" s="1"/>
  <c r="P737" i="4" a="1"/>
  <c r="P737" i="4" s="1"/>
  <c r="P705" i="4" a="1"/>
  <c r="P705" i="4" s="1"/>
  <c r="P673" i="4" a="1"/>
  <c r="P673" i="4" s="1"/>
  <c r="P641" i="4" a="1"/>
  <c r="P641" i="4" s="1"/>
  <c r="Q642" i="4" s="1"/>
  <c r="W642" i="4" s="1"/>
  <c r="P609" i="4" a="1"/>
  <c r="P609" i="4" s="1"/>
  <c r="P577" i="4" a="1"/>
  <c r="P577" i="4" s="1"/>
  <c r="P545" i="4" a="1"/>
  <c r="P545" i="4" s="1"/>
  <c r="P513" i="4" a="1"/>
  <c r="P513" i="4" s="1"/>
  <c r="P481" i="4" a="1"/>
  <c r="P481" i="4" s="1"/>
  <c r="P449" i="4" a="1"/>
  <c r="P449" i="4" s="1"/>
  <c r="P417" i="4" a="1"/>
  <c r="P417" i="4" s="1"/>
  <c r="P385" i="4" a="1"/>
  <c r="P385" i="4" s="1"/>
  <c r="P353" i="4" a="1"/>
  <c r="P353" i="4" s="1"/>
  <c r="P321" i="4" a="1"/>
  <c r="P321" i="4" s="1"/>
  <c r="P289" i="4" a="1"/>
  <c r="P289" i="4" s="1"/>
  <c r="P257" i="4" a="1"/>
  <c r="P257" i="4" s="1"/>
  <c r="P225" i="4" a="1"/>
  <c r="P225" i="4" s="1"/>
  <c r="P193" i="4" a="1"/>
  <c r="P193" i="4" s="1"/>
  <c r="P161" i="4" a="1"/>
  <c r="P161" i="4" s="1"/>
  <c r="P129" i="4" a="1"/>
  <c r="P129" i="4" s="1"/>
  <c r="P97" i="4" a="1"/>
  <c r="P97" i="4" s="1"/>
  <c r="P65" i="4" a="1"/>
  <c r="P65" i="4" s="1"/>
  <c r="P33" i="4" a="1"/>
  <c r="P33" i="4" s="1"/>
  <c r="P133" i="4" a="1"/>
  <c r="P133" i="4" s="1"/>
  <c r="P114" i="4" a="1"/>
  <c r="P114" i="4" s="1"/>
  <c r="P74" i="4" a="1"/>
  <c r="P74" i="4" s="1"/>
  <c r="P34" i="4" a="1"/>
  <c r="P34" i="4" s="1"/>
  <c r="P166" i="4" a="1"/>
  <c r="P166" i="4" s="1"/>
  <c r="P903" i="4" a="1"/>
  <c r="P903" i="4" s="1"/>
  <c r="P839" i="4" a="1"/>
  <c r="P839" i="4" s="1"/>
  <c r="P775" i="4" a="1"/>
  <c r="P775" i="4" s="1"/>
  <c r="P711" i="4" a="1"/>
  <c r="P711" i="4" s="1"/>
  <c r="P647" i="4" a="1"/>
  <c r="P647" i="4" s="1"/>
  <c r="P583" i="4" a="1"/>
  <c r="P583" i="4" s="1"/>
  <c r="P519" i="4" a="1"/>
  <c r="P519" i="4" s="1"/>
  <c r="P262" i="4" a="1"/>
  <c r="P262" i="4" s="1"/>
  <c r="Q264" i="4" s="1"/>
  <c r="W264" i="4" s="1"/>
  <c r="P118" i="4" a="1"/>
  <c r="P118" i="4" s="1"/>
  <c r="P260" i="4" a="1"/>
  <c r="P260" i="4" s="1"/>
  <c r="P132" i="4" a="1"/>
  <c r="P132" i="4" s="1"/>
  <c r="P206" i="4" a="1"/>
  <c r="P206" i="4" s="1"/>
  <c r="P30" i="4" a="1"/>
  <c r="P30" i="4" s="1"/>
  <c r="P921" i="4" a="1"/>
  <c r="P921" i="4" s="1"/>
  <c r="P889" i="4" a="1"/>
  <c r="P889" i="4" s="1"/>
  <c r="P857" i="4" a="1"/>
  <c r="P857" i="4" s="1"/>
  <c r="P825" i="4" a="1"/>
  <c r="P825" i="4" s="1"/>
  <c r="P793" i="4" a="1"/>
  <c r="P793" i="4" s="1"/>
  <c r="P761" i="4" a="1"/>
  <c r="P761" i="4" s="1"/>
  <c r="P729" i="4" a="1"/>
  <c r="P729" i="4" s="1"/>
  <c r="P697" i="4" a="1"/>
  <c r="P697" i="4" s="1"/>
  <c r="P665" i="4" a="1"/>
  <c r="P665" i="4" s="1"/>
  <c r="P633" i="4" a="1"/>
  <c r="P633" i="4" s="1"/>
  <c r="P601" i="4" a="1"/>
  <c r="P601" i="4" s="1"/>
  <c r="P569" i="4" a="1"/>
  <c r="P569" i="4" s="1"/>
  <c r="P537" i="4" a="1"/>
  <c r="P537" i="4" s="1"/>
  <c r="P505" i="4" a="1"/>
  <c r="P505" i="4" s="1"/>
  <c r="P473" i="4" a="1"/>
  <c r="P473" i="4" s="1"/>
  <c r="P441" i="4" a="1"/>
  <c r="P441" i="4" s="1"/>
  <c r="P409" i="4" a="1"/>
  <c r="P409" i="4" s="1"/>
  <c r="P377" i="4" a="1"/>
  <c r="P377" i="4" s="1"/>
  <c r="P345" i="4" a="1"/>
  <c r="P345" i="4" s="1"/>
  <c r="P313" i="4" a="1"/>
  <c r="P313" i="4" s="1"/>
  <c r="P281" i="4" a="1"/>
  <c r="P281" i="4" s="1"/>
  <c r="P249" i="4" a="1"/>
  <c r="P249" i="4" s="1"/>
  <c r="P217" i="4" a="1"/>
  <c r="P217" i="4" s="1"/>
  <c r="P185" i="4" a="1"/>
  <c r="P185" i="4" s="1"/>
  <c r="P153" i="4" a="1"/>
  <c r="P153" i="4" s="1"/>
  <c r="P121" i="4" a="1"/>
  <c r="P121" i="4" s="1"/>
  <c r="P89" i="4" a="1"/>
  <c r="P89" i="4" s="1"/>
  <c r="P57" i="4" a="1"/>
  <c r="P57" i="4" s="1"/>
  <c r="P25" i="4" a="1"/>
  <c r="P25" i="4" s="1"/>
  <c r="P374" i="4" a="1"/>
  <c r="P374" i="4" s="1"/>
  <c r="P238" i="4" a="1"/>
  <c r="P238" i="4" s="1"/>
  <c r="P109" i="4" a="1"/>
  <c r="P109" i="4" s="1"/>
  <c r="P69" i="4" a="1"/>
  <c r="P69" i="4" s="1"/>
  <c r="P5" i="4" a="1"/>
  <c r="P5" i="4" s="1"/>
  <c r="P901" i="4" a="1"/>
  <c r="P901" i="4" s="1"/>
  <c r="P837" i="4" a="1"/>
  <c r="P837" i="4" s="1"/>
  <c r="P773" i="4" a="1"/>
  <c r="P773" i="4" s="1"/>
  <c r="P709" i="4" a="1"/>
  <c r="P709" i="4" s="1"/>
  <c r="P645" i="4" a="1"/>
  <c r="P645" i="4" s="1"/>
  <c r="P581" i="4" a="1"/>
  <c r="P581" i="4" s="1"/>
  <c r="P517" i="4" a="1"/>
  <c r="P517" i="4" s="1"/>
  <c r="P453" i="4" a="1"/>
  <c r="P453" i="4" s="1"/>
  <c r="P389" i="4" a="1"/>
  <c r="P389" i="4" s="1"/>
  <c r="P325" i="4" a="1"/>
  <c r="P325" i="4" s="1"/>
  <c r="P261" i="4" a="1"/>
  <c r="P261" i="4" s="1"/>
  <c r="P197" i="4" a="1"/>
  <c r="P197" i="4" s="1"/>
  <c r="P346" i="4" a="1"/>
  <c r="P346" i="4" s="1"/>
  <c r="P154" i="4" a="1"/>
  <c r="P154" i="4" s="1"/>
  <c r="P26" i="4" a="1"/>
  <c r="P26" i="4" s="1"/>
  <c r="P310" i="4" a="1"/>
  <c r="P310" i="4" s="1"/>
  <c r="P895" i="4" a="1"/>
  <c r="P895" i="4" s="1"/>
  <c r="P831" i="4" a="1"/>
  <c r="P831" i="4" s="1"/>
  <c r="P767" i="4" a="1"/>
  <c r="P767" i="4" s="1"/>
  <c r="P703" i="4" a="1"/>
  <c r="P703" i="4" s="1"/>
  <c r="P639" i="4" a="1"/>
  <c r="P639" i="4" s="1"/>
  <c r="P575" i="4" a="1"/>
  <c r="P575" i="4" s="1"/>
  <c r="P511" i="4" a="1"/>
  <c r="P511" i="4" s="1"/>
  <c r="P471" i="4" a="1"/>
  <c r="P471" i="4" s="1"/>
  <c r="P439" i="4" a="1"/>
  <c r="P439" i="4" s="1"/>
  <c r="P407" i="4" a="1"/>
  <c r="P407" i="4" s="1"/>
  <c r="P375" i="4" a="1"/>
  <c r="P375" i="4" s="1"/>
  <c r="P343" i="4" a="1"/>
  <c r="P343" i="4" s="1"/>
  <c r="P311" i="4" a="1"/>
  <c r="P311" i="4" s="1"/>
  <c r="P279" i="4" a="1"/>
  <c r="P279" i="4" s="1"/>
  <c r="P247" i="4" a="1"/>
  <c r="P247" i="4" s="1"/>
  <c r="P215" i="4" a="1"/>
  <c r="P215" i="4" s="1"/>
  <c r="P183" i="4" a="1"/>
  <c r="P183" i="4" s="1"/>
  <c r="P151" i="4" a="1"/>
  <c r="P151" i="4" s="1"/>
  <c r="P119" i="4" a="1"/>
  <c r="P119" i="4" s="1"/>
  <c r="P87" i="4" a="1"/>
  <c r="P87" i="4" s="1"/>
  <c r="P55" i="4" a="1"/>
  <c r="P55" i="4" s="1"/>
  <c r="P23" i="4" a="1"/>
  <c r="P23" i="4" s="1"/>
  <c r="P94" i="4" a="1"/>
  <c r="P94" i="4" s="1"/>
  <c r="P340" i="4" a="1"/>
  <c r="P340" i="4" s="1"/>
  <c r="P300" i="4" a="1"/>
  <c r="P300" i="4" s="1"/>
  <c r="P252" i="4" a="1"/>
  <c r="P252" i="4" s="1"/>
  <c r="P212" i="4" a="1"/>
  <c r="P212" i="4" s="1"/>
  <c r="P172" i="4" a="1"/>
  <c r="P172" i="4" s="1"/>
  <c r="P124" i="4" a="1"/>
  <c r="P124" i="4" s="1"/>
  <c r="P84" i="4" a="1"/>
  <c r="P84" i="4" s="1"/>
  <c r="P44" i="4" a="1"/>
  <c r="P44" i="4" s="1"/>
  <c r="P190" i="4" a="1"/>
  <c r="P190" i="4" s="1"/>
  <c r="P282" i="4" a="1"/>
  <c r="P282" i="4" s="1"/>
  <c r="P916" i="4" a="1"/>
  <c r="P916" i="4" s="1"/>
  <c r="P852" i="4" a="1"/>
  <c r="P852" i="4" s="1"/>
  <c r="P788" i="4" a="1"/>
  <c r="P788" i="4" s="1"/>
  <c r="P724" i="4" a="1"/>
  <c r="P724" i="4" s="1"/>
  <c r="P660" i="4" a="1"/>
  <c r="P660" i="4" s="1"/>
  <c r="P596" i="4" a="1"/>
  <c r="P596" i="4" s="1"/>
  <c r="P532" i="4" a="1"/>
  <c r="P532" i="4" s="1"/>
  <c r="P468" i="4" a="1"/>
  <c r="P468" i="4" s="1"/>
  <c r="P404" i="4" a="1"/>
  <c r="P404" i="4" s="1"/>
  <c r="P358" i="4" a="1"/>
  <c r="P358" i="4" s="1"/>
  <c r="P214" i="4" a="1"/>
  <c r="P214" i="4" s="1"/>
  <c r="P46" i="4" a="1"/>
  <c r="P46" i="4" s="1"/>
  <c r="P625" i="4" a="1"/>
  <c r="P625" i="4" s="1"/>
  <c r="P593" i="4" a="1"/>
  <c r="P593" i="4" s="1"/>
  <c r="P561" i="4" a="1"/>
  <c r="P561" i="4" s="1"/>
  <c r="P529" i="4" a="1"/>
  <c r="P529" i="4" s="1"/>
  <c r="P497" i="4" a="1"/>
  <c r="P497" i="4" s="1"/>
  <c r="P465" i="4" a="1"/>
  <c r="P465" i="4" s="1"/>
  <c r="P433" i="4" a="1"/>
  <c r="P433" i="4" s="1"/>
  <c r="P401" i="4" a="1"/>
  <c r="P401" i="4" s="1"/>
  <c r="P369" i="4" a="1"/>
  <c r="P369" i="4" s="1"/>
  <c r="Q370" i="4" s="1"/>
  <c r="W370" i="4" s="1"/>
  <c r="P337" i="4" a="1"/>
  <c r="P337" i="4" s="1"/>
  <c r="P305" i="4" a="1"/>
  <c r="P305" i="4" s="1"/>
  <c r="P273" i="4" a="1"/>
  <c r="P273" i="4" s="1"/>
  <c r="P241" i="4" a="1"/>
  <c r="P241" i="4" s="1"/>
  <c r="P209" i="4" a="1"/>
  <c r="P209" i="4" s="1"/>
  <c r="P177" i="4" a="1"/>
  <c r="P177" i="4" s="1"/>
  <c r="P145" i="4" a="1"/>
  <c r="P145" i="4" s="1"/>
  <c r="P113" i="4" a="1"/>
  <c r="P113" i="4" s="1"/>
  <c r="P81" i="4" a="1"/>
  <c r="P81" i="4" s="1"/>
  <c r="P49" i="4" a="1"/>
  <c r="P49" i="4" s="1"/>
  <c r="P17" i="4" a="1"/>
  <c r="P17" i="4" s="1"/>
  <c r="P350" i="4" a="1"/>
  <c r="P350" i="4" s="1"/>
  <c r="P149" i="4" a="1"/>
  <c r="P149" i="4" s="1"/>
  <c r="P58" i="4" a="1"/>
  <c r="P58" i="4" s="1"/>
  <c r="P270" i="4" a="1"/>
  <c r="P270" i="4" s="1"/>
  <c r="P86" i="4" a="1"/>
  <c r="P86" i="4" s="1"/>
  <c r="P943" i="4" a="1"/>
  <c r="P943" i="4" s="1"/>
  <c r="P879" i="4" a="1"/>
  <c r="P879" i="4" s="1"/>
  <c r="P815" i="4" a="1"/>
  <c r="P815" i="4" s="1"/>
  <c r="P751" i="4" a="1"/>
  <c r="P751" i="4" s="1"/>
  <c r="P687" i="4" a="1"/>
  <c r="P687" i="4" s="1"/>
  <c r="P623" i="4" a="1"/>
  <c r="P623" i="4" s="1"/>
  <c r="P559" i="4" a="1"/>
  <c r="P559" i="4" s="1"/>
  <c r="P495" i="4" a="1"/>
  <c r="P495" i="4" s="1"/>
  <c r="P463" i="4" a="1"/>
  <c r="P463" i="4" s="1"/>
  <c r="P431" i="4" a="1"/>
  <c r="P431" i="4" s="1"/>
  <c r="P399" i="4" a="1"/>
  <c r="P399" i="4" s="1"/>
  <c r="Q399" i="4" s="1"/>
  <c r="W399" i="4" s="1"/>
  <c r="P367" i="4" a="1"/>
  <c r="P367" i="4" s="1"/>
  <c r="P335" i="4" a="1"/>
  <c r="P335" i="4" s="1"/>
  <c r="P303" i="4" a="1"/>
  <c r="P303" i="4" s="1"/>
  <c r="P271" i="4" a="1"/>
  <c r="P271" i="4" s="1"/>
  <c r="P239" i="4" a="1"/>
  <c r="P239" i="4" s="1"/>
  <c r="P207" i="4" a="1"/>
  <c r="P207" i="4" s="1"/>
  <c r="P175" i="4" a="1"/>
  <c r="P175" i="4" s="1"/>
  <c r="P143" i="4" a="1"/>
  <c r="P143" i="4" s="1"/>
  <c r="P111" i="4" a="1"/>
  <c r="P111" i="4" s="1"/>
  <c r="P79" i="4" a="1"/>
  <c r="P79" i="4" s="1"/>
  <c r="P47" i="4" a="1"/>
  <c r="P47" i="4" s="1"/>
  <c r="P15" i="4" a="1"/>
  <c r="P15" i="4" s="1"/>
  <c r="P198" i="4" a="1"/>
  <c r="P198" i="4" s="1"/>
  <c r="P54" i="4" a="1"/>
  <c r="P54" i="4" s="1"/>
  <c r="P372" i="4" a="1"/>
  <c r="P372" i="4" s="1"/>
  <c r="P332" i="4" a="1"/>
  <c r="P332" i="4" s="1"/>
  <c r="P284" i="4" a="1"/>
  <c r="P284" i="4" s="1"/>
  <c r="P244" i="4" a="1"/>
  <c r="P244" i="4" s="1"/>
  <c r="P204" i="4" a="1"/>
  <c r="P204" i="4" s="1"/>
  <c r="P156" i="4" a="1"/>
  <c r="P156" i="4" s="1"/>
  <c r="P116" i="4" a="1"/>
  <c r="P116" i="4" s="1"/>
  <c r="P76" i="4" a="1"/>
  <c r="P76" i="4" s="1"/>
  <c r="P28" i="4" a="1"/>
  <c r="P28" i="4" s="1"/>
  <c r="P318" i="4" a="1"/>
  <c r="P318" i="4" s="1"/>
  <c r="P940" i="4" a="1"/>
  <c r="P940" i="4" s="1"/>
  <c r="P334" i="4" a="1"/>
  <c r="P334" i="4" s="1"/>
  <c r="P6" i="4" a="1"/>
  <c r="P6" i="4" s="1"/>
  <c r="P101" i="4" a="1"/>
  <c r="P101" i="4" s="1"/>
  <c r="P923" i="4" a="1"/>
  <c r="P923" i="4" s="1"/>
  <c r="P859" i="4" a="1"/>
  <c r="P859" i="4" s="1"/>
  <c r="P795" i="4" a="1"/>
  <c r="P795" i="4" s="1"/>
  <c r="P731" i="4" a="1"/>
  <c r="P731" i="4" s="1"/>
  <c r="P667" i="4" a="1"/>
  <c r="P667" i="4" s="1"/>
  <c r="P603" i="4" a="1"/>
  <c r="P603" i="4" s="1"/>
  <c r="P539" i="4" a="1"/>
  <c r="P539" i="4" s="1"/>
  <c r="P475" i="4" a="1"/>
  <c r="P475" i="4" s="1"/>
  <c r="X411" i="4"/>
  <c r="P411" i="4" a="1"/>
  <c r="P411" i="4" s="1"/>
  <c r="P347" i="4" a="1"/>
  <c r="P347" i="4" s="1"/>
  <c r="P283" i="4" a="1"/>
  <c r="P283" i="4" s="1"/>
  <c r="P219" i="4" a="1"/>
  <c r="P219" i="4" s="1"/>
  <c r="P944" i="4" a="1"/>
  <c r="P944" i="4" s="1"/>
  <c r="P880" i="4" a="1"/>
  <c r="P880" i="4" s="1"/>
  <c r="Q882" i="4" s="1"/>
  <c r="W882" i="4" s="1"/>
  <c r="P816" i="4" a="1"/>
  <c r="P816" i="4" s="1"/>
  <c r="P752" i="4" a="1"/>
  <c r="P752" i="4" s="1"/>
  <c r="P688" i="4" a="1"/>
  <c r="P688" i="4" s="1"/>
  <c r="P624" i="4" a="1"/>
  <c r="P624" i="4" s="1"/>
  <c r="P560" i="4" a="1"/>
  <c r="P560" i="4" s="1"/>
  <c r="P496" i="4" a="1"/>
  <c r="P496" i="4" s="1"/>
  <c r="P432" i="4" a="1"/>
  <c r="P432" i="4" s="1"/>
  <c r="P941" i="4" a="1"/>
  <c r="P941" i="4" s="1"/>
  <c r="P877" i="4" a="1"/>
  <c r="P877" i="4" s="1"/>
  <c r="P813" i="4" a="1"/>
  <c r="P813" i="4" s="1"/>
  <c r="P749" i="4" a="1"/>
  <c r="P749" i="4" s="1"/>
  <c r="P685" i="4" a="1"/>
  <c r="P685" i="4" s="1"/>
  <c r="P621" i="4" a="1"/>
  <c r="P621" i="4" s="1"/>
  <c r="P557" i="4" a="1"/>
  <c r="P557" i="4" s="1"/>
  <c r="P493" i="4" a="1"/>
  <c r="P493" i="4" s="1"/>
  <c r="P429" i="4" a="1"/>
  <c r="P429" i="4" s="1"/>
  <c r="P365" i="4" a="1"/>
  <c r="P365" i="4" s="1"/>
  <c r="P301" i="4" a="1"/>
  <c r="P301" i="4" s="1"/>
  <c r="P237" i="4" a="1"/>
  <c r="P237" i="4" s="1"/>
  <c r="P173" i="4" a="1"/>
  <c r="P173" i="4" s="1"/>
  <c r="P250" i="4" a="1"/>
  <c r="P250" i="4" s="1"/>
  <c r="P138" i="4" a="1"/>
  <c r="P138" i="4" s="1"/>
  <c r="P98" i="4" a="1"/>
  <c r="P98" i="4" s="1"/>
  <c r="P50" i="4" a="1"/>
  <c r="P50" i="4" s="1"/>
  <c r="P10" i="4" a="1"/>
  <c r="P10" i="4" s="1"/>
  <c r="P935" i="4" a="1"/>
  <c r="P935" i="4" s="1"/>
  <c r="P871" i="4" a="1"/>
  <c r="P871" i="4" s="1"/>
  <c r="P807" i="4" a="1"/>
  <c r="P807" i="4" s="1"/>
  <c r="P743" i="4" a="1"/>
  <c r="P743" i="4" s="1"/>
  <c r="P679" i="4" a="1"/>
  <c r="P679" i="4" s="1"/>
  <c r="P615" i="4" a="1"/>
  <c r="P615" i="4" s="1"/>
  <c r="P551" i="4" a="1"/>
  <c r="P551" i="4" s="1"/>
  <c r="P342" i="4" a="1"/>
  <c r="P342" i="4" s="1"/>
  <c r="P38" i="4" a="1"/>
  <c r="P38" i="4" s="1"/>
  <c r="P908" i="4" a="1"/>
  <c r="P908" i="4" s="1"/>
  <c r="P716" i="4" a="1"/>
  <c r="P716" i="4" s="1"/>
  <c r="P492" i="4" a="1"/>
  <c r="P492" i="4" s="1"/>
  <c r="P460" i="4" a="1"/>
  <c r="P460" i="4" s="1"/>
  <c r="P324" i="4" a="1"/>
  <c r="P324" i="4" s="1"/>
  <c r="P196" i="4" a="1"/>
  <c r="P196" i="4" s="1"/>
  <c r="P68" i="4" a="1"/>
  <c r="P68" i="4" s="1"/>
  <c r="Q68" i="4" s="1"/>
  <c r="P294" i="4" a="1"/>
  <c r="P294" i="4" s="1"/>
  <c r="P110" i="4" a="1"/>
  <c r="P110" i="4" s="1"/>
  <c r="P937" i="4" a="1"/>
  <c r="P937" i="4" s="1"/>
  <c r="P905" i="4" a="1"/>
  <c r="P905" i="4" s="1"/>
  <c r="P873" i="4" a="1"/>
  <c r="P873" i="4" s="1"/>
  <c r="P841" i="4" a="1"/>
  <c r="P841" i="4" s="1"/>
  <c r="P809" i="4" a="1"/>
  <c r="P809" i="4" s="1"/>
  <c r="P777" i="4" a="1"/>
  <c r="P777" i="4" s="1"/>
  <c r="P745" i="4" a="1"/>
  <c r="P745" i="4" s="1"/>
  <c r="P713" i="4" a="1"/>
  <c r="P713" i="4" s="1"/>
  <c r="P681" i="4" a="1"/>
  <c r="P681" i="4" s="1"/>
  <c r="P649" i="4" a="1"/>
  <c r="P649" i="4" s="1"/>
  <c r="P617" i="4" a="1"/>
  <c r="P617" i="4" s="1"/>
  <c r="P585" i="4" a="1"/>
  <c r="P585" i="4" s="1"/>
  <c r="P553" i="4" a="1"/>
  <c r="P553" i="4" s="1"/>
  <c r="P521" i="4" a="1"/>
  <c r="P521" i="4" s="1"/>
  <c r="P489" i="4" a="1"/>
  <c r="P489" i="4" s="1"/>
  <c r="Q490" i="4" s="1"/>
  <c r="W490" i="4" s="1"/>
  <c r="P457" i="4" a="1"/>
  <c r="P457" i="4" s="1"/>
  <c r="P425" i="4" a="1"/>
  <c r="P425" i="4" s="1"/>
  <c r="P393" i="4" a="1"/>
  <c r="P393" i="4" s="1"/>
  <c r="P361" i="4" a="1"/>
  <c r="P361" i="4" s="1"/>
  <c r="Q361" i="4" s="1"/>
  <c r="W361" i="4" s="1"/>
  <c r="P329" i="4" a="1"/>
  <c r="P329" i="4" s="1"/>
  <c r="P297" i="4" a="1"/>
  <c r="P297" i="4" s="1"/>
  <c r="P265" i="4" a="1"/>
  <c r="P265" i="4" s="1"/>
  <c r="P233" i="4" a="1"/>
  <c r="P233" i="4" s="1"/>
  <c r="Q233" i="4" s="1"/>
  <c r="W233" i="4" s="1"/>
  <c r="P201" i="4" a="1"/>
  <c r="P201" i="4" s="1"/>
  <c r="P169" i="4" a="1"/>
  <c r="P169" i="4" s="1"/>
  <c r="Q169" i="4" s="1"/>
  <c r="W169" i="4" s="1"/>
  <c r="P137" i="4" a="1"/>
  <c r="P137" i="4" s="1"/>
  <c r="P105" i="4" a="1"/>
  <c r="P105" i="4" s="1"/>
  <c r="Q105" i="4" s="1"/>
  <c r="P73" i="4" a="1"/>
  <c r="P73" i="4" s="1"/>
  <c r="P41" i="4" a="1"/>
  <c r="P41" i="4" s="1"/>
  <c r="P9" i="4" a="1"/>
  <c r="P9" i="4" s="1"/>
  <c r="P142" i="4" a="1"/>
  <c r="P142" i="4" s="1"/>
  <c r="P85" i="4" a="1"/>
  <c r="P85" i="4" s="1"/>
  <c r="P141" i="4" a="1"/>
  <c r="P141" i="4" s="1"/>
  <c r="P13" i="4" a="1"/>
  <c r="P13" i="4" s="1"/>
  <c r="B951" i="3"/>
  <c r="B950" i="3"/>
  <c r="B949" i="3"/>
  <c r="B948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3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X489" i="4" l="1"/>
  <c r="X367" i="4"/>
  <c r="X138" i="4"/>
  <c r="X236" i="4"/>
  <c r="X492" i="4"/>
  <c r="Q28" i="4"/>
  <c r="W28" i="4" s="1"/>
  <c r="X617" i="4"/>
  <c r="X154" i="4"/>
  <c r="X474" i="4"/>
  <c r="X231" i="4"/>
  <c r="X324" i="4"/>
  <c r="X795" i="4"/>
  <c r="X151" i="4"/>
  <c r="Q237" i="4"/>
  <c r="W237" i="4" s="1"/>
  <c r="X524" i="4"/>
  <c r="X780" i="4"/>
  <c r="X186" i="4"/>
  <c r="X67" i="4"/>
  <c r="X104" i="4"/>
  <c r="X101" i="4"/>
  <c r="Q76" i="4"/>
  <c r="W76" i="4" s="1"/>
  <c r="X85" i="4"/>
  <c r="Q492" i="4"/>
  <c r="W492" i="4" s="1"/>
  <c r="X937" i="4"/>
  <c r="X234" i="4"/>
  <c r="X230" i="4"/>
  <c r="X332" i="4"/>
  <c r="X588" i="4"/>
  <c r="X537" i="4"/>
  <c r="X19" i="4"/>
  <c r="X84" i="4"/>
  <c r="X372" i="4"/>
  <c r="X11" i="4"/>
  <c r="X552" i="4"/>
  <c r="X906" i="4"/>
  <c r="Q693" i="4"/>
  <c r="W693" i="4" s="1"/>
  <c r="Q888" i="4"/>
  <c r="W888" i="4" s="1"/>
  <c r="X143" i="4"/>
  <c r="X129" i="4"/>
  <c r="X459" i="4"/>
  <c r="X233" i="4"/>
  <c r="Q590" i="4"/>
  <c r="W590" i="4" s="1"/>
  <c r="X196" i="4"/>
  <c r="X297" i="4"/>
  <c r="X66" i="4"/>
  <c r="X163" i="4"/>
  <c r="X810" i="4"/>
  <c r="X238" i="4"/>
  <c r="X436" i="4"/>
  <c r="X212" i="4"/>
  <c r="Q713" i="4"/>
  <c r="W713" i="4" s="1"/>
  <c r="X239" i="4"/>
  <c r="X266" i="4"/>
  <c r="X257" i="4"/>
  <c r="X307" i="4"/>
  <c r="X336" i="4"/>
  <c r="X47" i="4"/>
  <c r="X303" i="4"/>
  <c r="X13" i="4"/>
  <c r="X116" i="4"/>
  <c r="Q404" i="4"/>
  <c r="W404" i="4" s="1"/>
  <c r="X464" i="4"/>
  <c r="Q569" i="4"/>
  <c r="W569" i="4" s="1"/>
  <c r="X857" i="4"/>
  <c r="X354" i="4"/>
  <c r="Q556" i="4"/>
  <c r="W556" i="4" s="1"/>
  <c r="X523" i="4"/>
  <c r="X516" i="4"/>
  <c r="X652" i="4"/>
  <c r="X121" i="4"/>
  <c r="X29" i="4"/>
  <c r="X761" i="4"/>
  <c r="Q183" i="4"/>
  <c r="W183" i="4" s="1"/>
  <c r="X109" i="4"/>
  <c r="X371" i="4"/>
  <c r="X40" i="4"/>
  <c r="X650" i="4"/>
  <c r="X208" i="4"/>
  <c r="Q676" i="4"/>
  <c r="Q677" i="4" s="1"/>
  <c r="Q438" i="4"/>
  <c r="W438" i="4" s="1"/>
  <c r="X57" i="4"/>
  <c r="X185" i="4"/>
  <c r="X569" i="4"/>
  <c r="Q770" i="4"/>
  <c r="W770" i="4" s="1"/>
  <c r="X739" i="4"/>
  <c r="X715" i="4"/>
  <c r="Q546" i="4"/>
  <c r="W546" i="4" s="1"/>
  <c r="X836" i="4"/>
  <c r="X423" i="4"/>
  <c r="Q684" i="4"/>
  <c r="W684" i="4" s="1"/>
  <c r="X435" i="4"/>
  <c r="Q280" i="4"/>
  <c r="W280" i="4" s="1"/>
  <c r="Q288" i="4"/>
  <c r="W288" i="4" s="1"/>
  <c r="Q550" i="4"/>
  <c r="W550" i="4" s="1"/>
  <c r="X323" i="4"/>
  <c r="Q144" i="4"/>
  <c r="W144" i="4" s="1"/>
  <c r="X681" i="4"/>
  <c r="X746" i="4"/>
  <c r="X612" i="4"/>
  <c r="Q539" i="4"/>
  <c r="W539" i="4" s="1"/>
  <c r="Q795" i="4"/>
  <c r="W795" i="4" s="1"/>
  <c r="Q101" i="4"/>
  <c r="W101" i="4" s="1"/>
  <c r="Q282" i="4"/>
  <c r="W282" i="4" s="1"/>
  <c r="Q202" i="4"/>
  <c r="W202" i="4" s="1"/>
  <c r="Q255" i="4"/>
  <c r="W255" i="4" s="1"/>
  <c r="Q692" i="4"/>
  <c r="W692" i="4" s="1"/>
  <c r="Q458" i="4"/>
  <c r="W458" i="4" s="1"/>
  <c r="Q429" i="4"/>
  <c r="W429" i="4" s="1"/>
  <c r="Q685" i="4"/>
  <c r="W685" i="4" s="1"/>
  <c r="Q596" i="4"/>
  <c r="W596" i="4" s="1"/>
  <c r="X419" i="4"/>
  <c r="Q812" i="4"/>
  <c r="W812" i="4" s="1"/>
  <c r="Q137" i="4"/>
  <c r="W137" i="4" s="1"/>
  <c r="Q265" i="4"/>
  <c r="W265" i="4" s="1"/>
  <c r="Q44" i="4"/>
  <c r="W44" i="4" s="1"/>
  <c r="Q120" i="4"/>
  <c r="W120" i="4" s="1"/>
  <c r="Q767" i="4"/>
  <c r="W767" i="4" s="1"/>
  <c r="Q159" i="4"/>
  <c r="W159" i="4" s="1"/>
  <c r="Q760" i="4"/>
  <c r="W760" i="4" s="1"/>
  <c r="Q484" i="4"/>
  <c r="W484" i="4" s="1"/>
  <c r="X260" i="4"/>
  <c r="X45" i="4"/>
  <c r="X55" i="4"/>
  <c r="X335" i="4"/>
  <c r="X660" i="4"/>
  <c r="Q450" i="4"/>
  <c r="W450" i="4" s="1"/>
  <c r="X140" i="4"/>
  <c r="Q667" i="4"/>
  <c r="W667" i="4" s="1"/>
  <c r="Q240" i="4"/>
  <c r="W240" i="4" s="1"/>
  <c r="Q358" i="4"/>
  <c r="W358" i="4" s="1"/>
  <c r="Q468" i="4"/>
  <c r="W468" i="4" s="1"/>
  <c r="Q524" i="4"/>
  <c r="W524" i="4" s="1"/>
  <c r="Q876" i="4"/>
  <c r="W876" i="4" s="1"/>
  <c r="Q43" i="4"/>
  <c r="W43" i="4" s="1"/>
  <c r="Q553" i="4"/>
  <c r="W553" i="4" s="1"/>
  <c r="Q809" i="4"/>
  <c r="W809" i="4" s="1"/>
  <c r="Q460" i="4"/>
  <c r="W460" i="4" s="1"/>
  <c r="X91" i="4"/>
  <c r="X80" i="4"/>
  <c r="Q279" i="4"/>
  <c r="W279" i="4" s="1"/>
  <c r="Q474" i="4"/>
  <c r="W474" i="4" s="1"/>
  <c r="Q655" i="4"/>
  <c r="W655" i="4" s="1"/>
  <c r="X81" i="4"/>
  <c r="X867" i="4"/>
  <c r="X450" i="4"/>
  <c r="X105" i="4"/>
  <c r="Q294" i="4"/>
  <c r="W294" i="4" s="1"/>
  <c r="Q445" i="4"/>
  <c r="W445" i="4" s="1"/>
  <c r="Q724" i="4"/>
  <c r="W724" i="4" s="1"/>
  <c r="X175" i="4"/>
  <c r="Q260" i="4"/>
  <c r="W260" i="4" s="1"/>
  <c r="Q632" i="4"/>
  <c r="W632" i="4" s="1"/>
  <c r="Q806" i="4"/>
  <c r="W806" i="4" s="1"/>
  <c r="Q176" i="4"/>
  <c r="W176" i="4" s="1"/>
  <c r="X873" i="4"/>
  <c r="X68" i="4"/>
  <c r="Q51" i="4"/>
  <c r="W51" i="4" s="1"/>
  <c r="Q624" i="4"/>
  <c r="W624" i="4" s="1"/>
  <c r="Q940" i="4"/>
  <c r="W940" i="4" s="1"/>
  <c r="Q318" i="4"/>
  <c r="W318" i="4" s="1"/>
  <c r="Q332" i="4"/>
  <c r="W332" i="4" s="1"/>
  <c r="X177" i="4"/>
  <c r="X288" i="4"/>
  <c r="X215" i="4"/>
  <c r="Q410" i="4"/>
  <c r="X632" i="4"/>
  <c r="Q700" i="4"/>
  <c r="W700" i="4" s="1"/>
  <c r="Q269" i="4"/>
  <c r="W269" i="4" s="1"/>
  <c r="Q13" i="4"/>
  <c r="W13" i="4" s="1"/>
  <c r="X361" i="4"/>
  <c r="Q11" i="4"/>
  <c r="W11" i="4" s="1"/>
  <c r="Q593" i="4"/>
  <c r="W593" i="4" s="1"/>
  <c r="Q212" i="4"/>
  <c r="W212" i="4" s="1"/>
  <c r="Q511" i="4"/>
  <c r="W511" i="4" s="1"/>
  <c r="Q773" i="4"/>
  <c r="W773" i="4" s="1"/>
  <c r="Q609" i="4"/>
  <c r="W609" i="4" s="1"/>
  <c r="X255" i="4"/>
  <c r="Q398" i="4"/>
  <c r="W398" i="4" s="1"/>
  <c r="X369" i="4"/>
  <c r="X318" i="4"/>
  <c r="X922" i="4"/>
  <c r="X5" i="4"/>
  <c r="X162" i="4"/>
  <c r="X451" i="4"/>
  <c r="X347" i="4"/>
  <c r="X465" i="4"/>
  <c r="X378" i="4"/>
  <c r="X122" i="4"/>
  <c r="X343" i="4"/>
  <c r="X87" i="4"/>
  <c r="X446" i="4"/>
  <c r="X273" i="4"/>
  <c r="X112" i="4"/>
  <c r="X281" i="4"/>
  <c r="X130" i="4"/>
  <c r="X292" i="4"/>
  <c r="X600" i="4"/>
  <c r="X94" i="4"/>
  <c r="X156" i="4"/>
  <c r="Q222" i="4"/>
  <c r="W222" i="4" s="1"/>
  <c r="Q270" i="4"/>
  <c r="W270" i="4" s="1"/>
  <c r="X99" i="4"/>
  <c r="Q378" i="4"/>
  <c r="W378" i="4" s="1"/>
  <c r="Q716" i="4"/>
  <c r="W716" i="4" s="1"/>
  <c r="X137" i="4"/>
  <c r="X393" i="4"/>
  <c r="Q493" i="4"/>
  <c r="W493" i="4" s="1"/>
  <c r="Q690" i="4"/>
  <c r="W690" i="4" s="1"/>
  <c r="X119" i="4"/>
  <c r="X375" i="4"/>
  <c r="Q697" i="4"/>
  <c r="W697" i="4" s="1"/>
  <c r="Q591" i="4"/>
  <c r="W591" i="4" s="1"/>
  <c r="Q306" i="4"/>
  <c r="W306" i="4" s="1"/>
  <c r="Q614" i="4"/>
  <c r="W614" i="4" s="1"/>
  <c r="Q588" i="4"/>
  <c r="W588" i="4" s="1"/>
  <c r="Q580" i="4"/>
  <c r="W580" i="4" s="1"/>
  <c r="X256" i="4"/>
  <c r="X362" i="4"/>
  <c r="X52" i="4"/>
  <c r="X420" i="4"/>
  <c r="Q644" i="4"/>
  <c r="W644" i="4" s="1"/>
  <c r="Q340" i="4"/>
  <c r="W340" i="4" s="1"/>
  <c r="Q471" i="4"/>
  <c r="Q154" i="4"/>
  <c r="W154" i="4" s="1"/>
  <c r="Q453" i="4"/>
  <c r="W453" i="4" s="1"/>
  <c r="X312" i="4"/>
  <c r="Q218" i="4"/>
  <c r="W218" i="4" s="1"/>
  <c r="Q602" i="4"/>
  <c r="W602" i="4" s="1"/>
  <c r="Q729" i="4"/>
  <c r="W729" i="4" s="1"/>
  <c r="Q223" i="4"/>
  <c r="W223" i="4" s="1"/>
  <c r="Q479" i="4"/>
  <c r="W479" i="4" s="1"/>
  <c r="Q181" i="4"/>
  <c r="W181" i="4" s="1"/>
  <c r="Q437" i="4"/>
  <c r="W437" i="4" s="1"/>
  <c r="Q755" i="4"/>
  <c r="W755" i="4" s="1"/>
  <c r="Q230" i="4"/>
  <c r="W230" i="4" s="1"/>
  <c r="X72" i="4"/>
  <c r="X740" i="4"/>
  <c r="X418" i="4"/>
  <c r="X442" i="4"/>
  <c r="X427" i="4"/>
  <c r="Q572" i="4"/>
  <c r="W572" i="4" s="1"/>
  <c r="X141" i="4"/>
  <c r="Q104" i="4"/>
  <c r="W104" i="4" s="1"/>
  <c r="X707" i="4"/>
  <c r="X228" i="4"/>
  <c r="X572" i="4"/>
  <c r="Q820" i="4"/>
  <c r="Q557" i="4"/>
  <c r="W557" i="4" s="1"/>
  <c r="X585" i="4"/>
  <c r="Q304" i="4"/>
  <c r="W304" i="4" s="1"/>
  <c r="X270" i="4"/>
  <c r="X23" i="4"/>
  <c r="X279" i="4"/>
  <c r="Q537" i="4"/>
  <c r="W537" i="4" s="1"/>
  <c r="X30" i="4"/>
  <c r="Q834" i="4"/>
  <c r="W834" i="4" s="1"/>
  <c r="Q742" i="4"/>
  <c r="W742" i="4" s="1"/>
  <c r="X90" i="4"/>
  <c r="X410" i="4"/>
  <c r="Q615" i="4"/>
  <c r="W615" i="4" s="1"/>
  <c r="X10" i="4"/>
  <c r="X522" i="4"/>
  <c r="X125" i="4"/>
  <c r="Q300" i="4"/>
  <c r="W300" i="4" s="1"/>
  <c r="Q439" i="4"/>
  <c r="W439" i="4" s="1"/>
  <c r="Q639" i="4"/>
  <c r="W639" i="4" s="1"/>
  <c r="X458" i="4"/>
  <c r="X232" i="4"/>
  <c r="X75" i="4"/>
  <c r="X153" i="4"/>
  <c r="X793" i="4"/>
  <c r="X921" i="4"/>
  <c r="Q206" i="4"/>
  <c r="W206" i="4" s="1"/>
  <c r="Q114" i="4"/>
  <c r="W114" i="4" s="1"/>
  <c r="X193" i="4"/>
  <c r="X321" i="4"/>
  <c r="X150" i="4"/>
  <c r="X682" i="4"/>
  <c r="Q245" i="4"/>
  <c r="W245" i="4" s="1"/>
  <c r="X500" i="4"/>
  <c r="Q355" i="4"/>
  <c r="W355" i="4" s="1"/>
  <c r="Q611" i="4"/>
  <c r="W611" i="4" s="1"/>
  <c r="Q610" i="4"/>
  <c r="W610" i="4" s="1"/>
  <c r="Q520" i="4"/>
  <c r="W520" i="4" s="1"/>
  <c r="Q285" i="4"/>
  <c r="W285" i="4" s="1"/>
  <c r="Q548" i="4"/>
  <c r="W548" i="4" s="1"/>
  <c r="X602" i="4"/>
  <c r="X794" i="4"/>
  <c r="X488" i="4"/>
  <c r="X756" i="4"/>
  <c r="X745" i="4"/>
  <c r="X314" i="4"/>
  <c r="Q347" i="4"/>
  <c r="W347" i="4" s="1"/>
  <c r="Q859" i="4"/>
  <c r="W859" i="4" s="1"/>
  <c r="Q166" i="4"/>
  <c r="W166" i="4" s="1"/>
  <c r="Q501" i="4"/>
  <c r="W501" i="4" s="1"/>
  <c r="X888" i="4"/>
  <c r="X611" i="4"/>
  <c r="X843" i="4"/>
  <c r="Q71" i="4"/>
  <c r="W71" i="4" s="1"/>
  <c r="Q199" i="4"/>
  <c r="W199" i="4" s="1"/>
  <c r="Q927" i="4"/>
  <c r="W927" i="4" s="1"/>
  <c r="X890" i="4"/>
  <c r="Q148" i="4"/>
  <c r="Q149" i="4" s="1"/>
  <c r="Q603" i="4"/>
  <c r="W603" i="4" s="1"/>
  <c r="Q79" i="4"/>
  <c r="W79" i="4" s="1"/>
  <c r="X300" i="4"/>
  <c r="Q777" i="4"/>
  <c r="W777" i="4" s="1"/>
  <c r="X8" i="4"/>
  <c r="X79" i="4"/>
  <c r="Q214" i="4"/>
  <c r="Q215" i="4" s="1"/>
  <c r="Q190" i="4"/>
  <c r="W190" i="4" s="1"/>
  <c r="X554" i="4"/>
  <c r="X16" i="4"/>
  <c r="X128" i="4"/>
  <c r="X353" i="4"/>
  <c r="X508" i="4"/>
  <c r="Q309" i="4"/>
  <c r="W309" i="4" s="1"/>
  <c r="X931" i="4"/>
  <c r="Q730" i="4"/>
  <c r="W730" i="4" s="1"/>
  <c r="Q371" i="4"/>
  <c r="W371" i="4" s="1"/>
  <c r="Q883" i="4"/>
  <c r="Q823" i="4"/>
  <c r="W823" i="4" s="1"/>
  <c r="X107" i="4"/>
  <c r="X428" i="4"/>
  <c r="X42" i="4"/>
  <c r="X649" i="4"/>
  <c r="Q360" i="4"/>
  <c r="W360" i="4" s="1"/>
  <c r="X521" i="4"/>
  <c r="Q914" i="4"/>
  <c r="W914" i="4" s="1"/>
  <c r="X515" i="4"/>
  <c r="X282" i="4"/>
  <c r="Q682" i="4"/>
  <c r="W682" i="4" s="1"/>
  <c r="X50" i="4"/>
  <c r="Q701" i="4"/>
  <c r="W701" i="4" s="1"/>
  <c r="X218" i="4"/>
  <c r="X352" i="4"/>
  <c r="Q813" i="4"/>
  <c r="W813" i="4" s="1"/>
  <c r="X337" i="4"/>
  <c r="X244" i="4"/>
  <c r="X258" i="4"/>
  <c r="Q84" i="4"/>
  <c r="W84" i="4" s="1"/>
  <c r="Q382" i="4"/>
  <c r="W382" i="4" s="1"/>
  <c r="X467" i="4"/>
  <c r="X426" i="4"/>
  <c r="X144" i="4"/>
  <c r="X616" i="4"/>
  <c r="Q333" i="4"/>
  <c r="W333" i="4" s="1"/>
  <c r="Q207" i="4"/>
  <c r="W207" i="4" s="1"/>
  <c r="Q687" i="4"/>
  <c r="W687" i="4" s="1"/>
  <c r="X214" i="4"/>
  <c r="X340" i="4"/>
  <c r="X772" i="4"/>
  <c r="Q257" i="4"/>
  <c r="W257" i="4" s="1"/>
  <c r="X21" i="4"/>
  <c r="X675" i="4"/>
  <c r="X59" i="4"/>
  <c r="X41" i="4"/>
  <c r="X553" i="4"/>
  <c r="X809" i="4"/>
  <c r="X804" i="4"/>
  <c r="Q198" i="4"/>
  <c r="W198" i="4" s="1"/>
  <c r="X463" i="4"/>
  <c r="X58" i="4"/>
  <c r="X570" i="4"/>
  <c r="X115" i="4"/>
  <c r="X241" i="4"/>
  <c r="X358" i="4"/>
  <c r="X812" i="4"/>
  <c r="Q310" i="4"/>
  <c r="W310" i="4" s="1"/>
  <c r="X298" i="4"/>
  <c r="X217" i="4"/>
  <c r="X345" i="4"/>
  <c r="X473" i="4"/>
  <c r="Q132" i="4"/>
  <c r="W132" i="4" s="1"/>
  <c r="X556" i="4"/>
  <c r="Q604" i="4"/>
  <c r="W604" i="4" s="1"/>
  <c r="Q63" i="4"/>
  <c r="Q319" i="4"/>
  <c r="W319" i="4" s="1"/>
  <c r="Q447" i="4"/>
  <c r="W447" i="4" s="1"/>
  <c r="X346" i="4"/>
  <c r="Q422" i="4"/>
  <c r="W422" i="4" s="1"/>
  <c r="X858" i="4"/>
  <c r="X299" i="4"/>
  <c r="Q494" i="4"/>
  <c r="W494" i="4" s="1"/>
  <c r="Q750" i="4"/>
  <c r="W750" i="4" s="1"/>
  <c r="X320" i="4"/>
  <c r="X267" i="4"/>
  <c r="X76" i="4"/>
  <c r="X248" i="4"/>
  <c r="Q185" i="4"/>
  <c r="W185" i="4" s="1"/>
  <c r="Q441" i="4"/>
  <c r="W441" i="4" s="1"/>
  <c r="X876" i="4"/>
  <c r="Q703" i="4"/>
  <c r="W703" i="4" s="1"/>
  <c r="X697" i="4"/>
  <c r="Q440" i="4"/>
  <c r="W440" i="4" s="1"/>
  <c r="X110" i="4"/>
  <c r="Q432" i="4"/>
  <c r="W432" i="4" s="1"/>
  <c r="X172" i="4"/>
  <c r="Q585" i="4"/>
  <c r="W585" i="4" s="1"/>
  <c r="Q810" i="4"/>
  <c r="W810" i="4" s="1"/>
  <c r="Q731" i="4"/>
  <c r="W731" i="4" s="1"/>
  <c r="X120" i="4"/>
  <c r="Q239" i="4"/>
  <c r="W239" i="4" s="1"/>
  <c r="Q346" i="4"/>
  <c r="W346" i="4" s="1"/>
  <c r="Q417" i="4"/>
  <c r="W417" i="4" s="1"/>
  <c r="X22" i="4"/>
  <c r="X191" i="4"/>
  <c r="X628" i="4"/>
  <c r="X504" i="4"/>
  <c r="X760" i="4"/>
  <c r="X483" i="4"/>
  <c r="Q384" i="4"/>
  <c r="W384" i="4" s="1"/>
  <c r="Q640" i="4"/>
  <c r="W640" i="4" s="1"/>
  <c r="Q896" i="4"/>
  <c r="W896" i="4" s="1"/>
  <c r="Q363" i="4"/>
  <c r="W363" i="4" s="1"/>
  <c r="Q619" i="4"/>
  <c r="X587" i="4"/>
  <c r="Q574" i="4"/>
  <c r="W574" i="4" s="1"/>
  <c r="Q600" i="4"/>
  <c r="W600" i="4" s="1"/>
  <c r="Q323" i="4"/>
  <c r="W323" i="4" s="1"/>
  <c r="X665" i="4"/>
  <c r="Q313" i="4"/>
  <c r="W313" i="4" s="1"/>
  <c r="X206" i="4"/>
  <c r="X209" i="4"/>
  <c r="Q472" i="4"/>
  <c r="W471" i="4"/>
  <c r="W676" i="4"/>
  <c r="Q884" i="4"/>
  <c r="W883" i="4"/>
  <c r="Q196" i="4"/>
  <c r="W196" i="4" s="1"/>
  <c r="X618" i="4"/>
  <c r="Q857" i="4"/>
  <c r="W857" i="4" s="1"/>
  <c r="X564" i="4"/>
  <c r="X43" i="4"/>
  <c r="X142" i="4"/>
  <c r="Q301" i="4"/>
  <c r="W301" i="4" s="1"/>
  <c r="Q219" i="4"/>
  <c r="W219" i="4" s="1"/>
  <c r="Q475" i="4"/>
  <c r="W475" i="4" s="1"/>
  <c r="Q372" i="4"/>
  <c r="W372" i="4" s="1"/>
  <c r="X844" i="4"/>
  <c r="Q367" i="4"/>
  <c r="W367" i="4" s="1"/>
  <c r="Q145" i="4"/>
  <c r="W145" i="4" s="1"/>
  <c r="Q273" i="4"/>
  <c r="W273" i="4" s="1"/>
  <c r="Q529" i="4"/>
  <c r="W529" i="4" s="1"/>
  <c r="X44" i="4"/>
  <c r="Q261" i="4"/>
  <c r="W261" i="4" s="1"/>
  <c r="X132" i="4"/>
  <c r="X33" i="4"/>
  <c r="Q289" i="4"/>
  <c r="X73" i="4"/>
  <c r="X201" i="4"/>
  <c r="X457" i="4"/>
  <c r="X713" i="4"/>
  <c r="X226" i="4"/>
  <c r="X204" i="4"/>
  <c r="X111" i="4"/>
  <c r="X51" i="4"/>
  <c r="X17" i="4"/>
  <c r="X145" i="4"/>
  <c r="X401" i="4"/>
  <c r="X69" i="4"/>
  <c r="Q660" i="4"/>
  <c r="W660" i="4" s="1"/>
  <c r="Q26" i="4"/>
  <c r="W26" i="4" s="1"/>
  <c r="X249" i="4"/>
  <c r="X377" i="4"/>
  <c r="X505" i="4"/>
  <c r="X633" i="4"/>
  <c r="X889" i="4"/>
  <c r="Q608" i="4"/>
  <c r="W608" i="4" s="1"/>
  <c r="X744" i="4"/>
  <c r="X363" i="4"/>
  <c r="X532" i="4"/>
  <c r="Q47" i="4"/>
  <c r="X383" i="4"/>
  <c r="X139" i="4"/>
  <c r="Q411" i="4"/>
  <c r="W410" i="4"/>
  <c r="X203" i="4"/>
  <c r="Q328" i="4"/>
  <c r="W328" i="4" s="1"/>
  <c r="X507" i="4"/>
  <c r="X265" i="4"/>
  <c r="X394" i="4"/>
  <c r="X825" i="4"/>
  <c r="X778" i="4"/>
  <c r="X344" i="4"/>
  <c r="Q106" i="4"/>
  <c r="W105" i="4"/>
  <c r="Q745" i="4"/>
  <c r="W745" i="4" s="1"/>
  <c r="Q746" i="4"/>
  <c r="W746" i="4" s="1"/>
  <c r="Q69" i="4"/>
  <c r="W68" i="4"/>
  <c r="X684" i="4"/>
  <c r="Q283" i="4"/>
  <c r="W283" i="4" s="1"/>
  <c r="Q160" i="4"/>
  <c r="W160" i="4" s="1"/>
  <c r="X131" i="4"/>
  <c r="Q271" i="4"/>
  <c r="W271" i="4" s="1"/>
  <c r="X202" i="4"/>
  <c r="Q177" i="4"/>
  <c r="W177" i="4" s="1"/>
  <c r="Q305" i="4"/>
  <c r="W305" i="4" s="1"/>
  <c r="Q433" i="4"/>
  <c r="Q561" i="4"/>
  <c r="W561" i="4" s="1"/>
  <c r="Q184" i="4"/>
  <c r="W184" i="4" s="1"/>
  <c r="X26" i="4"/>
  <c r="X118" i="4"/>
  <c r="X74" i="4"/>
  <c r="X65" i="4"/>
  <c r="X884" i="4"/>
  <c r="X106" i="4"/>
  <c r="X108" i="4"/>
  <c r="Q506" i="4"/>
  <c r="W506" i="4" s="1"/>
  <c r="Q296" i="4"/>
  <c r="W296" i="4" s="1"/>
  <c r="Q854" i="4"/>
  <c r="W854" i="4" s="1"/>
  <c r="Q292" i="4"/>
  <c r="W292" i="4" s="1"/>
  <c r="X359" i="4"/>
  <c r="X487" i="4"/>
  <c r="Q821" i="4"/>
  <c r="W820" i="4"/>
  <c r="X716" i="4"/>
  <c r="Q525" i="4"/>
  <c r="W525" i="4" s="1"/>
  <c r="X25" i="4"/>
  <c r="X148" i="4"/>
  <c r="X329" i="4"/>
  <c r="X330" i="4"/>
  <c r="X348" i="4"/>
  <c r="X60" i="4"/>
  <c r="X708" i="4"/>
  <c r="X680" i="4"/>
  <c r="X584" i="4"/>
  <c r="X712" i="4"/>
  <c r="X699" i="4"/>
  <c r="X382" i="4"/>
  <c r="X651" i="4"/>
  <c r="X310" i="4"/>
  <c r="X539" i="4"/>
  <c r="X728" i="4"/>
  <c r="Q853" i="4"/>
  <c r="W853" i="4" s="1"/>
  <c r="Q454" i="4"/>
  <c r="W454" i="4" s="1"/>
  <c r="X113" i="4"/>
  <c r="Q631" i="4"/>
  <c r="W631" i="4" s="1"/>
  <c r="X283" i="4"/>
  <c r="X152" i="4"/>
  <c r="X35" i="4"/>
  <c r="X161" i="4"/>
  <c r="X417" i="4"/>
  <c r="X149" i="4"/>
  <c r="X796" i="4"/>
  <c r="Q351" i="4"/>
  <c r="W351" i="4" s="1"/>
  <c r="Q122" i="4"/>
  <c r="W122" i="4" s="1"/>
  <c r="X452" i="4"/>
  <c r="X548" i="4"/>
  <c r="X634" i="4"/>
  <c r="X34" i="4"/>
  <c r="Q727" i="4"/>
  <c r="W727" i="4" s="1"/>
  <c r="X422" i="4"/>
  <c r="Q573" i="4"/>
  <c r="W573" i="4" s="1"/>
  <c r="Q203" i="4"/>
  <c r="W203" i="4" s="1"/>
  <c r="Q843" i="4"/>
  <c r="X271" i="4"/>
  <c r="X216" i="4"/>
  <c r="X700" i="4"/>
  <c r="X27" i="4"/>
  <c r="X696" i="4"/>
  <c r="X374" i="4"/>
  <c r="X698" i="4"/>
  <c r="Q864" i="4"/>
  <c r="X667" i="4"/>
  <c r="X932" i="4"/>
  <c r="X762" i="4"/>
  <c r="X916" i="4"/>
  <c r="Q416" i="4"/>
  <c r="W416" i="4" s="1"/>
  <c r="Q526" i="4"/>
  <c r="X311" i="4"/>
  <c r="Q540" i="4"/>
  <c r="X82" i="4"/>
  <c r="Q229" i="4"/>
  <c r="W229" i="4" s="1"/>
  <c r="Q488" i="4"/>
  <c r="W488" i="4" s="1"/>
  <c r="X284" i="4"/>
  <c r="Q581" i="4"/>
  <c r="Q338" i="4"/>
  <c r="W338" i="4" s="1"/>
  <c r="X540" i="4"/>
  <c r="X948" i="4"/>
  <c r="X425" i="4"/>
  <c r="X146" i="4"/>
  <c r="Q478" i="4"/>
  <c r="W478" i="4" s="1"/>
  <c r="Q503" i="4"/>
  <c r="W503" i="4" s="1"/>
  <c r="X379" i="4"/>
  <c r="Q485" i="4"/>
  <c r="W485" i="4" s="1"/>
  <c r="Q339" i="4"/>
  <c r="W339" i="4" s="1"/>
  <c r="Q108" i="4"/>
  <c r="W108" i="4" s="1"/>
  <c r="X49" i="4"/>
  <c r="X36" i="4"/>
  <c r="X227" i="4"/>
  <c r="Q388" i="4"/>
  <c r="W388" i="4" s="1"/>
  <c r="X580" i="4"/>
  <c r="X803" i="4"/>
  <c r="X900" i="4"/>
  <c r="X506" i="4"/>
  <c r="X98" i="4"/>
  <c r="X403" i="4"/>
  <c r="Q723" i="4"/>
  <c r="W723" i="4" s="1"/>
  <c r="X252" i="4"/>
  <c r="X874" i="4"/>
  <c r="X424" i="4"/>
  <c r="X460" i="4"/>
  <c r="Q563" i="4"/>
  <c r="W563" i="4" s="1"/>
  <c r="X242" i="4"/>
  <c r="X520" i="4"/>
  <c r="Q242" i="4"/>
  <c r="W242" i="4" s="1"/>
  <c r="Q653" i="4"/>
  <c r="W653" i="4" s="1"/>
  <c r="X938" i="4"/>
  <c r="X308" i="4"/>
  <c r="X338" i="4"/>
  <c r="X168" i="4"/>
  <c r="X908" i="4"/>
  <c r="X210" i="4"/>
  <c r="Q785" i="4"/>
  <c r="W785" i="4" s="1"/>
  <c r="X169" i="4"/>
  <c r="Q733" i="4"/>
  <c r="W733" i="4" s="1"/>
  <c r="Q779" i="4"/>
  <c r="W779" i="4" s="1"/>
  <c r="Q20" i="4"/>
  <c r="W20" i="4" s="1"/>
  <c r="X133" i="4"/>
  <c r="X136" i="4"/>
  <c r="X860" i="4"/>
  <c r="X247" i="4"/>
  <c r="X620" i="4"/>
  <c r="X71" i="4"/>
  <c r="Q616" i="4"/>
  <c r="W616" i="4" s="1"/>
  <c r="X468" i="4"/>
  <c r="Q461" i="4"/>
  <c r="W461" i="4" s="1"/>
  <c r="Q400" i="4"/>
  <c r="Q379" i="4"/>
  <c r="W379" i="4" s="1"/>
  <c r="Q635" i="4"/>
  <c r="W635" i="4" s="1"/>
  <c r="X97" i="4"/>
  <c r="X9" i="4"/>
  <c r="X251" i="4"/>
  <c r="X268" i="4"/>
  <c r="X779" i="4"/>
  <c r="X20" i="4"/>
  <c r="W148" i="4"/>
  <c r="X328" i="4"/>
  <c r="Q348" i="4"/>
  <c r="W348" i="4" s="1"/>
  <c r="Q654" i="4"/>
  <c r="W654" i="4" s="1"/>
  <c r="X603" i="4"/>
  <c r="Q316" i="4"/>
  <c r="W316" i="4" s="1"/>
  <c r="Q262" i="4"/>
  <c r="W262" i="4" s="1"/>
  <c r="Q205" i="4"/>
  <c r="W205" i="4" s="1"/>
  <c r="Q657" i="4"/>
  <c r="W657" i="4" s="1"/>
  <c r="Q869" i="4"/>
  <c r="W869" i="4" s="1"/>
  <c r="Q496" i="4"/>
  <c r="W496" i="4" s="1"/>
  <c r="Q530" i="4"/>
  <c r="W530" i="4" s="1"/>
  <c r="Q498" i="4"/>
  <c r="W498" i="4" s="1"/>
  <c r="Q234" i="4"/>
  <c r="W234" i="4" s="1"/>
  <c r="Q325" i="4"/>
  <c r="W325" i="4" s="1"/>
  <c r="Q837" i="4"/>
  <c r="Q554" i="4"/>
  <c r="W554" i="4" s="1"/>
  <c r="Q95" i="4"/>
  <c r="W95" i="4" s="1"/>
  <c r="Q757" i="4"/>
  <c r="W757" i="4" s="1"/>
  <c r="Q696" i="4"/>
  <c r="W696" i="4" s="1"/>
  <c r="Q163" i="4"/>
  <c r="W163" i="4" s="1"/>
  <c r="Q659" i="4"/>
  <c r="W659" i="4" s="1"/>
  <c r="Q349" i="4"/>
  <c r="W349" i="4" s="1"/>
  <c r="Q462" i="4"/>
  <c r="Q403" i="4"/>
  <c r="W403" i="4" s="1"/>
  <c r="Q668" i="4"/>
  <c r="W668" i="4" s="1"/>
  <c r="Q231" i="4"/>
  <c r="W231" i="4" s="1"/>
  <c r="Q359" i="4"/>
  <c r="W359" i="4" s="1"/>
  <c r="Q487" i="4"/>
  <c r="W487" i="4" s="1"/>
  <c r="Q695" i="4"/>
  <c r="W695" i="4" s="1"/>
  <c r="Q155" i="4"/>
  <c r="W155" i="4" s="1"/>
  <c r="Q734" i="4"/>
  <c r="Q781" i="4"/>
  <c r="W781" i="4" s="1"/>
  <c r="Q443" i="4"/>
  <c r="W443" i="4" s="1"/>
  <c r="Q699" i="4"/>
  <c r="W699" i="4" s="1"/>
  <c r="Q774" i="4"/>
  <c r="W774" i="4" s="1"/>
  <c r="Q146" i="4"/>
  <c r="W146" i="4" s="1"/>
  <c r="Q258" i="4"/>
  <c r="W258" i="4" s="1"/>
  <c r="Q552" i="4"/>
  <c r="W552" i="4" s="1"/>
  <c r="Q27" i="4"/>
  <c r="W27" i="4" s="1"/>
  <c r="Q364" i="4"/>
  <c r="W364" i="4" s="1"/>
  <c r="Q689" i="4"/>
  <c r="W689" i="4" s="1"/>
  <c r="Q817" i="4"/>
  <c r="Q945" i="4"/>
  <c r="W945" i="4" s="1"/>
  <c r="Q408" i="4"/>
  <c r="W408" i="4" s="1"/>
  <c r="Q794" i="4"/>
  <c r="W794" i="4" s="1"/>
  <c r="Q480" i="4"/>
  <c r="W480" i="4" s="1"/>
  <c r="Q860" i="4"/>
  <c r="W860" i="4" s="1"/>
  <c r="Q335" i="4"/>
  <c r="W335" i="4" s="1"/>
  <c r="Q531" i="4"/>
  <c r="W531" i="4" s="1"/>
  <c r="Q200" i="4"/>
  <c r="W200" i="4" s="1"/>
  <c r="Q521" i="4"/>
  <c r="W521" i="4" s="1"/>
  <c r="Q775" i="4"/>
  <c r="W775" i="4" s="1"/>
  <c r="Q119" i="4"/>
  <c r="W119" i="4" s="1"/>
  <c r="Q342" i="4"/>
  <c r="Q362" i="4"/>
  <c r="W362" i="4" s="1"/>
  <c r="Q365" i="4"/>
  <c r="W365" i="4" s="1"/>
  <c r="Q877" i="4"/>
  <c r="W877" i="4" s="1"/>
  <c r="Q77" i="4"/>
  <c r="Q368" i="4"/>
  <c r="W368" i="4" s="1"/>
  <c r="Q115" i="4"/>
  <c r="W115" i="4" s="1"/>
  <c r="Q594" i="4"/>
  <c r="W594" i="4" s="1"/>
  <c r="Q352" i="4"/>
  <c r="W352" i="4" s="1"/>
  <c r="Q147" i="4"/>
  <c r="W147" i="4" s="1"/>
  <c r="Q238" i="4"/>
  <c r="W238" i="4" s="1"/>
  <c r="Q345" i="4"/>
  <c r="W345" i="4" s="1"/>
  <c r="Q601" i="4"/>
  <c r="W601" i="4" s="1"/>
  <c r="Q321" i="4"/>
  <c r="W321" i="4" s="1"/>
  <c r="Q449" i="4"/>
  <c r="W449" i="4" s="1"/>
  <c r="Q577" i="4"/>
  <c r="W577" i="4" s="1"/>
  <c r="Q705" i="4"/>
  <c r="Q906" i="4"/>
  <c r="Q931" i="4"/>
  <c r="Q870" i="4"/>
  <c r="W870" i="4" s="1"/>
  <c r="Q605" i="4"/>
  <c r="W605" i="4" s="1"/>
  <c r="Q523" i="4"/>
  <c r="W523" i="4" s="1"/>
  <c r="Q322" i="4"/>
  <c r="W322" i="4" s="1"/>
  <c r="Q482" i="4"/>
  <c r="W482" i="4" s="1"/>
  <c r="Q42" i="4"/>
  <c r="W42" i="4" s="1"/>
  <c r="Q253" i="4"/>
  <c r="W253" i="4" s="1"/>
  <c r="Q448" i="4"/>
  <c r="W448" i="4" s="1"/>
  <c r="Q704" i="4"/>
  <c r="W704" i="4" s="1"/>
  <c r="Q171" i="4"/>
  <c r="W171" i="4" s="1"/>
  <c r="Q683" i="4"/>
  <c r="W683" i="4" s="1"/>
  <c r="Q939" i="4"/>
  <c r="W939" i="4" s="1"/>
  <c r="Q164" i="4"/>
  <c r="W164" i="4" s="1"/>
  <c r="Q179" i="4"/>
  <c r="W179" i="4" s="1"/>
  <c r="Q691" i="4"/>
  <c r="W691" i="4" s="1"/>
  <c r="Q630" i="4"/>
  <c r="W630" i="4" s="1"/>
  <c r="Q459" i="4"/>
  <c r="W459" i="4" s="1"/>
  <c r="X15" i="4"/>
  <c r="Q936" i="4"/>
  <c r="X95" i="4"/>
  <c r="X668" i="4"/>
  <c r="X904" i="4"/>
  <c r="Q786" i="4"/>
  <c r="Q638" i="4"/>
  <c r="W638" i="4" s="1"/>
  <c r="Q728" i="4"/>
  <c r="W728" i="4" s="1"/>
  <c r="Q451" i="4"/>
  <c r="W451" i="4" s="1"/>
  <c r="X114" i="4"/>
  <c r="X402" i="4"/>
  <c r="Q570" i="4"/>
  <c r="W570" i="4" s="1"/>
  <c r="X123" i="4"/>
  <c r="X731" i="4"/>
  <c r="Q272" i="4"/>
  <c r="W272" i="4" s="1"/>
  <c r="X88" i="4"/>
  <c r="Q182" i="4"/>
  <c r="W182" i="4" s="1"/>
  <c r="Q562" i="4"/>
  <c r="W562" i="4" s="1"/>
  <c r="X404" i="4"/>
  <c r="Q597" i="4"/>
  <c r="W597" i="4" s="1"/>
  <c r="X920" i="4"/>
  <c r="Q643" i="4"/>
  <c r="W643" i="4" s="1"/>
  <c r="X117" i="4"/>
  <c r="Q759" i="4"/>
  <c r="W759" i="4" s="1"/>
  <c r="X183" i="4"/>
  <c r="Q808" i="4"/>
  <c r="W808" i="4" s="1"/>
  <c r="Q380" i="4"/>
  <c r="W380" i="4" s="1"/>
  <c r="X764" i="4"/>
  <c r="Q656" i="4"/>
  <c r="W656" i="4" s="1"/>
  <c r="Q935" i="4"/>
  <c r="W935" i="4" s="1"/>
  <c r="Q752" i="4"/>
  <c r="Q204" i="4"/>
  <c r="W204" i="4" s="1"/>
  <c r="Q694" i="4"/>
  <c r="W694" i="4" s="1"/>
  <c r="Q442" i="4"/>
  <c r="W442" i="4" s="1"/>
  <c r="Q732" i="4"/>
  <c r="W732" i="4" s="1"/>
  <c r="Q341" i="4"/>
  <c r="W341" i="4" s="1"/>
  <c r="Q52" i="4"/>
  <c r="W52" i="4" s="1"/>
  <c r="Q618" i="4"/>
  <c r="W618" i="4" s="1"/>
  <c r="Q15" i="4"/>
  <c r="Q81" i="4"/>
  <c r="Q337" i="4"/>
  <c r="W337" i="4" s="1"/>
  <c r="Q465" i="4"/>
  <c r="Q252" i="4"/>
  <c r="W252" i="4" s="1"/>
  <c r="Q575" i="4"/>
  <c r="W575" i="4" s="1"/>
  <c r="Q109" i="4"/>
  <c r="W109" i="4" s="1"/>
  <c r="Q168" i="4"/>
  <c r="W168" i="4" s="1"/>
  <c r="Q29" i="4"/>
  <c r="Q312" i="4"/>
  <c r="W312" i="4" s="1"/>
  <c r="Q97" i="4"/>
  <c r="Q127" i="4"/>
  <c r="Q383" i="4"/>
  <c r="W383" i="4" s="1"/>
  <c r="Q783" i="4"/>
  <c r="W783" i="4" s="1"/>
  <c r="Q946" i="4"/>
  <c r="Q373" i="4"/>
  <c r="Q565" i="4"/>
  <c r="W565" i="4" s="1"/>
  <c r="Q504" i="4"/>
  <c r="W504" i="4" s="1"/>
  <c r="Q761" i="4"/>
  <c r="Q227" i="4"/>
  <c r="W227" i="4" s="1"/>
  <c r="Q483" i="4"/>
  <c r="W483" i="4" s="1"/>
  <c r="Q739" i="4"/>
  <c r="W739" i="4" s="1"/>
  <c r="Q934" i="4"/>
  <c r="W934" i="4" s="1"/>
  <c r="Q776" i="4"/>
  <c r="W776" i="4" s="1"/>
  <c r="Q499" i="4"/>
  <c r="W499" i="4" s="1"/>
  <c r="Q165" i="4"/>
  <c r="W165" i="4" s="1"/>
  <c r="Q424" i="4"/>
  <c r="Q508" i="4"/>
  <c r="Q612" i="4"/>
  <c r="W612" i="4" s="1"/>
  <c r="Q878" i="4"/>
  <c r="W878" i="4" s="1"/>
  <c r="Q587" i="4"/>
  <c r="W587" i="4" s="1"/>
  <c r="Q796" i="4"/>
  <c r="W796" i="4" s="1"/>
  <c r="Q135" i="4"/>
  <c r="W135" i="4" s="1"/>
  <c r="Q263" i="4"/>
  <c r="W263" i="4" s="1"/>
  <c r="Q543" i="4"/>
  <c r="X127" i="4"/>
  <c r="X448" i="4"/>
  <c r="X529" i="4"/>
  <c r="X351" i="4"/>
  <c r="X102" i="4"/>
  <c r="X558" i="4"/>
  <c r="X822" i="4"/>
  <c r="X6" i="4"/>
  <c r="X718" i="4"/>
  <c r="X801" i="4"/>
  <c r="X545" i="4"/>
  <c r="X287" i="4"/>
  <c r="X304" i="4"/>
  <c r="X546" i="4"/>
  <c r="X527" i="4"/>
  <c r="X711" i="4"/>
  <c r="X823" i="4"/>
  <c r="X896" i="4"/>
  <c r="X781" i="4"/>
  <c r="X754" i="4"/>
  <c r="X498" i="4"/>
  <c r="X640" i="4"/>
  <c r="X496" i="4"/>
  <c r="X879" i="4"/>
  <c r="X703" i="4"/>
  <c r="X197" i="4"/>
  <c r="X565" i="4"/>
  <c r="X653" i="4"/>
  <c r="X789" i="4"/>
  <c r="X262" i="4"/>
  <c r="X472" i="4"/>
  <c r="X497" i="4"/>
  <c r="X63" i="4"/>
  <c r="X880" i="4"/>
  <c r="X471" i="4"/>
  <c r="X398" i="4"/>
  <c r="X614" i="4"/>
  <c r="X734" i="4"/>
  <c r="X942" i="4"/>
  <c r="X769" i="4"/>
  <c r="X513" i="4"/>
  <c r="X181" i="4"/>
  <c r="X839" i="4"/>
  <c r="X864" i="4"/>
  <c r="X885" i="4"/>
  <c r="X722" i="4"/>
  <c r="X895" i="4"/>
  <c r="X326" i="4"/>
  <c r="X407" i="4"/>
  <c r="X799" i="4"/>
  <c r="X560" i="4"/>
  <c r="X639" i="4"/>
  <c r="X173" i="4"/>
  <c r="X31" i="4"/>
  <c r="X721" i="4"/>
  <c r="X531" i="4"/>
  <c r="X595" i="4"/>
  <c r="X659" i="4"/>
  <c r="X723" i="4"/>
  <c r="X787" i="4"/>
  <c r="X851" i="4"/>
  <c r="X915" i="4"/>
  <c r="X848" i="4"/>
  <c r="X903" i="4"/>
  <c r="X174" i="4"/>
  <c r="X438" i="4"/>
  <c r="X590" i="4"/>
  <c r="X726" i="4"/>
  <c r="X854" i="4"/>
  <c r="X630" i="4"/>
  <c r="X750" i="4"/>
  <c r="X878" i="4"/>
  <c r="X950" i="4"/>
  <c r="X737" i="4"/>
  <c r="X936" i="4"/>
  <c r="X176" i="4"/>
  <c r="X479" i="4"/>
  <c r="X519" i="4"/>
  <c r="X743" i="4"/>
  <c r="X855" i="4"/>
  <c r="X535" i="4"/>
  <c r="X365" i="4"/>
  <c r="X946" i="4"/>
  <c r="X690" i="4"/>
  <c r="X415" i="4"/>
  <c r="X528" i="4"/>
  <c r="X815" i="4"/>
  <c r="X376" i="4"/>
  <c r="X414" i="4"/>
  <c r="X816" i="4"/>
  <c r="X832" i="4"/>
  <c r="X462" i="4"/>
  <c r="X606" i="4"/>
  <c r="X870" i="4"/>
  <c r="X646" i="4"/>
  <c r="X766" i="4"/>
  <c r="X783" i="4"/>
  <c r="X705" i="4"/>
  <c r="X368" i="4"/>
  <c r="X706" i="4"/>
  <c r="X437" i="4"/>
  <c r="X871" i="4"/>
  <c r="X768" i="4"/>
  <c r="X551" i="4"/>
  <c r="X189" i="4"/>
  <c r="X381" i="4"/>
  <c r="X455" i="4"/>
  <c r="X751" i="4"/>
  <c r="X847" i="4"/>
  <c r="X655" i="4"/>
  <c r="X391" i="4"/>
  <c r="X261" i="4"/>
  <c r="X429" i="4"/>
  <c r="X661" i="4"/>
  <c r="X685" i="4"/>
  <c r="X773" i="4"/>
  <c r="X797" i="4"/>
  <c r="X861" i="4"/>
  <c r="X48" i="4"/>
  <c r="X384" i="4"/>
  <c r="X657" i="4"/>
  <c r="X784" i="4"/>
  <c r="X39" i="4"/>
  <c r="X38" i="4"/>
  <c r="X494" i="4"/>
  <c r="X622" i="4"/>
  <c r="X758" i="4"/>
  <c r="X894" i="4"/>
  <c r="X782" i="4"/>
  <c r="X902" i="4"/>
  <c r="X929" i="4"/>
  <c r="X673" i="4"/>
  <c r="X392" i="4"/>
  <c r="X930" i="4"/>
  <c r="X674" i="4"/>
  <c r="X775" i="4"/>
  <c r="X887" i="4"/>
  <c r="X736" i="4"/>
  <c r="X583" i="4"/>
  <c r="X575" i="4"/>
  <c r="X413" i="4"/>
  <c r="X687" i="4"/>
  <c r="X735" i="4"/>
  <c r="X591" i="4"/>
  <c r="X327" i="4"/>
  <c r="X432" i="4"/>
  <c r="X237" i="4"/>
  <c r="X325" i="4"/>
  <c r="X485" i="4"/>
  <c r="X533" i="4"/>
  <c r="X503" i="4"/>
  <c r="X625" i="4"/>
  <c r="X486" i="4"/>
  <c r="X875" i="4"/>
  <c r="X624" i="4"/>
  <c r="X93" i="4"/>
  <c r="X833" i="4"/>
  <c r="X647" i="4"/>
  <c r="X928" i="4"/>
  <c r="X264" i="4"/>
  <c r="X277" i="4"/>
  <c r="X562" i="4"/>
  <c r="X495" i="4"/>
  <c r="X544" i="4"/>
  <c r="X511" i="4"/>
  <c r="X933" i="4"/>
  <c r="X605" i="4"/>
  <c r="X749" i="4"/>
  <c r="X805" i="4"/>
  <c r="X709" i="4"/>
  <c r="X627" i="4"/>
  <c r="X717" i="4"/>
  <c r="X184" i="4"/>
  <c r="X752" i="4"/>
  <c r="X301" i="4"/>
  <c r="X621" i="4"/>
  <c r="X893" i="4"/>
  <c r="X280" i="4"/>
  <c r="X171" i="4"/>
  <c r="X702" i="4"/>
  <c r="X629" i="4"/>
  <c r="X623" i="4"/>
  <c r="X397" i="4"/>
  <c r="X935" i="4"/>
  <c r="X593" i="4"/>
  <c r="X555" i="4"/>
  <c r="X883" i="4"/>
  <c r="X302" i="4"/>
  <c r="X406" i="4"/>
  <c r="X806" i="4"/>
  <c r="X641" i="4"/>
  <c r="X834" i="4"/>
  <c r="X679" i="4"/>
  <c r="X704" i="4"/>
  <c r="X445" i="4"/>
  <c r="X530" i="4"/>
  <c r="X671" i="4"/>
  <c r="X390" i="4"/>
  <c r="X165" i="4"/>
  <c r="X269" i="4"/>
  <c r="X581" i="4"/>
  <c r="X829" i="4"/>
  <c r="X877" i="4"/>
  <c r="X901" i="4"/>
  <c r="X925" i="4"/>
  <c r="X949" i="4"/>
  <c r="X694" i="4"/>
  <c r="X296" i="4"/>
  <c r="X919" i="4"/>
  <c r="X663" i="4"/>
  <c r="X441" i="4"/>
  <c r="X767" i="4"/>
  <c r="X333" i="4"/>
  <c r="X821" i="4"/>
  <c r="X917" i="4"/>
  <c r="X720" i="4"/>
  <c r="X568" i="4"/>
  <c r="X831" i="4"/>
  <c r="X493" i="4"/>
  <c r="X561" i="4"/>
  <c r="X563" i="4"/>
  <c r="X747" i="4"/>
  <c r="X342" i="4"/>
  <c r="X798" i="4"/>
  <c r="X550" i="4"/>
  <c r="X609" i="4"/>
  <c r="X642" i="4"/>
  <c r="X695" i="4"/>
  <c r="X576" i="4"/>
  <c r="X200" i="4"/>
  <c r="X607" i="4"/>
  <c r="X501" i="4"/>
  <c r="X557" i="4"/>
  <c r="X811" i="4"/>
  <c r="X741" i="4"/>
  <c r="X46" i="4"/>
  <c r="X638" i="4"/>
  <c r="X70" i="4"/>
  <c r="X943" i="4"/>
  <c r="X517" i="4"/>
  <c r="X78" i="4"/>
  <c r="X334" i="4"/>
  <c r="X898" i="4"/>
  <c r="X951" i="4"/>
  <c r="X608" i="4"/>
  <c r="X525" i="4"/>
  <c r="X719" i="4"/>
  <c r="X416" i="4"/>
  <c r="X755" i="4"/>
  <c r="X103" i="4"/>
  <c r="X510" i="4"/>
  <c r="X814" i="4"/>
  <c r="X566" i="4"/>
  <c r="X910" i="4"/>
  <c r="X577" i="4"/>
  <c r="X610" i="4"/>
  <c r="X791" i="4"/>
  <c r="X677" i="4"/>
  <c r="X543" i="4"/>
  <c r="X431" i="4"/>
  <c r="X512" i="4"/>
  <c r="X357" i="4"/>
  <c r="X589" i="4"/>
  <c r="X613" i="4"/>
  <c r="X637" i="4"/>
  <c r="X757" i="4"/>
  <c r="X813" i="4"/>
  <c r="X909" i="4"/>
  <c r="X160" i="4"/>
  <c r="X245" i="4"/>
  <c r="X235" i="4"/>
  <c r="X355" i="4"/>
  <c r="X944" i="4"/>
  <c r="X134" i="4"/>
  <c r="X222" i="4"/>
  <c r="X678" i="4"/>
  <c r="X926" i="4"/>
  <c r="X272" i="4"/>
  <c r="X409" i="4"/>
  <c r="X863" i="4"/>
  <c r="X56" i="4"/>
  <c r="X159" i="4"/>
  <c r="X491" i="4"/>
  <c r="X819" i="4"/>
  <c r="X786" i="4"/>
  <c r="X399" i="4"/>
  <c r="X499" i="4"/>
  <c r="X86" i="4"/>
  <c r="X559" i="4"/>
  <c r="X461" i="4"/>
  <c r="X701" i="4"/>
  <c r="X440" i="4"/>
  <c r="X309" i="4"/>
  <c r="X619" i="4"/>
  <c r="X947" i="4"/>
  <c r="X190" i="4"/>
  <c r="X350" i="4"/>
  <c r="X240" i="4"/>
  <c r="X578" i="4"/>
  <c r="X807" i="4"/>
  <c r="X615" i="4"/>
  <c r="X850" i="4"/>
  <c r="X688" i="4"/>
  <c r="X198" i="4"/>
  <c r="X199" i="4"/>
  <c r="X927" i="4"/>
  <c r="X389" i="4"/>
  <c r="X453" i="4"/>
  <c r="X693" i="4"/>
  <c r="X837" i="4"/>
  <c r="X7" i="4"/>
  <c r="X395" i="4"/>
  <c r="X542" i="4"/>
  <c r="X824" i="4"/>
  <c r="X349" i="4"/>
  <c r="X481" i="4"/>
  <c r="X83" i="4"/>
  <c r="X897" i="4"/>
  <c r="X223" i="4"/>
  <c r="X439" i="4"/>
  <c r="X645" i="4"/>
  <c r="X941" i="4"/>
  <c r="X865" i="4"/>
  <c r="X856" i="4"/>
  <c r="X845" i="4"/>
  <c r="X294" i="4"/>
  <c r="X601" i="4"/>
  <c r="Q62" i="4"/>
  <c r="W62" i="4" s="1"/>
  <c r="X905" i="4"/>
  <c r="Q386" i="4"/>
  <c r="W386" i="4" s="1"/>
  <c r="Q589" i="4"/>
  <c r="W589" i="4" s="1"/>
  <c r="Q784" i="4"/>
  <c r="W784" i="4" s="1"/>
  <c r="Q251" i="4"/>
  <c r="W251" i="4" s="1"/>
  <c r="Q507" i="4"/>
  <c r="W507" i="4" s="1"/>
  <c r="Q446" i="4"/>
  <c r="W446" i="4" s="1"/>
  <c r="Q902" i="4"/>
  <c r="Q220" i="4"/>
  <c r="W220" i="4" s="1"/>
  <c r="Q178" i="4"/>
  <c r="W178" i="4" s="1"/>
  <c r="X466" i="4"/>
  <c r="Q872" i="4"/>
  <c r="Q598" i="4"/>
  <c r="W598" i="4" s="1"/>
  <c r="X124" i="4"/>
  <c r="X732" i="4"/>
  <c r="X89" i="4"/>
  <c r="X842" i="4"/>
  <c r="X400" i="4"/>
  <c r="Q405" i="4"/>
  <c r="X724" i="4"/>
  <c r="Q536" i="4"/>
  <c r="W536" i="4" s="1"/>
  <c r="Q259" i="4"/>
  <c r="W259" i="4" s="1"/>
  <c r="X643" i="4"/>
  <c r="X289" i="4"/>
  <c r="X92" i="4"/>
  <c r="Q636" i="4"/>
  <c r="W636" i="4" s="1"/>
  <c r="X370" i="4"/>
  <c r="Q221" i="4"/>
  <c r="W221" i="4" s="1"/>
  <c r="Q96" i="4"/>
  <c r="W96" i="4" s="1"/>
  <c r="Q356" i="4"/>
  <c r="W356" i="4" s="1"/>
  <c r="Q421" i="4"/>
  <c r="W421" i="4" s="1"/>
  <c r="X808" i="4"/>
  <c r="X380" i="4"/>
  <c r="Q862" i="4"/>
  <c r="W862" i="4" s="1"/>
  <c r="Q418" i="4"/>
  <c r="Q634" i="4"/>
  <c r="W634" i="4" s="1"/>
  <c r="Q533" i="4"/>
  <c r="Q519" i="4"/>
  <c r="W519" i="4" s="1"/>
  <c r="Q840" i="4"/>
  <c r="Q751" i="4"/>
  <c r="W751" i="4" s="1"/>
  <c r="Q138" i="4"/>
  <c r="Q564" i="4"/>
  <c r="W564" i="4" s="1"/>
  <c r="Q329" i="4"/>
  <c r="Q551" i="4"/>
  <c r="W551" i="4" s="1"/>
  <c r="Q941" i="4"/>
  <c r="Q116" i="4"/>
  <c r="W116" i="4" s="1"/>
  <c r="Q121" i="4"/>
  <c r="W121" i="4" s="1"/>
  <c r="Q505" i="4"/>
  <c r="W505" i="4" s="1"/>
  <c r="Q889" i="4"/>
  <c r="W889" i="4" s="1"/>
  <c r="Q647" i="4"/>
  <c r="Q133" i="4"/>
  <c r="W133" i="4" s="1"/>
  <c r="Q225" i="4"/>
  <c r="W225" i="4" s="1"/>
  <c r="Q353" i="4"/>
  <c r="W353" i="4" s="1"/>
  <c r="Q481" i="4"/>
  <c r="W481" i="4" s="1"/>
  <c r="Q737" i="4"/>
  <c r="W737" i="4" s="1"/>
  <c r="Q578" i="4"/>
  <c r="W578" i="4" s="1"/>
  <c r="Q861" i="4"/>
  <c r="W861" i="4" s="1"/>
  <c r="Q740" i="4"/>
  <c r="W740" i="4" s="1"/>
  <c r="Q452" i="4"/>
  <c r="W452" i="4" s="1"/>
  <c r="Q791" i="4"/>
  <c r="Q317" i="4"/>
  <c r="W317" i="4" s="1"/>
  <c r="Q512" i="4"/>
  <c r="Q768" i="4"/>
  <c r="W768" i="4" s="1"/>
  <c r="Q235" i="4"/>
  <c r="W235" i="4" s="1"/>
  <c r="Q491" i="4"/>
  <c r="W491" i="4" s="1"/>
  <c r="Q747" i="4"/>
  <c r="Q430" i="4"/>
  <c r="W430" i="4" s="1"/>
  <c r="Q686" i="4"/>
  <c r="W686" i="4" s="1"/>
  <c r="Q302" i="4"/>
  <c r="W302" i="4" s="1"/>
  <c r="Q500" i="4"/>
  <c r="W500" i="4" s="1"/>
  <c r="Q444" i="4"/>
  <c r="W444" i="4" s="1"/>
  <c r="Q584" i="4"/>
  <c r="W584" i="4" s="1"/>
  <c r="Q307" i="4"/>
  <c r="W307" i="4" s="1"/>
  <c r="Q758" i="4"/>
  <c r="W758" i="4" s="1"/>
  <c r="X295" i="4"/>
  <c r="Q797" i="4"/>
  <c r="Q186" i="4"/>
  <c r="Q595" i="4"/>
  <c r="W595" i="4" s="1"/>
  <c r="X54" i="4"/>
  <c r="Q236" i="4"/>
  <c r="W236" i="4" s="1"/>
  <c r="X776" i="4"/>
  <c r="Q538" i="4"/>
  <c r="W538" i="4" s="1"/>
  <c r="Q858" i="4"/>
  <c r="W858" i="4" s="1"/>
  <c r="Q702" i="4"/>
  <c r="W702" i="4" s="1"/>
  <c r="Q856" i="4"/>
  <c r="W856" i="4" s="1"/>
  <c r="Q579" i="4"/>
  <c r="W579" i="4" s="1"/>
  <c r="Q53" i="4"/>
  <c r="W53" i="4" s="1"/>
  <c r="Q887" i="4"/>
  <c r="W887" i="4" s="1"/>
  <c r="Q413" i="4"/>
  <c r="Q267" i="4"/>
  <c r="W267" i="4" s="1"/>
  <c r="Q100" i="4"/>
  <c r="W100" i="4" s="1"/>
  <c r="X729" i="4"/>
  <c r="Q293" i="4"/>
  <c r="W293" i="4" s="1"/>
  <c r="X187" i="4"/>
  <c r="X763" i="4"/>
  <c r="Q254" i="4"/>
  <c r="W254" i="4" s="1"/>
  <c r="X714" i="4"/>
  <c r="Q246" i="4"/>
  <c r="Q666" i="4"/>
  <c r="W666" i="4" s="1"/>
  <c r="Q213" i="4"/>
  <c r="W213" i="4" s="1"/>
  <c r="X259" i="4"/>
  <c r="Q771" i="4"/>
  <c r="W771" i="4" s="1"/>
  <c r="X710" i="4"/>
  <c r="Q278" i="4"/>
  <c r="W278" i="4" s="1"/>
  <c r="Q180" i="4"/>
  <c r="W180" i="4" s="1"/>
  <c r="X433" i="4"/>
  <c r="X800" i="4"/>
  <c r="X96" i="4"/>
  <c r="Q549" i="4"/>
  <c r="W549" i="4" s="1"/>
  <c r="Q211" i="4"/>
  <c r="W211" i="4" s="1"/>
  <c r="Q476" i="4"/>
  <c r="X923" i="4"/>
  <c r="X841" i="4"/>
  <c r="X449" i="4"/>
  <c r="Q80" i="4"/>
  <c r="W80" i="4" s="1"/>
  <c r="Q814" i="4"/>
  <c r="Q502" i="4"/>
  <c r="W502" i="4" s="1"/>
  <c r="Q110" i="4"/>
  <c r="Q495" i="4"/>
  <c r="W495" i="4" s="1"/>
  <c r="Q143" i="4"/>
  <c r="W143" i="4" s="1"/>
  <c r="Q209" i="4"/>
  <c r="W209" i="4" s="1"/>
  <c r="Q320" i="4"/>
  <c r="W320" i="4" s="1"/>
  <c r="Q73" i="4"/>
  <c r="W73" i="4" s="1"/>
  <c r="Q201" i="4"/>
  <c r="W201" i="4" s="1"/>
  <c r="Q807" i="4"/>
  <c r="W807" i="4" s="1"/>
  <c r="Q698" i="4"/>
  <c r="W698" i="4" s="1"/>
  <c r="Q284" i="4"/>
  <c r="W284" i="4" s="1"/>
  <c r="Q756" i="4"/>
  <c r="W756" i="4" s="1"/>
  <c r="Q208" i="4"/>
  <c r="W208" i="4" s="1"/>
  <c r="Q633" i="4"/>
  <c r="W633" i="4" s="1"/>
  <c r="Q170" i="4"/>
  <c r="W170" i="4" s="1"/>
  <c r="Q303" i="4"/>
  <c r="W303" i="4" s="1"/>
  <c r="Q431" i="4"/>
  <c r="W431" i="4" s="1"/>
  <c r="Q623" i="4"/>
  <c r="W623" i="4" s="1"/>
  <c r="Q879" i="4"/>
  <c r="Q314" i="4"/>
  <c r="W314" i="4" s="1"/>
  <c r="Q224" i="4"/>
  <c r="W224" i="4" s="1"/>
  <c r="Q350" i="4"/>
  <c r="W350" i="4" s="1"/>
  <c r="Q241" i="4"/>
  <c r="W241" i="4" s="1"/>
  <c r="Q369" i="4"/>
  <c r="W369" i="4" s="1"/>
  <c r="Q497" i="4"/>
  <c r="W497" i="4" s="1"/>
  <c r="Q625" i="4"/>
  <c r="W625" i="4" s="1"/>
  <c r="Q46" i="4"/>
  <c r="W46" i="4" s="1"/>
  <c r="Q532" i="4"/>
  <c r="W532" i="4" s="1"/>
  <c r="Q124" i="4"/>
  <c r="Q311" i="4"/>
  <c r="W311" i="4" s="1"/>
  <c r="Q197" i="4"/>
  <c r="W197" i="4" s="1"/>
  <c r="Q287" i="4"/>
  <c r="W287" i="4" s="1"/>
  <c r="Q626" i="4"/>
  <c r="W626" i="4" s="1"/>
  <c r="Q629" i="4"/>
  <c r="W629" i="4" s="1"/>
  <c r="Q568" i="4"/>
  <c r="W568" i="4" s="1"/>
  <c r="Q824" i="4"/>
  <c r="Q547" i="4"/>
  <c r="W547" i="4" s="1"/>
  <c r="Q803" i="4"/>
  <c r="W803" i="4" s="1"/>
  <c r="Q486" i="4"/>
  <c r="W486" i="4" s="1"/>
  <c r="Q274" i="4"/>
  <c r="W274" i="4" s="1"/>
  <c r="Q357" i="4"/>
  <c r="W357" i="4" s="1"/>
  <c r="Q726" i="4"/>
  <c r="W726" i="4" s="1"/>
  <c r="Q606" i="4"/>
  <c r="W606" i="4" s="1"/>
  <c r="Q21" i="4"/>
  <c r="Q645" i="4"/>
  <c r="X194" i="4"/>
  <c r="X167" i="4"/>
  <c r="Q778" i="4"/>
  <c r="W778" i="4" s="1"/>
  <c r="Q354" i="4"/>
  <c r="W354" i="4" s="1"/>
  <c r="Q715" i="4"/>
  <c r="W715" i="4" s="1"/>
  <c r="Q741" i="4"/>
  <c r="W741" i="4" s="1"/>
  <c r="X444" i="4"/>
  <c r="X859" i="4"/>
  <c r="X291" i="4"/>
  <c r="X61" i="4"/>
  <c r="X207" i="4"/>
  <c r="Q39" i="4"/>
  <c r="Q167" i="4"/>
  <c r="W167" i="4" s="1"/>
  <c r="Q295" i="4"/>
  <c r="W295" i="4" s="1"/>
  <c r="Q423" i="4"/>
  <c r="W423" i="4" s="1"/>
  <c r="Q607" i="4"/>
  <c r="W607" i="4" s="1"/>
  <c r="Q863" i="4"/>
  <c r="W863" i="4" s="1"/>
  <c r="X28" i="4"/>
  <c r="X224" i="4"/>
  <c r="X777" i="4"/>
  <c r="X443" i="4"/>
  <c r="Q397" i="4"/>
  <c r="W397" i="4" s="1"/>
  <c r="Q909" i="4"/>
  <c r="Q592" i="4"/>
  <c r="W592" i="4" s="1"/>
  <c r="Q315" i="4"/>
  <c r="W315" i="4" s="1"/>
  <c r="Q571" i="4"/>
  <c r="W571" i="4" s="1"/>
  <c r="Q308" i="4"/>
  <c r="W308" i="4" s="1"/>
  <c r="X305" i="4"/>
  <c r="Q286" i="4"/>
  <c r="W286" i="4" s="1"/>
  <c r="Q275" i="4"/>
  <c r="W275" i="4" s="1"/>
  <c r="X188" i="4"/>
  <c r="X892" i="4"/>
  <c r="X788" i="4"/>
  <c r="X192" i="4"/>
  <c r="X940" i="4"/>
  <c r="X396" i="4"/>
  <c r="X388" i="4"/>
  <c r="X820" i="4"/>
  <c r="X596" i="4"/>
  <c r="Q123" i="4"/>
  <c r="W123" i="4" s="1"/>
  <c r="Q586" i="4"/>
  <c r="W586" i="4" s="1"/>
  <c r="X246" i="4"/>
  <c r="Q210" i="4"/>
  <c r="W210" i="4" s="1"/>
  <c r="Q714" i="4"/>
  <c r="W714" i="4" s="1"/>
  <c r="X213" i="4"/>
  <c r="Q469" i="4"/>
  <c r="W469" i="4" s="1"/>
  <c r="Q725" i="4"/>
  <c r="W725" i="4" s="1"/>
  <c r="Q664" i="4"/>
  <c r="W664" i="4" s="1"/>
  <c r="Q387" i="4"/>
  <c r="W387" i="4" s="1"/>
  <c r="X278" i="4"/>
  <c r="X180" i="4"/>
  <c r="X434" i="4"/>
  <c r="Q256" i="4"/>
  <c r="W256" i="4" s="1"/>
  <c r="Q780" i="4"/>
  <c r="W780" i="4" s="1"/>
  <c r="X475" i="4"/>
  <c r="X313" i="4"/>
  <c r="X571" i="4"/>
  <c r="Q191" i="4"/>
  <c r="W191" i="4" s="1"/>
  <c r="Q192" i="4"/>
  <c r="Q717" i="4"/>
  <c r="W717" i="4" s="1"/>
  <c r="Q117" i="4"/>
  <c r="Q928" i="4"/>
  <c r="Q658" i="4"/>
  <c r="W658" i="4" s="1"/>
  <c r="Q890" i="4"/>
  <c r="Q232" i="4"/>
  <c r="W232" i="4" s="1"/>
  <c r="Q455" i="4"/>
  <c r="Q489" i="4"/>
  <c r="W489" i="4" s="1"/>
  <c r="Q617" i="4"/>
  <c r="W617" i="4" s="1"/>
  <c r="Q324" i="4"/>
  <c r="W324" i="4" s="1"/>
  <c r="Q871" i="4"/>
  <c r="W871" i="4" s="1"/>
  <c r="Q688" i="4"/>
  <c r="W688" i="4" s="1"/>
  <c r="Q156" i="4"/>
  <c r="Q54" i="4"/>
  <c r="Q25" i="4"/>
  <c r="W25" i="4" s="1"/>
  <c r="Q281" i="4"/>
  <c r="W281" i="4" s="1"/>
  <c r="Q409" i="4"/>
  <c r="W409" i="4" s="1"/>
  <c r="Q665" i="4"/>
  <c r="W665" i="4" s="1"/>
  <c r="Q921" i="4"/>
  <c r="Q385" i="4"/>
  <c r="W385" i="4" s="1"/>
  <c r="Q641" i="4"/>
  <c r="W641" i="4" s="1"/>
  <c r="Q769" i="4"/>
  <c r="W769" i="4" s="1"/>
  <c r="Q897" i="4"/>
  <c r="Q522" i="4"/>
  <c r="W522" i="4" s="1"/>
  <c r="Q266" i="4"/>
  <c r="W266" i="4" s="1"/>
  <c r="Q627" i="4"/>
  <c r="W627" i="4" s="1"/>
  <c r="Q566" i="4"/>
  <c r="W566" i="4" s="1"/>
  <c r="Q134" i="4"/>
  <c r="W134" i="4" s="1"/>
  <c r="Q226" i="4"/>
  <c r="W226" i="4" s="1"/>
  <c r="Q855" i="4"/>
  <c r="W855" i="4" s="1"/>
  <c r="Q381" i="4"/>
  <c r="W381" i="4" s="1"/>
  <c r="Q637" i="4"/>
  <c r="W637" i="4" s="1"/>
  <c r="Q576" i="4"/>
  <c r="W576" i="4" s="1"/>
  <c r="Q555" i="4"/>
  <c r="W555" i="4" s="1"/>
  <c r="Q811" i="4"/>
  <c r="W811" i="4" s="1"/>
  <c r="Q45" i="4"/>
  <c r="W45" i="4" s="1"/>
  <c r="Q718" i="4"/>
  <c r="Q470" i="4"/>
  <c r="W470" i="4" s="1"/>
  <c r="Q72" i="4"/>
  <c r="W72" i="4" s="1"/>
  <c r="Q712" i="4"/>
  <c r="W712" i="4" s="1"/>
  <c r="Q886" i="4"/>
  <c r="W886" i="4" s="1"/>
  <c r="Q782" i="4"/>
  <c r="W782" i="4" s="1"/>
  <c r="Q805" i="4"/>
  <c r="W805" i="4" s="1"/>
  <c r="Q915" i="4"/>
  <c r="X219" i="4"/>
  <c r="Q136" i="4"/>
  <c r="W136" i="4" s="1"/>
  <c r="X225" i="4"/>
  <c r="X648" i="4"/>
  <c r="Q366" i="4"/>
  <c r="W366" i="4" s="1"/>
  <c r="Q766" i="4"/>
  <c r="W766" i="4" s="1"/>
  <c r="Q102" i="4"/>
  <c r="Q14" i="4"/>
  <c r="W14" i="4" s="1"/>
  <c r="Q669" i="4"/>
  <c r="Q651" i="4"/>
  <c r="W651" i="4" s="1"/>
  <c r="Q228" i="4"/>
  <c r="W228" i="4" s="1"/>
  <c r="Q613" i="4"/>
  <c r="W613" i="4" s="1"/>
  <c r="Q918" i="4"/>
  <c r="X666" i="4"/>
  <c r="X53" i="4"/>
  <c r="X147" i="4"/>
  <c r="X385" i="4"/>
  <c r="X586" i="4"/>
  <c r="X636" i="4"/>
  <c r="X250" i="4"/>
  <c r="Q738" i="4"/>
  <c r="W738" i="4" s="1"/>
  <c r="X852" i="4"/>
  <c r="Q12" i="4"/>
  <c r="W12" i="4" s="1"/>
  <c r="Q268" i="4"/>
  <c r="W268" i="4" s="1"/>
  <c r="Q567" i="4"/>
  <c r="W567" i="4" s="1"/>
  <c r="X331" i="4"/>
  <c r="X840" i="4"/>
  <c r="Q336" i="4"/>
  <c r="W336" i="4" s="1"/>
  <c r="X476" i="4"/>
  <c r="X538" i="4"/>
  <c r="Q804" i="4"/>
  <c r="W804" i="4" s="1"/>
  <c r="Q772" i="4"/>
  <c r="W772" i="4" s="1"/>
  <c r="X730" i="4" l="1"/>
  <c r="X536" i="4"/>
  <c r="X490" i="4"/>
  <c r="X164" i="4"/>
  <c r="X484" i="4"/>
  <c r="X77" i="4"/>
  <c r="X835" i="4"/>
  <c r="X315" i="4"/>
  <c r="X319" i="4"/>
  <c r="X243" i="4"/>
  <c r="X364" i="4"/>
  <c r="X170" i="4"/>
  <c r="X826" i="4"/>
  <c r="X274" i="4"/>
  <c r="X881" i="4"/>
  <c r="X692" i="4"/>
  <c r="X748" i="4"/>
  <c r="X100" i="4"/>
  <c r="X276" i="4"/>
  <c r="X37" i="4"/>
  <c r="X827" i="4"/>
  <c r="X882" i="4"/>
  <c r="X599" i="4"/>
  <c r="X518" i="4"/>
  <c r="X689" i="4"/>
  <c r="X738" i="4"/>
  <c r="X598" i="4"/>
  <c r="X891" i="4"/>
  <c r="X830" i="4"/>
  <c r="X253" i="4"/>
  <c r="X366" i="4"/>
  <c r="X360" i="4"/>
  <c r="X574" i="4"/>
  <c r="X430" i="4"/>
  <c r="X912" i="4"/>
  <c r="X220" i="4"/>
  <c r="X541" i="4"/>
  <c r="X526" i="4"/>
  <c r="X853" i="4"/>
  <c r="X157" i="4"/>
  <c r="X907" i="4"/>
  <c r="X447" i="4"/>
  <c r="X939" i="4"/>
  <c r="X683" i="4"/>
  <c r="X205" i="4"/>
  <c r="X456" i="4"/>
  <c r="X579" i="4"/>
  <c r="X672" i="4"/>
  <c r="X502" i="4"/>
  <c r="X317" i="4"/>
  <c r="X792" i="4"/>
  <c r="X158" i="4"/>
  <c r="X656" i="4"/>
  <c r="X573" i="4"/>
  <c r="X872" i="4"/>
  <c r="Q334" i="4"/>
  <c r="W334" i="4" s="1"/>
  <c r="Q243" i="4"/>
  <c r="X32" i="4"/>
  <c r="X727" i="4"/>
  <c r="X135" i="4"/>
  <c r="W214" i="4"/>
  <c r="X24" i="4"/>
  <c r="X547" i="4"/>
  <c r="X293" i="4"/>
  <c r="X934" i="4"/>
  <c r="X686" i="4"/>
  <c r="X635" i="4"/>
  <c r="X386" i="4"/>
  <c r="X285" i="4"/>
  <c r="X911" i="4"/>
  <c r="X263" i="4"/>
  <c r="X373" i="4"/>
  <c r="X770" i="4"/>
  <c r="X290" i="4"/>
  <c r="X482" i="4"/>
  <c r="X886" i="4"/>
  <c r="X477" i="4"/>
  <c r="X664" i="4"/>
  <c r="X275" i="4"/>
  <c r="X286" i="4"/>
  <c r="X339" i="4"/>
  <c r="X658" i="4"/>
  <c r="X567" i="4"/>
  <c r="X12" i="4"/>
  <c r="X155" i="4"/>
  <c r="X166" i="4"/>
  <c r="X179" i="4"/>
  <c r="X644" i="4"/>
  <c r="X14" i="4"/>
  <c r="X669" i="4"/>
  <c r="X592" i="4"/>
  <c r="Q85" i="4"/>
  <c r="W85" i="4" s="1"/>
  <c r="X868" i="4"/>
  <c r="X387" i="4"/>
  <c r="X849" i="4"/>
  <c r="X866" i="4"/>
  <c r="X691" i="4"/>
  <c r="X470" i="4"/>
  <c r="X899" i="4"/>
  <c r="X918" i="4"/>
  <c r="X774" i="4"/>
  <c r="Q558" i="4"/>
  <c r="Q559" i="4" s="1"/>
  <c r="X676" i="4"/>
  <c r="X356" i="4"/>
  <c r="X178" i="4"/>
  <c r="X662" i="4"/>
  <c r="X341" i="4"/>
  <c r="X802" i="4"/>
  <c r="X322" i="4"/>
  <c r="Q276" i="4"/>
  <c r="X454" i="4"/>
  <c r="X869" i="4"/>
  <c r="X549" i="4"/>
  <c r="X759" i="4"/>
  <c r="X670" i="4"/>
  <c r="X62" i="4"/>
  <c r="X742" i="4"/>
  <c r="X221" i="4"/>
  <c r="X509" i="4"/>
  <c r="Q389" i="4"/>
  <c r="W389" i="4" s="1"/>
  <c r="Q835" i="4"/>
  <c r="Q836" i="4" s="1"/>
  <c r="W836" i="4" s="1"/>
  <c r="X604" i="4"/>
  <c r="X412" i="4"/>
  <c r="X765" i="4"/>
  <c r="X64" i="4"/>
  <c r="X514" i="4"/>
  <c r="X195" i="4"/>
  <c r="X846" i="4"/>
  <c r="Q172" i="4"/>
  <c r="W172" i="4" s="1"/>
  <c r="X945" i="4"/>
  <c r="X469" i="4"/>
  <c r="Q743" i="4"/>
  <c r="Q744" i="4" s="1"/>
  <c r="W744" i="4" s="1"/>
  <c r="X817" i="4"/>
  <c r="X229" i="4"/>
  <c r="X594" i="4"/>
  <c r="X626" i="4"/>
  <c r="Q297" i="4"/>
  <c r="Q298" i="4" s="1"/>
  <c r="X818" i="4"/>
  <c r="X753" i="4"/>
  <c r="X913" i="4"/>
  <c r="X838" i="4"/>
  <c r="X306" i="4"/>
  <c r="X18" i="4"/>
  <c r="X924" i="4"/>
  <c r="Q74" i="4"/>
  <c r="Q75" i="4" s="1"/>
  <c r="W75" i="4" s="1"/>
  <c r="X828" i="4"/>
  <c r="X785" i="4"/>
  <c r="X631" i="4"/>
  <c r="Q107" i="4"/>
  <c r="W107" i="4" s="1"/>
  <c r="W106" i="4"/>
  <c r="Q932" i="4"/>
  <c r="W931" i="4"/>
  <c r="Q111" i="4"/>
  <c r="W110" i="4"/>
  <c r="Q414" i="4"/>
  <c r="W413" i="4"/>
  <c r="Q748" i="4"/>
  <c r="W747" i="4"/>
  <c r="Q157" i="4"/>
  <c r="W156" i="4"/>
  <c r="Q891" i="4"/>
  <c r="W890" i="4"/>
  <c r="Q139" i="4"/>
  <c r="W138" i="4"/>
  <c r="Q406" i="4"/>
  <c r="W405" i="4"/>
  <c r="Q922" i="4"/>
  <c r="W921" i="4"/>
  <c r="Q527" i="4"/>
  <c r="W526" i="4"/>
  <c r="Q798" i="4"/>
  <c r="W797" i="4"/>
  <c r="Q150" i="4"/>
  <c r="W149" i="4"/>
  <c r="Q885" i="4"/>
  <c r="W885" i="4" s="1"/>
  <c r="W884" i="4"/>
  <c r="Q792" i="4"/>
  <c r="W791" i="4"/>
  <c r="Q916" i="4"/>
  <c r="W915" i="4"/>
  <c r="Q719" i="4"/>
  <c r="W718" i="4"/>
  <c r="Q55" i="4"/>
  <c r="W54" i="4"/>
  <c r="Q456" i="4"/>
  <c r="W455" i="4"/>
  <c r="X254" i="4"/>
  <c r="Q40" i="4"/>
  <c r="W39" i="4"/>
  <c r="Q880" i="4"/>
  <c r="W879" i="4"/>
  <c r="W558" i="4"/>
  <c r="X316" i="4"/>
  <c r="X480" i="4"/>
  <c r="Q706" i="4"/>
  <c r="W705" i="4"/>
  <c r="Q343" i="4"/>
  <c r="W342" i="4"/>
  <c r="Q735" i="4"/>
  <c r="W734" i="4"/>
  <c r="Q463" i="4"/>
  <c r="W462" i="4"/>
  <c r="Q838" i="4"/>
  <c r="W837" i="4"/>
  <c r="Q818" i="4"/>
  <c r="W817" i="4"/>
  <c r="Q661" i="4"/>
  <c r="Q648" i="4"/>
  <c r="W647" i="4"/>
  <c r="Q873" i="4"/>
  <c r="W872" i="4"/>
  <c r="Q947" i="4"/>
  <c r="W946" i="4"/>
  <c r="Q82" i="4"/>
  <c r="W81" i="4"/>
  <c r="W400" i="4"/>
  <c r="Q401" i="4"/>
  <c r="Q865" i="4"/>
  <c r="W864" i="4"/>
  <c r="Q290" i="4"/>
  <c r="W289" i="4"/>
  <c r="Q620" i="4"/>
  <c r="W619" i="4"/>
  <c r="Q919" i="4"/>
  <c r="W918" i="4"/>
  <c r="Q103" i="4"/>
  <c r="W103" i="4" s="1"/>
  <c r="W102" i="4"/>
  <c r="X862" i="4"/>
  <c r="Q247" i="4"/>
  <c r="W246" i="4"/>
  <c r="Q330" i="4"/>
  <c r="W329" i="4"/>
  <c r="Q419" i="4"/>
  <c r="W418" i="4"/>
  <c r="Q374" i="4"/>
  <c r="W373" i="4"/>
  <c r="Q30" i="4"/>
  <c r="W29" i="4"/>
  <c r="Q466" i="4"/>
  <c r="W465" i="4"/>
  <c r="X478" i="4"/>
  <c r="X654" i="4"/>
  <c r="X408" i="4"/>
  <c r="Q787" i="4"/>
  <c r="W786" i="4"/>
  <c r="Q907" i="4"/>
  <c r="W906" i="4"/>
  <c r="X182" i="4"/>
  <c r="Q582" i="4"/>
  <c r="W581" i="4"/>
  <c r="Q434" i="4"/>
  <c r="W433" i="4"/>
  <c r="Q161" i="4"/>
  <c r="Q64" i="4"/>
  <c r="W63" i="4"/>
  <c r="Q910" i="4"/>
  <c r="W909" i="4"/>
  <c r="X790" i="4"/>
  <c r="Q509" i="4"/>
  <c r="W508" i="4"/>
  <c r="Q128" i="4"/>
  <c r="W127" i="4"/>
  <c r="Q753" i="4"/>
  <c r="W752" i="4"/>
  <c r="X534" i="4"/>
  <c r="Q937" i="4"/>
  <c r="W936" i="4"/>
  <c r="X733" i="4"/>
  <c r="Q844" i="4"/>
  <c r="W843" i="4"/>
  <c r="Q412" i="4"/>
  <c r="W412" i="4" s="1"/>
  <c r="W411" i="4"/>
  <c r="Q678" i="4"/>
  <c r="W677" i="4"/>
  <c r="Q473" i="4"/>
  <c r="W473" i="4" s="1"/>
  <c r="W472" i="4"/>
  <c r="Q929" i="4"/>
  <c r="W928" i="4"/>
  <c r="Q244" i="4"/>
  <c r="W244" i="4" s="1"/>
  <c r="W243" i="4"/>
  <c r="X725" i="4"/>
  <c r="Q16" i="4"/>
  <c r="W15" i="4"/>
  <c r="X914" i="4"/>
  <c r="X126" i="4"/>
  <c r="Q118" i="4"/>
  <c r="W118" i="4" s="1"/>
  <c r="W117" i="4"/>
  <c r="Q646" i="4"/>
  <c r="W646" i="4" s="1"/>
  <c r="W645" i="4"/>
  <c r="X405" i="4"/>
  <c r="Q841" i="4"/>
  <c r="W840" i="4"/>
  <c r="Q670" i="4"/>
  <c r="W669" i="4"/>
  <c r="Q277" i="4"/>
  <c r="W277" i="4" s="1"/>
  <c r="W276" i="4"/>
  <c r="X211" i="4"/>
  <c r="X771" i="4"/>
  <c r="Q22" i="4"/>
  <c r="W21" i="4"/>
  <c r="Q825" i="4"/>
  <c r="W824" i="4"/>
  <c r="Q125" i="4"/>
  <c r="W124" i="4"/>
  <c r="Q815" i="4"/>
  <c r="W814" i="4"/>
  <c r="Q513" i="4"/>
  <c r="W512" i="4"/>
  <c r="Q903" i="4"/>
  <c r="W902" i="4"/>
  <c r="Q544" i="4"/>
  <c r="W543" i="4"/>
  <c r="Q425" i="4"/>
  <c r="W424" i="4"/>
  <c r="Q762" i="4"/>
  <c r="W761" i="4"/>
  <c r="Q326" i="4"/>
  <c r="X582" i="4"/>
  <c r="Q78" i="4"/>
  <c r="W78" i="4" s="1"/>
  <c r="W77" i="4"/>
  <c r="X597" i="4"/>
  <c r="Q70" i="4"/>
  <c r="W70" i="4" s="1"/>
  <c r="W69" i="4"/>
  <c r="Q48" i="4"/>
  <c r="W47" i="4"/>
  <c r="Q477" i="4"/>
  <c r="W477" i="4" s="1"/>
  <c r="W476" i="4"/>
  <c r="Q390" i="4"/>
  <c r="Q898" i="4"/>
  <c r="W897" i="4"/>
  <c r="Q193" i="4"/>
  <c r="W192" i="4"/>
  <c r="Q187" i="4"/>
  <c r="W186" i="4"/>
  <c r="Q942" i="4"/>
  <c r="W941" i="4"/>
  <c r="Q534" i="4"/>
  <c r="W533" i="4"/>
  <c r="Q98" i="4"/>
  <c r="W97" i="4"/>
  <c r="Q86" i="4"/>
  <c r="X421" i="4"/>
  <c r="Q541" i="4"/>
  <c r="W540" i="4"/>
  <c r="Q822" i="4"/>
  <c r="W822" i="4" s="1"/>
  <c r="W821" i="4"/>
  <c r="Q216" i="4"/>
  <c r="W215" i="4"/>
  <c r="W74" i="4" l="1"/>
  <c r="W743" i="4"/>
  <c r="Q173" i="4"/>
  <c r="W173" i="4" s="1"/>
  <c r="W297" i="4"/>
  <c r="W835" i="4"/>
  <c r="Q542" i="4"/>
  <c r="W542" i="4" s="1"/>
  <c r="W541" i="4"/>
  <c r="Q514" i="4"/>
  <c r="W513" i="4"/>
  <c r="Q31" i="4"/>
  <c r="W30" i="4"/>
  <c r="Q899" i="4"/>
  <c r="W898" i="4"/>
  <c r="Q291" i="4"/>
  <c r="W291" i="4" s="1"/>
  <c r="W290" i="4"/>
  <c r="Q793" i="4"/>
  <c r="W793" i="4" s="1"/>
  <c r="W792" i="4"/>
  <c r="Q943" i="4"/>
  <c r="W942" i="4"/>
  <c r="Q866" i="4"/>
  <c r="W865" i="4"/>
  <c r="Q217" i="4"/>
  <c r="W217" i="4" s="1"/>
  <c r="W216" i="4"/>
  <c r="Q545" i="4"/>
  <c r="W545" i="4" s="1"/>
  <c r="W544" i="4"/>
  <c r="Q126" i="4"/>
  <c r="W126" i="4" s="1"/>
  <c r="W125" i="4"/>
  <c r="Q754" i="4"/>
  <c r="W754" i="4" s="1"/>
  <c r="W753" i="4"/>
  <c r="Q583" i="4"/>
  <c r="W583" i="4" s="1"/>
  <c r="W582" i="4"/>
  <c r="Q420" i="4"/>
  <c r="W420" i="4" s="1"/>
  <c r="W419" i="4"/>
  <c r="Q402" i="4"/>
  <c r="W402" i="4" s="1"/>
  <c r="W401" i="4"/>
  <c r="Q344" i="4"/>
  <c r="W344" i="4" s="1"/>
  <c r="W343" i="4"/>
  <c r="Q881" i="4"/>
  <c r="W881" i="4" s="1"/>
  <c r="W880" i="4"/>
  <c r="Q842" i="4"/>
  <c r="W842" i="4" s="1"/>
  <c r="W841" i="4"/>
  <c r="Q162" i="4"/>
  <c r="W162" i="4" s="1"/>
  <c r="W161" i="4"/>
  <c r="Q662" i="4"/>
  <c r="W661" i="4"/>
  <c r="Q535" i="4"/>
  <c r="W535" i="4" s="1"/>
  <c r="W534" i="4"/>
  <c r="Q788" i="4"/>
  <c r="W787" i="4"/>
  <c r="Q528" i="4"/>
  <c r="W528" i="4" s="1"/>
  <c r="W527" i="4"/>
  <c r="Q435" i="4"/>
  <c r="W434" i="4"/>
  <c r="Q736" i="4"/>
  <c r="W736" i="4" s="1"/>
  <c r="W735" i="4"/>
  <c r="Q391" i="4"/>
  <c r="W390" i="4"/>
  <c r="Q911" i="4"/>
  <c r="W910" i="4"/>
  <c r="Q948" i="4"/>
  <c r="W947" i="4"/>
  <c r="Q158" i="4"/>
  <c r="W158" i="4" s="1"/>
  <c r="W157" i="4"/>
  <c r="Q87" i="4"/>
  <c r="W86" i="4"/>
  <c r="Q188" i="4"/>
  <c r="W187" i="4"/>
  <c r="Q920" i="4"/>
  <c r="W920" i="4" s="1"/>
  <c r="W919" i="4"/>
  <c r="Q874" i="4"/>
  <c r="W873" i="4"/>
  <c r="Q720" i="4"/>
  <c r="W719" i="4"/>
  <c r="Q151" i="4"/>
  <c r="W150" i="4"/>
  <c r="Q407" i="4"/>
  <c r="W407" i="4" s="1"/>
  <c r="W406" i="4"/>
  <c r="Q749" i="4"/>
  <c r="W749" i="4" s="1"/>
  <c r="W748" i="4"/>
  <c r="Q174" i="4"/>
  <c r="Q23" i="4"/>
  <c r="W22" i="4"/>
  <c r="Q510" i="4"/>
  <c r="W510" i="4" s="1"/>
  <c r="W509" i="4"/>
  <c r="Q17" i="4"/>
  <c r="W16" i="4"/>
  <c r="Q892" i="4"/>
  <c r="W891" i="4"/>
  <c r="Q426" i="4"/>
  <c r="W425" i="4"/>
  <c r="W678" i="4"/>
  <c r="Q679" i="4"/>
  <c r="Q375" i="4"/>
  <c r="W374" i="4"/>
  <c r="Q560" i="4"/>
  <c r="W560" i="4" s="1"/>
  <c r="W559" i="4"/>
  <c r="Q933" i="4"/>
  <c r="W933" i="4" s="1"/>
  <c r="W932" i="4"/>
  <c r="Q327" i="4"/>
  <c r="W327" i="4" s="1"/>
  <c r="W326" i="4"/>
  <c r="Q904" i="4"/>
  <c r="W903" i="4"/>
  <c r="Q826" i="4"/>
  <c r="W825" i="4"/>
  <c r="Q671" i="4"/>
  <c r="W670" i="4"/>
  <c r="Q930" i="4"/>
  <c r="W930" i="4" s="1"/>
  <c r="W929" i="4"/>
  <c r="Q845" i="4"/>
  <c r="W844" i="4"/>
  <c r="Q129" i="4"/>
  <c r="W128" i="4"/>
  <c r="Q467" i="4"/>
  <c r="W467" i="4" s="1"/>
  <c r="W466" i="4"/>
  <c r="Q331" i="4"/>
  <c r="W331" i="4" s="1"/>
  <c r="W330" i="4"/>
  <c r="Q839" i="4"/>
  <c r="W839" i="4" s="1"/>
  <c r="W838" i="4"/>
  <c r="Q707" i="4"/>
  <c r="W706" i="4"/>
  <c r="Q41" i="4"/>
  <c r="W41" i="4" s="1"/>
  <c r="W40" i="4"/>
  <c r="Q763" i="4"/>
  <c r="W762" i="4"/>
  <c r="Q248" i="4"/>
  <c r="W247" i="4"/>
  <c r="Q464" i="4"/>
  <c r="W464" i="4" s="1"/>
  <c r="W463" i="4"/>
  <c r="Q938" i="4"/>
  <c r="W938" i="4" s="1"/>
  <c r="W937" i="4"/>
  <c r="Q83" i="4"/>
  <c r="W83" i="4" s="1"/>
  <c r="W82" i="4"/>
  <c r="Q457" i="4"/>
  <c r="W457" i="4" s="1"/>
  <c r="W456" i="4"/>
  <c r="Q112" i="4"/>
  <c r="W111" i="4"/>
  <c r="Q816" i="4"/>
  <c r="W816" i="4" s="1"/>
  <c r="W815" i="4"/>
  <c r="Q819" i="4"/>
  <c r="W819" i="4" s="1"/>
  <c r="W818" i="4"/>
  <c r="Q56" i="4"/>
  <c r="W55" i="4"/>
  <c r="Q923" i="4"/>
  <c r="W922" i="4"/>
  <c r="Q99" i="4"/>
  <c r="W99" i="4" s="1"/>
  <c r="W98" i="4"/>
  <c r="Q194" i="4"/>
  <c r="W193" i="4"/>
  <c r="W48" i="4"/>
  <c r="Q49" i="4"/>
  <c r="Q65" i="4"/>
  <c r="W64" i="4"/>
  <c r="Q908" i="4"/>
  <c r="W908" i="4" s="1"/>
  <c r="W907" i="4"/>
  <c r="Q621" i="4"/>
  <c r="W620" i="4"/>
  <c r="Q299" i="4"/>
  <c r="W299" i="4" s="1"/>
  <c r="W298" i="4"/>
  <c r="Q649" i="4"/>
  <c r="W648" i="4"/>
  <c r="Q917" i="4"/>
  <c r="W917" i="4" s="1"/>
  <c r="W916" i="4"/>
  <c r="Q799" i="4"/>
  <c r="W798" i="4"/>
  <c r="Q140" i="4"/>
  <c r="W139" i="4"/>
  <c r="Q415" i="4"/>
  <c r="W415" i="4" s="1"/>
  <c r="W414" i="4"/>
  <c r="Q195" i="4" l="1"/>
  <c r="W195" i="4" s="1"/>
  <c r="W194" i="4"/>
  <c r="Q764" i="4"/>
  <c r="W763" i="4"/>
  <c r="Q949" i="4"/>
  <c r="W948" i="4"/>
  <c r="Q663" i="4"/>
  <c r="W663" i="4" s="1"/>
  <c r="W662" i="4"/>
  <c r="W866" i="4"/>
  <c r="Q867" i="4"/>
  <c r="Q672" i="4"/>
  <c r="W671" i="4"/>
  <c r="Q427" i="4"/>
  <c r="W427" i="4" s="1"/>
  <c r="W426" i="4"/>
  <c r="Q24" i="4"/>
  <c r="W24" i="4" s="1"/>
  <c r="W23" i="4"/>
  <c r="Q152" i="4"/>
  <c r="W151" i="4"/>
  <c r="Q189" i="4"/>
  <c r="W189" i="4" s="1"/>
  <c r="W188" i="4"/>
  <c r="Q912" i="4"/>
  <c r="W911" i="4"/>
  <c r="Q944" i="4"/>
  <c r="W944" i="4" s="1"/>
  <c r="W943" i="4"/>
  <c r="Q32" i="4"/>
  <c r="W31" i="4"/>
  <c r="Q249" i="4"/>
  <c r="W248" i="4"/>
  <c r="Q800" i="4"/>
  <c r="W799" i="4"/>
  <c r="Q436" i="4"/>
  <c r="W436" i="4" s="1"/>
  <c r="W435" i="4"/>
  <c r="Q900" i="4"/>
  <c r="W899" i="4"/>
  <c r="Q650" i="4"/>
  <c r="W650" i="4" s="1"/>
  <c r="W649" i="4"/>
  <c r="Q66" i="4"/>
  <c r="W65" i="4"/>
  <c r="Q924" i="4"/>
  <c r="W923" i="4"/>
  <c r="Q113" i="4"/>
  <c r="W113" i="4" s="1"/>
  <c r="W112" i="4"/>
  <c r="Q708" i="4"/>
  <c r="W707" i="4"/>
  <c r="Q130" i="4"/>
  <c r="W129" i="4"/>
  <c r="Q827" i="4"/>
  <c r="W826" i="4"/>
  <c r="Q893" i="4"/>
  <c r="W892" i="4"/>
  <c r="Q175" i="4"/>
  <c r="W175" i="4" s="1"/>
  <c r="W174" i="4"/>
  <c r="Q721" i="4"/>
  <c r="W720" i="4"/>
  <c r="Q88" i="4"/>
  <c r="W87" i="4"/>
  <c r="Q392" i="4"/>
  <c r="W391" i="4"/>
  <c r="Q789" i="4"/>
  <c r="W788" i="4"/>
  <c r="Q515" i="4"/>
  <c r="W514" i="4"/>
  <c r="Q57" i="4"/>
  <c r="W56" i="4"/>
  <c r="Q680" i="4"/>
  <c r="W679" i="4"/>
  <c r="Q622" i="4"/>
  <c r="W622" i="4" s="1"/>
  <c r="W621" i="4"/>
  <c r="Q50" i="4"/>
  <c r="W50" i="4" s="1"/>
  <c r="W49" i="4"/>
  <c r="Q141" i="4"/>
  <c r="W140" i="4"/>
  <c r="Q846" i="4"/>
  <c r="W845" i="4"/>
  <c r="Q905" i="4"/>
  <c r="W905" i="4" s="1"/>
  <c r="W904" i="4"/>
  <c r="Q376" i="4"/>
  <c r="W375" i="4"/>
  <c r="Q18" i="4"/>
  <c r="W17" i="4"/>
  <c r="Q875" i="4"/>
  <c r="W875" i="4" s="1"/>
  <c r="W874" i="4"/>
  <c r="Q681" i="4" l="1"/>
  <c r="W681" i="4" s="1"/>
  <c r="W680" i="4"/>
  <c r="Q33" i="4"/>
  <c r="W32" i="4"/>
  <c r="Q19" i="4"/>
  <c r="W19" i="4" s="1"/>
  <c r="W18" i="4"/>
  <c r="Q58" i="4"/>
  <c r="W57" i="4"/>
  <c r="Q828" i="4"/>
  <c r="W827" i="4"/>
  <c r="Q516" i="4"/>
  <c r="W515" i="4"/>
  <c r="Q722" i="4"/>
  <c r="W722" i="4" s="1"/>
  <c r="W721" i="4"/>
  <c r="Q131" i="4"/>
  <c r="W131" i="4" s="1"/>
  <c r="W130" i="4"/>
  <c r="Q67" i="4"/>
  <c r="W67" i="4" s="1"/>
  <c r="W66" i="4"/>
  <c r="Q801" i="4"/>
  <c r="W800" i="4"/>
  <c r="Q913" i="4"/>
  <c r="W913" i="4" s="1"/>
  <c r="W912" i="4"/>
  <c r="Q950" i="4"/>
  <c r="W949" i="4"/>
  <c r="Q393" i="4"/>
  <c r="W392" i="4"/>
  <c r="Q901" i="4"/>
  <c r="W901" i="4" s="1"/>
  <c r="W900" i="4"/>
  <c r="Q153" i="4"/>
  <c r="W153" i="4" s="1"/>
  <c r="W152" i="4"/>
  <c r="Q142" i="4"/>
  <c r="W142" i="4" s="1"/>
  <c r="W141" i="4"/>
  <c r="Q89" i="4"/>
  <c r="W88" i="4"/>
  <c r="Q925" i="4"/>
  <c r="W924" i="4"/>
  <c r="Q377" i="4"/>
  <c r="W377" i="4" s="1"/>
  <c r="W376" i="4"/>
  <c r="Q790" i="4"/>
  <c r="W790" i="4" s="1"/>
  <c r="W789" i="4"/>
  <c r="Q709" i="4"/>
  <c r="W708" i="4"/>
  <c r="Q250" i="4"/>
  <c r="W250" i="4" s="1"/>
  <c r="W249" i="4"/>
  <c r="Q673" i="4"/>
  <c r="W672" i="4"/>
  <c r="Q765" i="4"/>
  <c r="W765" i="4" s="1"/>
  <c r="W764" i="4"/>
  <c r="Q868" i="4"/>
  <c r="W868" i="4" s="1"/>
  <c r="W867" i="4"/>
  <c r="Q847" i="4"/>
  <c r="W846" i="4"/>
  <c r="Q894" i="4"/>
  <c r="W893" i="4"/>
  <c r="Q59" i="4" l="1"/>
  <c r="W58" i="4"/>
  <c r="Q674" i="4"/>
  <c r="W673" i="4"/>
  <c r="Q517" i="4"/>
  <c r="W516" i="4"/>
  <c r="Q34" i="4"/>
  <c r="W33" i="4"/>
  <c r="Q951" i="4"/>
  <c r="W951" i="4" s="1"/>
  <c r="W950" i="4"/>
  <c r="Q895" i="4"/>
  <c r="W895" i="4" s="1"/>
  <c r="W894" i="4"/>
  <c r="Q848" i="4"/>
  <c r="W847" i="4"/>
  <c r="Q926" i="4"/>
  <c r="W926" i="4" s="1"/>
  <c r="W925" i="4"/>
  <c r="Q802" i="4"/>
  <c r="W802" i="4" s="1"/>
  <c r="W801" i="4"/>
  <c r="Q710" i="4"/>
  <c r="W709" i="4"/>
  <c r="Q90" i="4"/>
  <c r="W89" i="4"/>
  <c r="Q394" i="4"/>
  <c r="W393" i="4"/>
  <c r="Q829" i="4"/>
  <c r="W828" i="4"/>
  <c r="Q60" i="4" l="1"/>
  <c r="W59" i="4"/>
  <c r="Q91" i="4"/>
  <c r="W90" i="4"/>
  <c r="Q849" i="4"/>
  <c r="W848" i="4"/>
  <c r="Q518" i="4"/>
  <c r="W518" i="4" s="1"/>
  <c r="W517" i="4"/>
  <c r="Q830" i="4"/>
  <c r="W829" i="4"/>
  <c r="Q395" i="4"/>
  <c r="W394" i="4"/>
  <c r="Q35" i="4"/>
  <c r="W34" i="4"/>
  <c r="Q711" i="4"/>
  <c r="W711" i="4" s="1"/>
  <c r="W710" i="4"/>
  <c r="Q675" i="4"/>
  <c r="W675" i="4" s="1"/>
  <c r="W674" i="4"/>
  <c r="Q831" i="4" l="1"/>
  <c r="W830" i="4"/>
  <c r="Q36" i="4"/>
  <c r="W35" i="4"/>
  <c r="Q850" i="4"/>
  <c r="W849" i="4"/>
  <c r="Q61" i="4"/>
  <c r="W61" i="4" s="1"/>
  <c r="W60" i="4"/>
  <c r="Q396" i="4"/>
  <c r="W396" i="4" s="1"/>
  <c r="W395" i="4"/>
  <c r="Q92" i="4"/>
  <c r="W91" i="4"/>
  <c r="Q832" i="4" l="1"/>
  <c r="W831" i="4"/>
  <c r="Q851" i="4"/>
  <c r="W850" i="4"/>
  <c r="Q93" i="4"/>
  <c r="W92" i="4"/>
  <c r="Q37" i="4"/>
  <c r="W36" i="4"/>
  <c r="Q38" i="4" l="1"/>
  <c r="W38" i="4" s="1"/>
  <c r="W37" i="4"/>
  <c r="Q94" i="4"/>
  <c r="W94" i="4" s="1"/>
  <c r="W93" i="4"/>
  <c r="Q833" i="4"/>
  <c r="W833" i="4" s="1"/>
  <c r="W832" i="4"/>
  <c r="Q852" i="4"/>
  <c r="W852" i="4" s="1"/>
  <c r="W85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<sst xmlns="http://schemas.openxmlformats.org/spreadsheetml/2006/main" count="995" uniqueCount="41">
  <si>
    <t>Datum</t>
  </si>
  <si>
    <t>CPI (original)</t>
  </si>
  <si>
    <t>INDPRO (original)</t>
  </si>
  <si>
    <t>År</t>
  </si>
  <si>
    <t>Nyckel</t>
  </si>
  <si>
    <t>Värde</t>
  </si>
  <si>
    <t>Basår</t>
  </si>
  <si>
    <t>Bastyp</t>
  </si>
  <si>
    <t>Årsgenomsnitt</t>
  </si>
  <si>
    <t>CPI bas (årsgenomsnitt)</t>
  </si>
  <si>
    <t>INDPRO bas (årsgenomsnitt)</t>
  </si>
  <si>
    <t>CPI (Basår=100)</t>
  </si>
  <si>
    <t>INDPRO (Basår=100)</t>
  </si>
  <si>
    <t>DatumA1:F1</t>
  </si>
  <si>
    <t>CPI MoM (%)</t>
  </si>
  <si>
    <t>INDPRO MoM (%)</t>
  </si>
  <si>
    <t>INDPRO SMA 3</t>
  </si>
  <si>
    <t>SMA 3 CPI</t>
  </si>
  <si>
    <t>Stdev INDPRO</t>
  </si>
  <si>
    <t>Stdev CPI</t>
  </si>
  <si>
    <t>Expansion</t>
  </si>
  <si>
    <t>INDPRO grundriktning</t>
  </si>
  <si>
    <t>CPI grundriktning</t>
  </si>
  <si>
    <t>Med min duration 3 mån</t>
  </si>
  <si>
    <t>Direkt från datan utifrån SMA</t>
  </si>
  <si>
    <t>Min duration 3 mån reducerad</t>
  </si>
  <si>
    <t>Buffert 0,20 reducerad</t>
  </si>
  <si>
    <t>NBER</t>
  </si>
  <si>
    <t>c*std INDPRO</t>
  </si>
  <si>
    <t>c</t>
  </si>
  <si>
    <t>c*std CPI</t>
  </si>
  <si>
    <t>INDPRO riktning med buffert 0,32</t>
  </si>
  <si>
    <t>CPI riktning med buffert 0,32</t>
  </si>
  <si>
    <t>0.32 Stdev INDPRO</t>
  </si>
  <si>
    <t>0.32 Stdev CPI</t>
  </si>
  <si>
    <t>Med buffert 0,32 * std</t>
  </si>
  <si>
    <t>Slowdown</t>
  </si>
  <si>
    <t>Recovery</t>
  </si>
  <si>
    <t>Contraction</t>
  </si>
  <si>
    <t>Dates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</si>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</sst>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1"/>
  <sheetViews>
    <sheetView workbookViewId="0">
      <selection activeCell="D2" sqref="D2"/>
    </sheetView>
  </sheetViews>
  <sheetFormatPr defaultRowHeight="14.5" x14ac:dyDescent="0.35"/>
  <cols>
    <col min="1" max="1" width="21" customWidth="1"/>
    <col min="2" max="2" width="16" customWidth="1"/>
    <col min="3" max="3" width="19" customWidth="1"/>
    <col min="4" max="4" width="13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17168</v>
      </c>
      <c r="B2" s="2">
        <v>21.48</v>
      </c>
      <c r="C2" s="2">
        <v>13.6792</v>
      </c>
      <c r="D2">
        <f t="shared" ref="D2:D65" si="0">YEAR(A2)</f>
        <v>1947</v>
      </c>
    </row>
    <row r="3" spans="1:4" x14ac:dyDescent="0.35">
      <c r="A3" s="1">
        <v>17199</v>
      </c>
      <c r="B3" s="2">
        <v>21.62</v>
      </c>
      <c r="C3" s="2">
        <v>13.76</v>
      </c>
      <c r="D3">
        <f t="shared" si="0"/>
        <v>1947</v>
      </c>
    </row>
    <row r="4" spans="1:4" x14ac:dyDescent="0.35">
      <c r="A4" s="1">
        <v>17227</v>
      </c>
      <c r="B4" s="2">
        <v>22</v>
      </c>
      <c r="C4" s="2">
        <v>13.8407</v>
      </c>
      <c r="D4">
        <f t="shared" si="0"/>
        <v>1947</v>
      </c>
    </row>
    <row r="5" spans="1:4" x14ac:dyDescent="0.35">
      <c r="A5" s="1">
        <v>17258</v>
      </c>
      <c r="B5" s="2">
        <v>22</v>
      </c>
      <c r="C5" s="2">
        <v>13.733000000000001</v>
      </c>
      <c r="D5">
        <f t="shared" si="0"/>
        <v>1947</v>
      </c>
    </row>
    <row r="6" spans="1:4" x14ac:dyDescent="0.35">
      <c r="A6" s="1">
        <v>17288</v>
      </c>
      <c r="B6" s="2">
        <v>21.95</v>
      </c>
      <c r="C6" s="2">
        <v>13.786899999999999</v>
      </c>
      <c r="D6">
        <f t="shared" si="0"/>
        <v>1947</v>
      </c>
    </row>
    <row r="7" spans="1:4" x14ac:dyDescent="0.35">
      <c r="A7" s="1">
        <v>17319</v>
      </c>
      <c r="B7" s="2">
        <v>22.08</v>
      </c>
      <c r="C7" s="2">
        <v>13.786899999999999</v>
      </c>
      <c r="D7">
        <f t="shared" si="0"/>
        <v>1947</v>
      </c>
    </row>
    <row r="8" spans="1:4" x14ac:dyDescent="0.35">
      <c r="A8" s="1">
        <v>17349</v>
      </c>
      <c r="B8" s="2">
        <v>22.23</v>
      </c>
      <c r="C8" s="2">
        <v>13.706099999999999</v>
      </c>
      <c r="D8">
        <f t="shared" si="0"/>
        <v>1947</v>
      </c>
    </row>
    <row r="9" spans="1:4" x14ac:dyDescent="0.35">
      <c r="A9" s="1">
        <v>17380</v>
      </c>
      <c r="B9" s="2">
        <v>22.4</v>
      </c>
      <c r="C9" s="2">
        <v>13.786899999999999</v>
      </c>
      <c r="D9">
        <f t="shared" si="0"/>
        <v>1947</v>
      </c>
    </row>
    <row r="10" spans="1:4" x14ac:dyDescent="0.35">
      <c r="A10" s="1">
        <v>17411</v>
      </c>
      <c r="B10" s="2">
        <v>22.84</v>
      </c>
      <c r="C10" s="2">
        <v>13.894600000000001</v>
      </c>
      <c r="D10">
        <f t="shared" si="0"/>
        <v>1947</v>
      </c>
    </row>
    <row r="11" spans="1:4" x14ac:dyDescent="0.35">
      <c r="A11" s="1">
        <v>17441</v>
      </c>
      <c r="B11" s="2">
        <v>22.91</v>
      </c>
      <c r="C11" s="2">
        <v>14.029199999999999</v>
      </c>
      <c r="D11">
        <f t="shared" si="0"/>
        <v>1947</v>
      </c>
    </row>
    <row r="12" spans="1:4" x14ac:dyDescent="0.35">
      <c r="A12" s="1">
        <v>17472</v>
      </c>
      <c r="B12" s="2">
        <v>23.06</v>
      </c>
      <c r="C12" s="2">
        <v>14.217700000000001</v>
      </c>
      <c r="D12">
        <f t="shared" si="0"/>
        <v>1947</v>
      </c>
    </row>
    <row r="13" spans="1:4" x14ac:dyDescent="0.35">
      <c r="A13" s="1">
        <v>17502</v>
      </c>
      <c r="B13" s="2">
        <v>23.41</v>
      </c>
      <c r="C13" s="2">
        <v>14.271599999999999</v>
      </c>
      <c r="D13">
        <f t="shared" si="0"/>
        <v>1947</v>
      </c>
    </row>
    <row r="14" spans="1:4" x14ac:dyDescent="0.35">
      <c r="A14" s="1">
        <v>17533</v>
      </c>
      <c r="B14" s="2">
        <v>23.68</v>
      </c>
      <c r="C14" s="2">
        <v>14.352399999999999</v>
      </c>
      <c r="D14">
        <f t="shared" si="0"/>
        <v>1948</v>
      </c>
    </row>
    <row r="15" spans="1:4" x14ac:dyDescent="0.35">
      <c r="A15" s="1">
        <v>17564</v>
      </c>
      <c r="B15" s="2">
        <v>23.67</v>
      </c>
      <c r="C15" s="2">
        <v>14.379300000000001</v>
      </c>
      <c r="D15">
        <f t="shared" si="0"/>
        <v>1948</v>
      </c>
    </row>
    <row r="16" spans="1:4" x14ac:dyDescent="0.35">
      <c r="A16" s="1">
        <v>17593</v>
      </c>
      <c r="B16" s="2">
        <v>23.5</v>
      </c>
      <c r="C16" s="2">
        <v>14.217700000000001</v>
      </c>
      <c r="D16">
        <f t="shared" si="0"/>
        <v>1948</v>
      </c>
    </row>
    <row r="17" spans="1:4" x14ac:dyDescent="0.35">
      <c r="A17" s="1">
        <v>17624</v>
      </c>
      <c r="B17" s="2">
        <v>23.82</v>
      </c>
      <c r="C17" s="2">
        <v>14.2447</v>
      </c>
      <c r="D17">
        <f t="shared" si="0"/>
        <v>1948</v>
      </c>
    </row>
    <row r="18" spans="1:4" x14ac:dyDescent="0.35">
      <c r="A18" s="1">
        <v>17654</v>
      </c>
      <c r="B18" s="2">
        <v>24.01</v>
      </c>
      <c r="C18" s="2">
        <v>14.487</v>
      </c>
      <c r="D18">
        <f t="shared" si="0"/>
        <v>1948</v>
      </c>
    </row>
    <row r="19" spans="1:4" x14ac:dyDescent="0.35">
      <c r="A19" s="1">
        <v>17685</v>
      </c>
      <c r="B19" s="2">
        <v>24.15</v>
      </c>
      <c r="C19" s="2">
        <v>14.6755</v>
      </c>
      <c r="D19">
        <f t="shared" si="0"/>
        <v>1948</v>
      </c>
    </row>
    <row r="20" spans="1:4" x14ac:dyDescent="0.35">
      <c r="A20" s="1">
        <v>17715</v>
      </c>
      <c r="B20" s="2">
        <v>24.4</v>
      </c>
      <c r="C20" s="2">
        <v>14.6755</v>
      </c>
      <c r="D20">
        <f t="shared" si="0"/>
        <v>1948</v>
      </c>
    </row>
    <row r="21" spans="1:4" x14ac:dyDescent="0.35">
      <c r="A21" s="1">
        <v>17746</v>
      </c>
      <c r="B21" s="2">
        <v>24.43</v>
      </c>
      <c r="C21" s="2">
        <v>14.621600000000001</v>
      </c>
      <c r="D21">
        <f t="shared" si="0"/>
        <v>1948</v>
      </c>
    </row>
    <row r="22" spans="1:4" x14ac:dyDescent="0.35">
      <c r="A22" s="1">
        <v>17777</v>
      </c>
      <c r="B22" s="2">
        <v>24.36</v>
      </c>
      <c r="C22" s="2">
        <v>14.5139</v>
      </c>
      <c r="D22">
        <f t="shared" si="0"/>
        <v>1948</v>
      </c>
    </row>
    <row r="23" spans="1:4" x14ac:dyDescent="0.35">
      <c r="A23" s="1">
        <v>17807</v>
      </c>
      <c r="B23" s="2">
        <v>24.31</v>
      </c>
      <c r="C23" s="2">
        <v>14.621700000000001</v>
      </c>
      <c r="D23">
        <f t="shared" si="0"/>
        <v>1948</v>
      </c>
    </row>
    <row r="24" spans="1:4" x14ac:dyDescent="0.35">
      <c r="A24" s="1">
        <v>17838</v>
      </c>
      <c r="B24" s="2">
        <v>24.16</v>
      </c>
      <c r="C24" s="2">
        <v>14.433199999999999</v>
      </c>
      <c r="D24">
        <f t="shared" si="0"/>
        <v>1948</v>
      </c>
    </row>
    <row r="25" spans="1:4" x14ac:dyDescent="0.35">
      <c r="A25" s="1">
        <v>17868</v>
      </c>
      <c r="B25" s="2">
        <v>24.05</v>
      </c>
      <c r="C25" s="2">
        <v>14.298500000000001</v>
      </c>
      <c r="D25">
        <f t="shared" si="0"/>
        <v>1948</v>
      </c>
    </row>
    <row r="26" spans="1:4" x14ac:dyDescent="0.35">
      <c r="A26" s="1">
        <v>17899</v>
      </c>
      <c r="B26" s="2">
        <v>24.01</v>
      </c>
      <c r="C26" s="2">
        <v>14.1639</v>
      </c>
      <c r="D26">
        <f t="shared" si="0"/>
        <v>1949</v>
      </c>
    </row>
    <row r="27" spans="1:4" x14ac:dyDescent="0.35">
      <c r="A27" s="1">
        <v>17930</v>
      </c>
      <c r="B27" s="2">
        <v>23.91</v>
      </c>
      <c r="C27" s="2">
        <v>14.029199999999999</v>
      </c>
      <c r="D27">
        <f t="shared" si="0"/>
        <v>1949</v>
      </c>
    </row>
    <row r="28" spans="1:4" x14ac:dyDescent="0.35">
      <c r="A28" s="1">
        <v>17958</v>
      </c>
      <c r="B28" s="2">
        <v>23.91</v>
      </c>
      <c r="C28" s="2">
        <v>13.76</v>
      </c>
      <c r="D28">
        <f t="shared" si="0"/>
        <v>1949</v>
      </c>
    </row>
    <row r="29" spans="1:4" x14ac:dyDescent="0.35">
      <c r="A29" s="1">
        <v>17989</v>
      </c>
      <c r="B29" s="2">
        <v>23.92</v>
      </c>
      <c r="C29" s="2">
        <v>13.6792</v>
      </c>
      <c r="D29">
        <f t="shared" si="0"/>
        <v>1949</v>
      </c>
    </row>
    <row r="30" spans="1:4" x14ac:dyDescent="0.35">
      <c r="A30" s="1">
        <v>18019</v>
      </c>
      <c r="B30" s="2">
        <v>23.91</v>
      </c>
      <c r="C30" s="2">
        <v>13.4907</v>
      </c>
      <c r="D30">
        <f t="shared" si="0"/>
        <v>1949</v>
      </c>
    </row>
    <row r="31" spans="1:4" x14ac:dyDescent="0.35">
      <c r="A31" s="1">
        <v>18050</v>
      </c>
      <c r="B31" s="2">
        <v>23.92</v>
      </c>
      <c r="C31" s="2">
        <v>13.463800000000001</v>
      </c>
      <c r="D31">
        <f t="shared" si="0"/>
        <v>1949</v>
      </c>
    </row>
    <row r="32" spans="1:4" x14ac:dyDescent="0.35">
      <c r="A32" s="1">
        <v>18080</v>
      </c>
      <c r="B32" s="2">
        <v>23.7</v>
      </c>
      <c r="C32" s="2">
        <v>13.4368</v>
      </c>
      <c r="D32">
        <f t="shared" si="0"/>
        <v>1949</v>
      </c>
    </row>
    <row r="33" spans="1:4" x14ac:dyDescent="0.35">
      <c r="A33" s="1">
        <v>18111</v>
      </c>
      <c r="B33" s="2">
        <v>23.7</v>
      </c>
      <c r="C33" s="2">
        <v>13.5715</v>
      </c>
      <c r="D33">
        <f t="shared" si="0"/>
        <v>1949</v>
      </c>
    </row>
    <row r="34" spans="1:4" x14ac:dyDescent="0.35">
      <c r="A34" s="1">
        <v>18142</v>
      </c>
      <c r="B34" s="2">
        <v>23.75</v>
      </c>
      <c r="C34" s="2">
        <v>13.706099999999999</v>
      </c>
      <c r="D34">
        <f t="shared" si="0"/>
        <v>1949</v>
      </c>
    </row>
    <row r="35" spans="1:4" x14ac:dyDescent="0.35">
      <c r="A35" s="1">
        <v>18172</v>
      </c>
      <c r="B35" s="2">
        <v>23.67</v>
      </c>
      <c r="C35" s="2">
        <v>13.1945</v>
      </c>
      <c r="D35">
        <f t="shared" si="0"/>
        <v>1949</v>
      </c>
    </row>
    <row r="36" spans="1:4" x14ac:dyDescent="0.35">
      <c r="A36" s="1">
        <v>18203</v>
      </c>
      <c r="B36" s="2">
        <v>23.7</v>
      </c>
      <c r="C36" s="2">
        <v>13.544600000000001</v>
      </c>
      <c r="D36">
        <f t="shared" si="0"/>
        <v>1949</v>
      </c>
    </row>
    <row r="37" spans="1:4" x14ac:dyDescent="0.35">
      <c r="A37" s="1">
        <v>18233</v>
      </c>
      <c r="B37" s="2">
        <v>23.61</v>
      </c>
      <c r="C37" s="2">
        <v>13.786899999999999</v>
      </c>
      <c r="D37">
        <f t="shared" si="0"/>
        <v>1949</v>
      </c>
    </row>
    <row r="38" spans="1:4" x14ac:dyDescent="0.35">
      <c r="A38" s="1">
        <v>18264</v>
      </c>
      <c r="B38" s="2">
        <v>23.51</v>
      </c>
      <c r="C38" s="2">
        <v>14.029199999999999</v>
      </c>
      <c r="D38">
        <f t="shared" si="0"/>
        <v>1950</v>
      </c>
    </row>
    <row r="39" spans="1:4" x14ac:dyDescent="0.35">
      <c r="A39" s="1">
        <v>18295</v>
      </c>
      <c r="B39" s="2">
        <v>23.61</v>
      </c>
      <c r="C39" s="2">
        <v>14.0831</v>
      </c>
      <c r="D39">
        <f t="shared" si="0"/>
        <v>1950</v>
      </c>
    </row>
    <row r="40" spans="1:4" x14ac:dyDescent="0.35">
      <c r="A40" s="1">
        <v>18323</v>
      </c>
      <c r="B40" s="2">
        <v>23.64</v>
      </c>
      <c r="C40" s="2">
        <v>14.540900000000001</v>
      </c>
      <c r="D40">
        <f t="shared" si="0"/>
        <v>1950</v>
      </c>
    </row>
    <row r="41" spans="1:4" x14ac:dyDescent="0.35">
      <c r="A41" s="1">
        <v>18354</v>
      </c>
      <c r="B41" s="2">
        <v>23.65</v>
      </c>
      <c r="C41" s="2">
        <v>15.025499999999999</v>
      </c>
      <c r="D41">
        <f t="shared" si="0"/>
        <v>1950</v>
      </c>
    </row>
    <row r="42" spans="1:4" x14ac:dyDescent="0.35">
      <c r="A42" s="1">
        <v>18384</v>
      </c>
      <c r="B42" s="2">
        <v>23.77</v>
      </c>
      <c r="C42" s="2">
        <v>15.3756</v>
      </c>
      <c r="D42">
        <f t="shared" si="0"/>
        <v>1950</v>
      </c>
    </row>
    <row r="43" spans="1:4" x14ac:dyDescent="0.35">
      <c r="A43" s="1">
        <v>18415</v>
      </c>
      <c r="B43" s="2">
        <v>23.88</v>
      </c>
      <c r="C43" s="2">
        <v>15.833399999999999</v>
      </c>
      <c r="D43">
        <f t="shared" si="0"/>
        <v>1950</v>
      </c>
    </row>
    <row r="44" spans="1:4" x14ac:dyDescent="0.35">
      <c r="A44" s="1">
        <v>18445</v>
      </c>
      <c r="B44" s="2">
        <v>24.07</v>
      </c>
      <c r="C44" s="2">
        <v>16.344999999999999</v>
      </c>
      <c r="D44">
        <f t="shared" si="0"/>
        <v>1950</v>
      </c>
    </row>
    <row r="45" spans="1:4" x14ac:dyDescent="0.35">
      <c r="A45" s="1">
        <v>18476</v>
      </c>
      <c r="B45" s="2">
        <v>24.2</v>
      </c>
      <c r="C45" s="2">
        <v>16.8566</v>
      </c>
      <c r="D45">
        <f t="shared" si="0"/>
        <v>1950</v>
      </c>
    </row>
    <row r="46" spans="1:4" x14ac:dyDescent="0.35">
      <c r="A46" s="1">
        <v>18507</v>
      </c>
      <c r="B46" s="2">
        <v>24.34</v>
      </c>
      <c r="C46" s="2">
        <v>16.748899999999999</v>
      </c>
      <c r="D46">
        <f t="shared" si="0"/>
        <v>1950</v>
      </c>
    </row>
    <row r="47" spans="1:4" x14ac:dyDescent="0.35">
      <c r="A47" s="1">
        <v>18537</v>
      </c>
      <c r="B47" s="2">
        <v>24.5</v>
      </c>
      <c r="C47" s="2">
        <v>16.8566</v>
      </c>
      <c r="D47">
        <f t="shared" si="0"/>
        <v>1950</v>
      </c>
    </row>
    <row r="48" spans="1:4" x14ac:dyDescent="0.35">
      <c r="A48" s="1">
        <v>18568</v>
      </c>
      <c r="B48" s="2">
        <v>24.6</v>
      </c>
      <c r="C48" s="2">
        <v>16.829699999999999</v>
      </c>
      <c r="D48">
        <f t="shared" si="0"/>
        <v>1950</v>
      </c>
    </row>
    <row r="49" spans="1:4" x14ac:dyDescent="0.35">
      <c r="A49" s="1">
        <v>18598</v>
      </c>
      <c r="B49" s="2">
        <v>24.98</v>
      </c>
      <c r="C49" s="2">
        <v>17.125900000000001</v>
      </c>
      <c r="D49">
        <f t="shared" si="0"/>
        <v>1950</v>
      </c>
    </row>
    <row r="50" spans="1:4" x14ac:dyDescent="0.35">
      <c r="A50" s="1">
        <v>18629</v>
      </c>
      <c r="B50" s="2">
        <v>25.38</v>
      </c>
      <c r="C50" s="2">
        <v>17.1797</v>
      </c>
      <c r="D50">
        <f t="shared" si="0"/>
        <v>1951</v>
      </c>
    </row>
    <row r="51" spans="1:4" x14ac:dyDescent="0.35">
      <c r="A51" s="1">
        <v>18660</v>
      </c>
      <c r="B51" s="2">
        <v>25.83</v>
      </c>
      <c r="C51" s="2">
        <v>17.287500000000001</v>
      </c>
      <c r="D51">
        <f t="shared" si="0"/>
        <v>1951</v>
      </c>
    </row>
    <row r="52" spans="1:4" x14ac:dyDescent="0.35">
      <c r="A52" s="1">
        <v>18688</v>
      </c>
      <c r="B52" s="2">
        <v>25.88</v>
      </c>
      <c r="C52" s="2">
        <v>17.368200000000002</v>
      </c>
      <c r="D52">
        <f t="shared" si="0"/>
        <v>1951</v>
      </c>
    </row>
    <row r="53" spans="1:4" x14ac:dyDescent="0.35">
      <c r="A53" s="1">
        <v>18719</v>
      </c>
      <c r="B53" s="2">
        <v>25.92</v>
      </c>
      <c r="C53" s="2">
        <v>17.395199999999999</v>
      </c>
      <c r="D53">
        <f t="shared" si="0"/>
        <v>1951</v>
      </c>
    </row>
    <row r="54" spans="1:4" x14ac:dyDescent="0.35">
      <c r="A54" s="1">
        <v>18749</v>
      </c>
      <c r="B54" s="2">
        <v>25.99</v>
      </c>
      <c r="C54" s="2">
        <v>17.3413</v>
      </c>
      <c r="D54">
        <f t="shared" si="0"/>
        <v>1951</v>
      </c>
    </row>
    <row r="55" spans="1:4" x14ac:dyDescent="0.35">
      <c r="A55" s="1">
        <v>18780</v>
      </c>
      <c r="B55" s="2">
        <v>25.93</v>
      </c>
      <c r="C55" s="2">
        <v>17.2605</v>
      </c>
      <c r="D55">
        <f t="shared" si="0"/>
        <v>1951</v>
      </c>
    </row>
    <row r="56" spans="1:4" x14ac:dyDescent="0.35">
      <c r="A56" s="1">
        <v>18810</v>
      </c>
      <c r="B56" s="2">
        <v>25.91</v>
      </c>
      <c r="C56" s="2">
        <v>16.991299999999999</v>
      </c>
      <c r="D56">
        <f t="shared" si="0"/>
        <v>1951</v>
      </c>
    </row>
    <row r="57" spans="1:4" x14ac:dyDescent="0.35">
      <c r="A57" s="1">
        <v>18841</v>
      </c>
      <c r="B57" s="2">
        <v>25.86</v>
      </c>
      <c r="C57" s="2">
        <v>16.829699999999999</v>
      </c>
      <c r="D57">
        <f t="shared" si="0"/>
        <v>1951</v>
      </c>
    </row>
    <row r="58" spans="1:4" x14ac:dyDescent="0.35">
      <c r="A58" s="1">
        <v>18872</v>
      </c>
      <c r="B58" s="2">
        <v>26.03</v>
      </c>
      <c r="C58" s="2">
        <v>16.9374</v>
      </c>
      <c r="D58">
        <f t="shared" si="0"/>
        <v>1951</v>
      </c>
    </row>
    <row r="59" spans="1:4" x14ac:dyDescent="0.35">
      <c r="A59" s="1">
        <v>18902</v>
      </c>
      <c r="B59" s="2">
        <v>26.16</v>
      </c>
      <c r="C59" s="2">
        <v>16.910499999999999</v>
      </c>
      <c r="D59">
        <f t="shared" si="0"/>
        <v>1951</v>
      </c>
    </row>
    <row r="60" spans="1:4" x14ac:dyDescent="0.35">
      <c r="A60" s="1">
        <v>18933</v>
      </c>
      <c r="B60" s="2">
        <v>26.32</v>
      </c>
      <c r="C60" s="2">
        <v>17.045100000000001</v>
      </c>
      <c r="D60">
        <f t="shared" si="0"/>
        <v>1951</v>
      </c>
    </row>
    <row r="61" spans="1:4" x14ac:dyDescent="0.35">
      <c r="A61" s="1">
        <v>18963</v>
      </c>
      <c r="B61" s="2">
        <v>26.47</v>
      </c>
      <c r="C61" s="2">
        <v>17.152799999999999</v>
      </c>
      <c r="D61">
        <f t="shared" si="0"/>
        <v>1951</v>
      </c>
    </row>
    <row r="62" spans="1:4" x14ac:dyDescent="0.35">
      <c r="A62" s="1">
        <v>18994</v>
      </c>
      <c r="B62" s="2">
        <v>26.45</v>
      </c>
      <c r="C62" s="2">
        <v>17.3413</v>
      </c>
      <c r="D62">
        <f t="shared" si="0"/>
        <v>1952</v>
      </c>
    </row>
    <row r="63" spans="1:4" x14ac:dyDescent="0.35">
      <c r="A63" s="1">
        <v>19025</v>
      </c>
      <c r="B63" s="2">
        <v>26.41</v>
      </c>
      <c r="C63" s="2">
        <v>17.449000000000002</v>
      </c>
      <c r="D63">
        <f t="shared" si="0"/>
        <v>1952</v>
      </c>
    </row>
    <row r="64" spans="1:4" x14ac:dyDescent="0.35">
      <c r="A64" s="1">
        <v>19054</v>
      </c>
      <c r="B64" s="2">
        <v>26.39</v>
      </c>
      <c r="C64" s="2">
        <v>17.5029</v>
      </c>
      <c r="D64">
        <f t="shared" si="0"/>
        <v>1952</v>
      </c>
    </row>
    <row r="65" spans="1:4" x14ac:dyDescent="0.35">
      <c r="A65" s="1">
        <v>19085</v>
      </c>
      <c r="B65" s="2">
        <v>26.46</v>
      </c>
      <c r="C65" s="2">
        <v>17.3413</v>
      </c>
      <c r="D65">
        <f t="shared" si="0"/>
        <v>1952</v>
      </c>
    </row>
    <row r="66" spans="1:4" x14ac:dyDescent="0.35">
      <c r="A66" s="1">
        <v>19115</v>
      </c>
      <c r="B66" s="2">
        <v>26.47</v>
      </c>
      <c r="C66" s="2">
        <v>17.1798</v>
      </c>
      <c r="D66">
        <f t="shared" ref="D66:D129" si="1">YEAR(A66)</f>
        <v>1952</v>
      </c>
    </row>
    <row r="67" spans="1:4" x14ac:dyDescent="0.35">
      <c r="A67" s="1">
        <v>19146</v>
      </c>
      <c r="B67" s="2">
        <v>26.53</v>
      </c>
      <c r="C67" s="2">
        <v>17.0182</v>
      </c>
      <c r="D67">
        <f t="shared" si="1"/>
        <v>1952</v>
      </c>
    </row>
    <row r="68" spans="1:4" x14ac:dyDescent="0.35">
      <c r="A68" s="1">
        <v>19176</v>
      </c>
      <c r="B68" s="2">
        <v>26.68</v>
      </c>
      <c r="C68" s="2">
        <v>16.748899999999999</v>
      </c>
      <c r="D68">
        <f t="shared" si="1"/>
        <v>1952</v>
      </c>
    </row>
    <row r="69" spans="1:4" x14ac:dyDescent="0.35">
      <c r="A69" s="1">
        <v>19207</v>
      </c>
      <c r="B69" s="2">
        <v>26.69</v>
      </c>
      <c r="C69" s="2">
        <v>17.826000000000001</v>
      </c>
      <c r="D69">
        <f t="shared" si="1"/>
        <v>1952</v>
      </c>
    </row>
    <row r="70" spans="1:4" x14ac:dyDescent="0.35">
      <c r="A70" s="1">
        <v>19238</v>
      </c>
      <c r="B70" s="2">
        <v>26.63</v>
      </c>
      <c r="C70" s="2">
        <v>18.472300000000001</v>
      </c>
      <c r="D70">
        <f t="shared" si="1"/>
        <v>1952</v>
      </c>
    </row>
    <row r="71" spans="1:4" x14ac:dyDescent="0.35">
      <c r="A71" s="1">
        <v>19268</v>
      </c>
      <c r="B71" s="2">
        <v>26.69</v>
      </c>
      <c r="C71" s="2">
        <v>18.660799999999998</v>
      </c>
      <c r="D71">
        <f t="shared" si="1"/>
        <v>1952</v>
      </c>
    </row>
    <row r="72" spans="1:4" x14ac:dyDescent="0.35">
      <c r="A72" s="1">
        <v>19299</v>
      </c>
      <c r="B72" s="2">
        <v>26.69</v>
      </c>
      <c r="C72" s="2">
        <v>19.037800000000001</v>
      </c>
      <c r="D72">
        <f t="shared" si="1"/>
        <v>1952</v>
      </c>
    </row>
    <row r="73" spans="1:4" x14ac:dyDescent="0.35">
      <c r="A73" s="1">
        <v>19329</v>
      </c>
      <c r="B73" s="2">
        <v>26.71</v>
      </c>
      <c r="C73" s="2">
        <v>19.145499999999998</v>
      </c>
      <c r="D73">
        <f t="shared" si="1"/>
        <v>1952</v>
      </c>
    </row>
    <row r="74" spans="1:4" x14ac:dyDescent="0.35">
      <c r="A74" s="1">
        <v>19360</v>
      </c>
      <c r="B74" s="2">
        <v>26.64</v>
      </c>
      <c r="C74" s="2">
        <v>19.199300000000001</v>
      </c>
      <c r="D74">
        <f t="shared" si="1"/>
        <v>1953</v>
      </c>
    </row>
    <row r="75" spans="1:4" x14ac:dyDescent="0.35">
      <c r="A75" s="1">
        <v>19391</v>
      </c>
      <c r="B75" s="2">
        <v>26.59</v>
      </c>
      <c r="C75" s="2">
        <v>19.306999999999999</v>
      </c>
      <c r="D75">
        <f t="shared" si="1"/>
        <v>1953</v>
      </c>
    </row>
    <row r="76" spans="1:4" x14ac:dyDescent="0.35">
      <c r="A76" s="1">
        <v>19419</v>
      </c>
      <c r="B76" s="2">
        <v>26.63</v>
      </c>
      <c r="C76" s="2">
        <v>19.468599999999999</v>
      </c>
      <c r="D76">
        <f t="shared" si="1"/>
        <v>1953</v>
      </c>
    </row>
    <row r="77" spans="1:4" x14ac:dyDescent="0.35">
      <c r="A77" s="1">
        <v>19450</v>
      </c>
      <c r="B77" s="2">
        <v>26.69</v>
      </c>
      <c r="C77" s="2">
        <v>19.549399999999999</v>
      </c>
      <c r="D77">
        <f t="shared" si="1"/>
        <v>1953</v>
      </c>
    </row>
    <row r="78" spans="1:4" x14ac:dyDescent="0.35">
      <c r="A78" s="1">
        <v>19480</v>
      </c>
      <c r="B78" s="2">
        <v>26.7</v>
      </c>
      <c r="C78" s="2">
        <v>19.6571</v>
      </c>
      <c r="D78">
        <f t="shared" si="1"/>
        <v>1953</v>
      </c>
    </row>
    <row r="79" spans="1:4" x14ac:dyDescent="0.35">
      <c r="A79" s="1">
        <v>19511</v>
      </c>
      <c r="B79" s="2">
        <v>26.77</v>
      </c>
      <c r="C79" s="2">
        <v>19.5763</v>
      </c>
      <c r="D79">
        <f t="shared" si="1"/>
        <v>1953</v>
      </c>
    </row>
    <row r="80" spans="1:4" x14ac:dyDescent="0.35">
      <c r="A80" s="1">
        <v>19541</v>
      </c>
      <c r="B80" s="2">
        <v>26.79</v>
      </c>
      <c r="C80" s="2">
        <v>19.8187</v>
      </c>
      <c r="D80">
        <f t="shared" si="1"/>
        <v>1953</v>
      </c>
    </row>
    <row r="81" spans="1:4" x14ac:dyDescent="0.35">
      <c r="A81" s="1">
        <v>19572</v>
      </c>
      <c r="B81" s="2">
        <v>26.85</v>
      </c>
      <c r="C81" s="2">
        <v>19.710899999999999</v>
      </c>
      <c r="D81">
        <f t="shared" si="1"/>
        <v>1953</v>
      </c>
    </row>
    <row r="82" spans="1:4" x14ac:dyDescent="0.35">
      <c r="A82" s="1">
        <v>19603</v>
      </c>
      <c r="B82" s="2">
        <v>26.89</v>
      </c>
      <c r="C82" s="2">
        <v>19.306999999999999</v>
      </c>
      <c r="D82">
        <f t="shared" si="1"/>
        <v>1953</v>
      </c>
    </row>
    <row r="83" spans="1:4" x14ac:dyDescent="0.35">
      <c r="A83" s="1">
        <v>19633</v>
      </c>
      <c r="B83" s="2">
        <v>26.95</v>
      </c>
      <c r="C83" s="2">
        <v>19.145499999999998</v>
      </c>
      <c r="D83">
        <f t="shared" si="1"/>
        <v>1953</v>
      </c>
    </row>
    <row r="84" spans="1:4" x14ac:dyDescent="0.35">
      <c r="A84" s="1">
        <v>19664</v>
      </c>
      <c r="B84" s="2">
        <v>26.85</v>
      </c>
      <c r="C84" s="2">
        <v>18.6877</v>
      </c>
      <c r="D84">
        <f t="shared" si="1"/>
        <v>1953</v>
      </c>
    </row>
    <row r="85" spans="1:4" x14ac:dyDescent="0.35">
      <c r="A85" s="1">
        <v>19694</v>
      </c>
      <c r="B85" s="2">
        <v>26.87</v>
      </c>
      <c r="C85" s="2">
        <v>18.229900000000001</v>
      </c>
      <c r="D85">
        <f t="shared" si="1"/>
        <v>1953</v>
      </c>
    </row>
    <row r="86" spans="1:4" x14ac:dyDescent="0.35">
      <c r="A86" s="1">
        <v>19725</v>
      </c>
      <c r="B86" s="2">
        <v>26.94</v>
      </c>
      <c r="C86" s="2">
        <v>18.095300000000002</v>
      </c>
      <c r="D86">
        <f t="shared" si="1"/>
        <v>1954</v>
      </c>
    </row>
    <row r="87" spans="1:4" x14ac:dyDescent="0.35">
      <c r="A87" s="1">
        <v>19756</v>
      </c>
      <c r="B87" s="2">
        <v>26.99</v>
      </c>
      <c r="C87" s="2">
        <v>18.1492</v>
      </c>
      <c r="D87">
        <f t="shared" si="1"/>
        <v>1954</v>
      </c>
    </row>
    <row r="88" spans="1:4" x14ac:dyDescent="0.35">
      <c r="A88" s="1">
        <v>19784</v>
      </c>
      <c r="B88" s="2">
        <v>26.93</v>
      </c>
      <c r="C88" s="2">
        <v>18.041399999999999</v>
      </c>
      <c r="D88">
        <f t="shared" si="1"/>
        <v>1954</v>
      </c>
    </row>
    <row r="89" spans="1:4" x14ac:dyDescent="0.35">
      <c r="A89" s="1">
        <v>19815</v>
      </c>
      <c r="B89" s="2">
        <v>26.86</v>
      </c>
      <c r="C89" s="2">
        <v>17.933700000000002</v>
      </c>
      <c r="D89">
        <f t="shared" si="1"/>
        <v>1954</v>
      </c>
    </row>
    <row r="90" spans="1:4" x14ac:dyDescent="0.35">
      <c r="A90" s="1">
        <v>19845</v>
      </c>
      <c r="B90" s="2">
        <v>26.93</v>
      </c>
      <c r="C90" s="2">
        <v>18.041399999999999</v>
      </c>
      <c r="D90">
        <f t="shared" si="1"/>
        <v>1954</v>
      </c>
    </row>
    <row r="91" spans="1:4" x14ac:dyDescent="0.35">
      <c r="A91" s="1">
        <v>19876</v>
      </c>
      <c r="B91" s="2">
        <v>26.94</v>
      </c>
      <c r="C91" s="2">
        <v>18.095300000000002</v>
      </c>
      <c r="D91">
        <f t="shared" si="1"/>
        <v>1954</v>
      </c>
    </row>
    <row r="92" spans="1:4" x14ac:dyDescent="0.35">
      <c r="A92" s="1">
        <v>19906</v>
      </c>
      <c r="B92" s="2">
        <v>26.86</v>
      </c>
      <c r="C92" s="2">
        <v>18.122199999999999</v>
      </c>
      <c r="D92">
        <f t="shared" si="1"/>
        <v>1954</v>
      </c>
    </row>
    <row r="93" spans="1:4" x14ac:dyDescent="0.35">
      <c r="A93" s="1">
        <v>19937</v>
      </c>
      <c r="B93" s="2">
        <v>26.85</v>
      </c>
      <c r="C93" s="2">
        <v>18.095300000000002</v>
      </c>
      <c r="D93">
        <f t="shared" si="1"/>
        <v>1954</v>
      </c>
    </row>
    <row r="94" spans="1:4" x14ac:dyDescent="0.35">
      <c r="A94" s="1">
        <v>19968</v>
      </c>
      <c r="B94" s="2">
        <v>26.81</v>
      </c>
      <c r="C94" s="2">
        <v>18.122199999999999</v>
      </c>
      <c r="D94">
        <f t="shared" si="1"/>
        <v>1954</v>
      </c>
    </row>
    <row r="95" spans="1:4" x14ac:dyDescent="0.35">
      <c r="A95" s="1">
        <v>19998</v>
      </c>
      <c r="B95" s="2">
        <v>26.72</v>
      </c>
      <c r="C95" s="2">
        <v>18.337700000000002</v>
      </c>
      <c r="D95">
        <f t="shared" si="1"/>
        <v>1954</v>
      </c>
    </row>
    <row r="96" spans="1:4" x14ac:dyDescent="0.35">
      <c r="A96" s="1">
        <v>20029</v>
      </c>
      <c r="B96" s="2">
        <v>26.78</v>
      </c>
      <c r="C96" s="2">
        <v>18.633800000000001</v>
      </c>
      <c r="D96">
        <f t="shared" si="1"/>
        <v>1954</v>
      </c>
    </row>
    <row r="97" spans="1:4" x14ac:dyDescent="0.35">
      <c r="A97" s="1">
        <v>20059</v>
      </c>
      <c r="B97" s="2">
        <v>26.77</v>
      </c>
      <c r="C97" s="2">
        <v>18.876200000000001</v>
      </c>
      <c r="D97">
        <f t="shared" si="1"/>
        <v>1954</v>
      </c>
    </row>
    <row r="98" spans="1:4" x14ac:dyDescent="0.35">
      <c r="A98" s="1">
        <v>20090</v>
      </c>
      <c r="B98" s="2">
        <v>26.77</v>
      </c>
      <c r="C98" s="2">
        <v>19.306999999999999</v>
      </c>
      <c r="D98">
        <f t="shared" si="1"/>
        <v>1955</v>
      </c>
    </row>
    <row r="99" spans="1:4" x14ac:dyDescent="0.35">
      <c r="A99" s="1">
        <v>20121</v>
      </c>
      <c r="B99" s="2">
        <v>26.82</v>
      </c>
      <c r="C99" s="2">
        <v>19.549399999999999</v>
      </c>
      <c r="D99">
        <f t="shared" si="1"/>
        <v>1955</v>
      </c>
    </row>
    <row r="100" spans="1:4" x14ac:dyDescent="0.35">
      <c r="A100" s="1">
        <v>20149</v>
      </c>
      <c r="B100" s="2">
        <v>26.79</v>
      </c>
      <c r="C100" s="2">
        <v>20.007100000000001</v>
      </c>
      <c r="D100">
        <f t="shared" si="1"/>
        <v>1955</v>
      </c>
    </row>
    <row r="101" spans="1:4" x14ac:dyDescent="0.35">
      <c r="A101" s="1">
        <v>20180</v>
      </c>
      <c r="B101" s="2">
        <v>26.79</v>
      </c>
      <c r="C101" s="2">
        <v>20.249500000000001</v>
      </c>
      <c r="D101">
        <f t="shared" si="1"/>
        <v>1955</v>
      </c>
    </row>
    <row r="102" spans="1:4" x14ac:dyDescent="0.35">
      <c r="A102" s="1">
        <v>20210</v>
      </c>
      <c r="B102" s="2">
        <v>26.77</v>
      </c>
      <c r="C102" s="2">
        <v>20.572600000000001</v>
      </c>
      <c r="D102">
        <f t="shared" si="1"/>
        <v>1955</v>
      </c>
    </row>
    <row r="103" spans="1:4" x14ac:dyDescent="0.35">
      <c r="A103" s="1">
        <v>20241</v>
      </c>
      <c r="B103" s="2">
        <v>26.71</v>
      </c>
      <c r="C103" s="2">
        <v>20.599599999999999</v>
      </c>
      <c r="D103">
        <f t="shared" si="1"/>
        <v>1955</v>
      </c>
    </row>
    <row r="104" spans="1:4" x14ac:dyDescent="0.35">
      <c r="A104" s="1">
        <v>20271</v>
      </c>
      <c r="B104" s="2">
        <v>26.76</v>
      </c>
      <c r="C104" s="2">
        <v>20.761099999999999</v>
      </c>
      <c r="D104">
        <f t="shared" si="1"/>
        <v>1955</v>
      </c>
    </row>
    <row r="105" spans="1:4" x14ac:dyDescent="0.35">
      <c r="A105" s="1">
        <v>20302</v>
      </c>
      <c r="B105" s="2">
        <v>26.72</v>
      </c>
      <c r="C105" s="2">
        <v>20.734200000000001</v>
      </c>
      <c r="D105">
        <f t="shared" si="1"/>
        <v>1955</v>
      </c>
    </row>
    <row r="106" spans="1:4" x14ac:dyDescent="0.35">
      <c r="A106" s="1">
        <v>20333</v>
      </c>
      <c r="B106" s="2">
        <v>26.85</v>
      </c>
      <c r="C106" s="2">
        <v>20.8688</v>
      </c>
      <c r="D106">
        <f t="shared" si="1"/>
        <v>1955</v>
      </c>
    </row>
    <row r="107" spans="1:4" x14ac:dyDescent="0.35">
      <c r="A107" s="1">
        <v>20363</v>
      </c>
      <c r="B107" s="2">
        <v>26.82</v>
      </c>
      <c r="C107" s="2">
        <v>21.218900000000001</v>
      </c>
      <c r="D107">
        <f t="shared" si="1"/>
        <v>1955</v>
      </c>
    </row>
    <row r="108" spans="1:4" x14ac:dyDescent="0.35">
      <c r="A108" s="1">
        <v>20394</v>
      </c>
      <c r="B108" s="2">
        <v>26.88</v>
      </c>
      <c r="C108" s="2">
        <v>21.2727</v>
      </c>
      <c r="D108">
        <f t="shared" si="1"/>
        <v>1955</v>
      </c>
    </row>
    <row r="109" spans="1:4" x14ac:dyDescent="0.35">
      <c r="A109" s="1">
        <v>20424</v>
      </c>
      <c r="B109" s="2">
        <v>26.87</v>
      </c>
      <c r="C109" s="2">
        <v>21.3535</v>
      </c>
      <c r="D109">
        <f t="shared" si="1"/>
        <v>1955</v>
      </c>
    </row>
    <row r="110" spans="1:4" x14ac:dyDescent="0.35">
      <c r="A110" s="1">
        <v>20455</v>
      </c>
      <c r="B110" s="2">
        <v>26.83</v>
      </c>
      <c r="C110" s="2">
        <v>21.488199999999999</v>
      </c>
      <c r="D110">
        <f t="shared" si="1"/>
        <v>1956</v>
      </c>
    </row>
    <row r="111" spans="1:4" x14ac:dyDescent="0.35">
      <c r="A111" s="1">
        <v>20486</v>
      </c>
      <c r="B111" s="2">
        <v>26.86</v>
      </c>
      <c r="C111" s="2">
        <v>21.299700000000001</v>
      </c>
      <c r="D111">
        <f t="shared" si="1"/>
        <v>1956</v>
      </c>
    </row>
    <row r="112" spans="1:4" x14ac:dyDescent="0.35">
      <c r="A112" s="1">
        <v>20515</v>
      </c>
      <c r="B112" s="2">
        <v>26.89</v>
      </c>
      <c r="C112" s="2">
        <v>21.299700000000001</v>
      </c>
      <c r="D112">
        <f t="shared" si="1"/>
        <v>1956</v>
      </c>
    </row>
    <row r="113" spans="1:4" x14ac:dyDescent="0.35">
      <c r="A113" s="1">
        <v>20546</v>
      </c>
      <c r="B113" s="2">
        <v>26.93</v>
      </c>
      <c r="C113" s="2">
        <v>21.461200000000002</v>
      </c>
      <c r="D113">
        <f t="shared" si="1"/>
        <v>1956</v>
      </c>
    </row>
    <row r="114" spans="1:4" x14ac:dyDescent="0.35">
      <c r="A114" s="1">
        <v>20576</v>
      </c>
      <c r="B114" s="2">
        <v>27.03</v>
      </c>
      <c r="C114" s="2">
        <v>21.2728</v>
      </c>
      <c r="D114">
        <f t="shared" si="1"/>
        <v>1956</v>
      </c>
    </row>
    <row r="115" spans="1:4" x14ac:dyDescent="0.35">
      <c r="A115" s="1">
        <v>20607</v>
      </c>
      <c r="B115" s="2">
        <v>27.15</v>
      </c>
      <c r="C115" s="2">
        <v>21.084299999999999</v>
      </c>
      <c r="D115">
        <f t="shared" si="1"/>
        <v>1956</v>
      </c>
    </row>
    <row r="116" spans="1:4" x14ac:dyDescent="0.35">
      <c r="A116" s="1">
        <v>20637</v>
      </c>
      <c r="B116" s="2">
        <v>27.29</v>
      </c>
      <c r="C116" s="2">
        <v>20.437999999999999</v>
      </c>
      <c r="D116">
        <f t="shared" si="1"/>
        <v>1956</v>
      </c>
    </row>
    <row r="117" spans="1:4" x14ac:dyDescent="0.35">
      <c r="A117" s="1">
        <v>20668</v>
      </c>
      <c r="B117" s="2">
        <v>27.31</v>
      </c>
      <c r="C117" s="2">
        <v>21.2727</v>
      </c>
      <c r="D117">
        <f t="shared" si="1"/>
        <v>1956</v>
      </c>
    </row>
    <row r="118" spans="1:4" x14ac:dyDescent="0.35">
      <c r="A118" s="1">
        <v>20699</v>
      </c>
      <c r="B118" s="2">
        <v>27.35</v>
      </c>
      <c r="C118" s="2">
        <v>21.757400000000001</v>
      </c>
      <c r="D118">
        <f t="shared" si="1"/>
        <v>1956</v>
      </c>
    </row>
    <row r="119" spans="1:4" x14ac:dyDescent="0.35">
      <c r="A119" s="1">
        <v>20729</v>
      </c>
      <c r="B119" s="2">
        <v>27.51</v>
      </c>
      <c r="C119" s="2">
        <v>21.945900000000002</v>
      </c>
      <c r="D119">
        <f t="shared" si="1"/>
        <v>1956</v>
      </c>
    </row>
    <row r="120" spans="1:4" x14ac:dyDescent="0.35">
      <c r="A120" s="1">
        <v>20760</v>
      </c>
      <c r="B120" s="2">
        <v>27.51</v>
      </c>
      <c r="C120" s="2">
        <v>21.757400000000001</v>
      </c>
      <c r="D120">
        <f t="shared" si="1"/>
        <v>1956</v>
      </c>
    </row>
    <row r="121" spans="1:4" x14ac:dyDescent="0.35">
      <c r="A121" s="1">
        <v>20790</v>
      </c>
      <c r="B121" s="2">
        <v>27.63</v>
      </c>
      <c r="C121" s="2">
        <v>22.0806</v>
      </c>
      <c r="D121">
        <f t="shared" si="1"/>
        <v>1956</v>
      </c>
    </row>
    <row r="122" spans="1:4" x14ac:dyDescent="0.35">
      <c r="A122" s="1">
        <v>20821</v>
      </c>
      <c r="B122" s="2">
        <v>27.67</v>
      </c>
      <c r="C122" s="2">
        <v>21.9998</v>
      </c>
      <c r="D122">
        <f t="shared" si="1"/>
        <v>1957</v>
      </c>
    </row>
    <row r="123" spans="1:4" x14ac:dyDescent="0.35">
      <c r="A123" s="1">
        <v>20852</v>
      </c>
      <c r="B123" s="2">
        <v>27.8</v>
      </c>
      <c r="C123" s="2">
        <v>22.215199999999999</v>
      </c>
      <c r="D123">
        <f t="shared" si="1"/>
        <v>1957</v>
      </c>
    </row>
    <row r="124" spans="1:4" x14ac:dyDescent="0.35">
      <c r="A124" s="1">
        <v>20880</v>
      </c>
      <c r="B124" s="2">
        <v>27.86</v>
      </c>
      <c r="C124" s="2">
        <v>22.188300000000002</v>
      </c>
      <c r="D124">
        <f t="shared" si="1"/>
        <v>1957</v>
      </c>
    </row>
    <row r="125" spans="1:4" x14ac:dyDescent="0.35">
      <c r="A125" s="1">
        <v>20911</v>
      </c>
      <c r="B125" s="2">
        <v>27.93</v>
      </c>
      <c r="C125" s="2">
        <v>21.892099999999999</v>
      </c>
      <c r="D125">
        <f t="shared" si="1"/>
        <v>1957</v>
      </c>
    </row>
    <row r="126" spans="1:4" x14ac:dyDescent="0.35">
      <c r="A126" s="1">
        <v>20941</v>
      </c>
      <c r="B126" s="2">
        <v>28</v>
      </c>
      <c r="C126" s="2">
        <v>21.811299999999999</v>
      </c>
      <c r="D126">
        <f t="shared" si="1"/>
        <v>1957</v>
      </c>
    </row>
    <row r="127" spans="1:4" x14ac:dyDescent="0.35">
      <c r="A127" s="1">
        <v>20972</v>
      </c>
      <c r="B127" s="2">
        <v>28.11</v>
      </c>
      <c r="C127" s="2">
        <v>21.865200000000002</v>
      </c>
      <c r="D127">
        <f t="shared" si="1"/>
        <v>1957</v>
      </c>
    </row>
    <row r="128" spans="1:4" x14ac:dyDescent="0.35">
      <c r="A128" s="1">
        <v>21002</v>
      </c>
      <c r="B128" s="2">
        <v>28.19</v>
      </c>
      <c r="C128" s="2">
        <v>21.9998</v>
      </c>
      <c r="D128">
        <f t="shared" si="1"/>
        <v>1957</v>
      </c>
    </row>
    <row r="129" spans="1:4" x14ac:dyDescent="0.35">
      <c r="A129" s="1">
        <v>21033</v>
      </c>
      <c r="B129" s="2">
        <v>28.28</v>
      </c>
      <c r="C129" s="2">
        <v>21.9998</v>
      </c>
      <c r="D129">
        <f t="shared" si="1"/>
        <v>1957</v>
      </c>
    </row>
    <row r="130" spans="1:4" x14ac:dyDescent="0.35">
      <c r="A130" s="1">
        <v>21064</v>
      </c>
      <c r="B130" s="2">
        <v>28.32</v>
      </c>
      <c r="C130" s="2">
        <v>21.811299999999999</v>
      </c>
      <c r="D130">
        <f t="shared" ref="D130:D193" si="2">YEAR(A130)</f>
        <v>1957</v>
      </c>
    </row>
    <row r="131" spans="1:4" x14ac:dyDescent="0.35">
      <c r="A131" s="1">
        <v>21094</v>
      </c>
      <c r="B131" s="2">
        <v>28.32</v>
      </c>
      <c r="C131" s="2">
        <v>21.488199999999999</v>
      </c>
      <c r="D131">
        <f t="shared" si="2"/>
        <v>1957</v>
      </c>
    </row>
    <row r="132" spans="1:4" x14ac:dyDescent="0.35">
      <c r="A132" s="1">
        <v>21125</v>
      </c>
      <c r="B132" s="2">
        <v>28.41</v>
      </c>
      <c r="C132" s="2">
        <v>20.976500000000001</v>
      </c>
      <c r="D132">
        <f t="shared" si="2"/>
        <v>1957</v>
      </c>
    </row>
    <row r="133" spans="1:4" x14ac:dyDescent="0.35">
      <c r="A133" s="1">
        <v>21155</v>
      </c>
      <c r="B133" s="2">
        <v>28.47</v>
      </c>
      <c r="C133" s="2">
        <v>20.572600000000001</v>
      </c>
      <c r="D133">
        <f t="shared" si="2"/>
        <v>1957</v>
      </c>
    </row>
    <row r="134" spans="1:4" x14ac:dyDescent="0.35">
      <c r="A134" s="1">
        <v>21186</v>
      </c>
      <c r="B134" s="2">
        <v>28.64</v>
      </c>
      <c r="C134" s="2">
        <v>20.195599999999999</v>
      </c>
      <c r="D134">
        <f t="shared" si="2"/>
        <v>1958</v>
      </c>
    </row>
    <row r="135" spans="1:4" x14ac:dyDescent="0.35">
      <c r="A135" s="1">
        <v>21217</v>
      </c>
      <c r="B135" s="2">
        <v>28.7</v>
      </c>
      <c r="C135" s="2">
        <v>19.764800000000001</v>
      </c>
      <c r="D135">
        <f t="shared" si="2"/>
        <v>1958</v>
      </c>
    </row>
    <row r="136" spans="1:4" x14ac:dyDescent="0.35">
      <c r="A136" s="1">
        <v>21245</v>
      </c>
      <c r="B136" s="2">
        <v>28.87</v>
      </c>
      <c r="C136" s="2">
        <v>19.522500000000001</v>
      </c>
      <c r="D136">
        <f t="shared" si="2"/>
        <v>1958</v>
      </c>
    </row>
    <row r="137" spans="1:4" x14ac:dyDescent="0.35">
      <c r="A137" s="1">
        <v>21276</v>
      </c>
      <c r="B137" s="2">
        <v>28.94</v>
      </c>
      <c r="C137" s="2">
        <v>19.199300000000001</v>
      </c>
      <c r="D137">
        <f t="shared" si="2"/>
        <v>1958</v>
      </c>
    </row>
    <row r="138" spans="1:4" x14ac:dyDescent="0.35">
      <c r="A138" s="1">
        <v>21306</v>
      </c>
      <c r="B138" s="2">
        <v>28.94</v>
      </c>
      <c r="C138" s="2">
        <v>19.387799999999999</v>
      </c>
      <c r="D138">
        <f t="shared" si="2"/>
        <v>1958</v>
      </c>
    </row>
    <row r="139" spans="1:4" x14ac:dyDescent="0.35">
      <c r="A139" s="1">
        <v>21337</v>
      </c>
      <c r="B139" s="2">
        <v>28.91</v>
      </c>
      <c r="C139" s="2">
        <v>19.8994</v>
      </c>
      <c r="D139">
        <f t="shared" si="2"/>
        <v>1958</v>
      </c>
    </row>
    <row r="140" spans="1:4" x14ac:dyDescent="0.35">
      <c r="A140" s="1">
        <v>21367</v>
      </c>
      <c r="B140" s="2">
        <v>28.89</v>
      </c>
      <c r="C140" s="2">
        <v>20.195599999999999</v>
      </c>
      <c r="D140">
        <f t="shared" si="2"/>
        <v>1958</v>
      </c>
    </row>
    <row r="141" spans="1:4" x14ac:dyDescent="0.35">
      <c r="A141" s="1">
        <v>21398</v>
      </c>
      <c r="B141" s="2">
        <v>28.94</v>
      </c>
      <c r="C141" s="2">
        <v>20.599499999999999</v>
      </c>
      <c r="D141">
        <f t="shared" si="2"/>
        <v>1958</v>
      </c>
    </row>
    <row r="142" spans="1:4" x14ac:dyDescent="0.35">
      <c r="A142" s="1">
        <v>21429</v>
      </c>
      <c r="B142" s="2">
        <v>28.91</v>
      </c>
      <c r="C142" s="2">
        <v>20.7881</v>
      </c>
      <c r="D142">
        <f t="shared" si="2"/>
        <v>1958</v>
      </c>
    </row>
    <row r="143" spans="1:4" x14ac:dyDescent="0.35">
      <c r="A143" s="1">
        <v>21459</v>
      </c>
      <c r="B143" s="2">
        <v>28.91</v>
      </c>
      <c r="C143" s="2">
        <v>21.0304</v>
      </c>
      <c r="D143">
        <f t="shared" si="2"/>
        <v>1958</v>
      </c>
    </row>
    <row r="144" spans="1:4" x14ac:dyDescent="0.35">
      <c r="A144" s="1">
        <v>21490</v>
      </c>
      <c r="B144" s="2">
        <v>28.95</v>
      </c>
      <c r="C144" s="2">
        <v>21.649699999999999</v>
      </c>
      <c r="D144">
        <f t="shared" si="2"/>
        <v>1958</v>
      </c>
    </row>
    <row r="145" spans="1:4" x14ac:dyDescent="0.35">
      <c r="A145" s="1">
        <v>21520</v>
      </c>
      <c r="B145" s="2">
        <v>28.97</v>
      </c>
      <c r="C145" s="2">
        <v>21.6767</v>
      </c>
      <c r="D145">
        <f t="shared" si="2"/>
        <v>1958</v>
      </c>
    </row>
    <row r="146" spans="1:4" x14ac:dyDescent="0.35">
      <c r="A146" s="1">
        <v>21551</v>
      </c>
      <c r="B146" s="2">
        <v>29.01</v>
      </c>
      <c r="C146" s="2">
        <v>21.9998</v>
      </c>
      <c r="D146">
        <f t="shared" si="2"/>
        <v>1959</v>
      </c>
    </row>
    <row r="147" spans="1:4" x14ac:dyDescent="0.35">
      <c r="A147" s="1">
        <v>21582</v>
      </c>
      <c r="B147" s="2">
        <v>29</v>
      </c>
      <c r="C147" s="2">
        <v>22.430599999999998</v>
      </c>
      <c r="D147">
        <f t="shared" si="2"/>
        <v>1959</v>
      </c>
    </row>
    <row r="148" spans="1:4" x14ac:dyDescent="0.35">
      <c r="A148" s="1">
        <v>21610</v>
      </c>
      <c r="B148" s="2">
        <v>28.97</v>
      </c>
      <c r="C148" s="2">
        <v>22.753799999999998</v>
      </c>
      <c r="D148">
        <f t="shared" si="2"/>
        <v>1959</v>
      </c>
    </row>
    <row r="149" spans="1:4" x14ac:dyDescent="0.35">
      <c r="A149" s="1">
        <v>21641</v>
      </c>
      <c r="B149" s="2">
        <v>28.98</v>
      </c>
      <c r="C149" s="2">
        <v>23.238399999999999</v>
      </c>
      <c r="D149">
        <f t="shared" si="2"/>
        <v>1959</v>
      </c>
    </row>
    <row r="150" spans="1:4" x14ac:dyDescent="0.35">
      <c r="A150" s="1">
        <v>21671</v>
      </c>
      <c r="B150" s="2">
        <v>29.04</v>
      </c>
      <c r="C150" s="2">
        <v>23.5885</v>
      </c>
      <c r="D150">
        <f t="shared" si="2"/>
        <v>1959</v>
      </c>
    </row>
    <row r="151" spans="1:4" x14ac:dyDescent="0.35">
      <c r="A151" s="1">
        <v>21702</v>
      </c>
      <c r="B151" s="2">
        <v>29.11</v>
      </c>
      <c r="C151" s="2">
        <v>23.615500000000001</v>
      </c>
      <c r="D151">
        <f t="shared" si="2"/>
        <v>1959</v>
      </c>
    </row>
    <row r="152" spans="1:4" x14ac:dyDescent="0.35">
      <c r="A152" s="1">
        <v>21732</v>
      </c>
      <c r="B152" s="2">
        <v>29.15</v>
      </c>
      <c r="C152" s="2">
        <v>23.05</v>
      </c>
      <c r="D152">
        <f t="shared" si="2"/>
        <v>1959</v>
      </c>
    </row>
    <row r="153" spans="1:4" x14ac:dyDescent="0.35">
      <c r="A153" s="1">
        <v>21763</v>
      </c>
      <c r="B153" s="2">
        <v>29.18</v>
      </c>
      <c r="C153" s="2">
        <v>22.269100000000002</v>
      </c>
      <c r="D153">
        <f t="shared" si="2"/>
        <v>1959</v>
      </c>
    </row>
    <row r="154" spans="1:4" x14ac:dyDescent="0.35">
      <c r="A154" s="1">
        <v>21794</v>
      </c>
      <c r="B154" s="2">
        <v>29.25</v>
      </c>
      <c r="C154" s="2">
        <v>22.242100000000001</v>
      </c>
      <c r="D154">
        <f t="shared" si="2"/>
        <v>1959</v>
      </c>
    </row>
    <row r="155" spans="1:4" x14ac:dyDescent="0.35">
      <c r="A155" s="1">
        <v>21824</v>
      </c>
      <c r="B155" s="2">
        <v>29.35</v>
      </c>
      <c r="C155" s="2">
        <v>22.0806</v>
      </c>
      <c r="D155">
        <f t="shared" si="2"/>
        <v>1959</v>
      </c>
    </row>
    <row r="156" spans="1:4" x14ac:dyDescent="0.35">
      <c r="A156" s="1">
        <v>21855</v>
      </c>
      <c r="B156" s="2">
        <v>29.35</v>
      </c>
      <c r="C156" s="2">
        <v>22.215199999999999</v>
      </c>
      <c r="D156">
        <f t="shared" si="2"/>
        <v>1959</v>
      </c>
    </row>
    <row r="157" spans="1:4" x14ac:dyDescent="0.35">
      <c r="A157" s="1">
        <v>21885</v>
      </c>
      <c r="B157" s="2">
        <v>29.41</v>
      </c>
      <c r="C157" s="2">
        <v>23.5885</v>
      </c>
      <c r="D157">
        <f t="shared" si="2"/>
        <v>1959</v>
      </c>
    </row>
    <row r="158" spans="1:4" x14ac:dyDescent="0.35">
      <c r="A158" s="1">
        <v>21916</v>
      </c>
      <c r="B158" s="2">
        <v>29.37</v>
      </c>
      <c r="C158" s="2">
        <v>24.207799999999999</v>
      </c>
      <c r="D158">
        <f t="shared" si="2"/>
        <v>1960</v>
      </c>
    </row>
    <row r="159" spans="1:4" x14ac:dyDescent="0.35">
      <c r="A159" s="1">
        <v>21947</v>
      </c>
      <c r="B159" s="2">
        <v>29.41</v>
      </c>
      <c r="C159" s="2">
        <v>23.9924</v>
      </c>
      <c r="D159">
        <f t="shared" si="2"/>
        <v>1960</v>
      </c>
    </row>
    <row r="160" spans="1:4" x14ac:dyDescent="0.35">
      <c r="A160" s="1">
        <v>21976</v>
      </c>
      <c r="B160" s="2">
        <v>29.41</v>
      </c>
      <c r="C160" s="2">
        <v>23.777000000000001</v>
      </c>
      <c r="D160">
        <f t="shared" si="2"/>
        <v>1960</v>
      </c>
    </row>
    <row r="161" spans="1:4" x14ac:dyDescent="0.35">
      <c r="A161" s="1">
        <v>22007</v>
      </c>
      <c r="B161" s="2">
        <v>29.54</v>
      </c>
      <c r="C161" s="2">
        <v>23.5885</v>
      </c>
      <c r="D161">
        <f t="shared" si="2"/>
        <v>1960</v>
      </c>
    </row>
    <row r="162" spans="1:4" x14ac:dyDescent="0.35">
      <c r="A162" s="1">
        <v>22037</v>
      </c>
      <c r="B162" s="2">
        <v>29.57</v>
      </c>
      <c r="C162" s="2">
        <v>23.561599999999999</v>
      </c>
      <c r="D162">
        <f t="shared" si="2"/>
        <v>1960</v>
      </c>
    </row>
    <row r="163" spans="1:4" x14ac:dyDescent="0.35">
      <c r="A163" s="1">
        <v>22068</v>
      </c>
      <c r="B163" s="2">
        <v>29.61</v>
      </c>
      <c r="C163" s="2">
        <v>23.2654</v>
      </c>
      <c r="D163">
        <f t="shared" si="2"/>
        <v>1960</v>
      </c>
    </row>
    <row r="164" spans="1:4" x14ac:dyDescent="0.35">
      <c r="A164" s="1">
        <v>22098</v>
      </c>
      <c r="B164" s="2">
        <v>29.55</v>
      </c>
      <c r="C164" s="2">
        <v>23.1846</v>
      </c>
      <c r="D164">
        <f t="shared" si="2"/>
        <v>1960</v>
      </c>
    </row>
    <row r="165" spans="1:4" x14ac:dyDescent="0.35">
      <c r="A165" s="1">
        <v>22129</v>
      </c>
      <c r="B165" s="2">
        <v>29.61</v>
      </c>
      <c r="C165" s="2">
        <v>23.157699999999998</v>
      </c>
      <c r="D165">
        <f t="shared" si="2"/>
        <v>1960</v>
      </c>
    </row>
    <row r="166" spans="1:4" x14ac:dyDescent="0.35">
      <c r="A166" s="1">
        <v>22160</v>
      </c>
      <c r="B166" s="2">
        <v>29.61</v>
      </c>
      <c r="C166" s="2">
        <v>22.915299999999998</v>
      </c>
      <c r="D166">
        <f t="shared" si="2"/>
        <v>1960</v>
      </c>
    </row>
    <row r="167" spans="1:4" x14ac:dyDescent="0.35">
      <c r="A167" s="1">
        <v>22190</v>
      </c>
      <c r="B167" s="2">
        <v>29.75</v>
      </c>
      <c r="C167" s="2">
        <v>22.888400000000001</v>
      </c>
      <c r="D167">
        <f t="shared" si="2"/>
        <v>1960</v>
      </c>
    </row>
    <row r="168" spans="1:4" x14ac:dyDescent="0.35">
      <c r="A168" s="1">
        <v>22221</v>
      </c>
      <c r="B168" s="2">
        <v>29.78</v>
      </c>
      <c r="C168" s="2">
        <v>22.565300000000001</v>
      </c>
      <c r="D168">
        <f t="shared" si="2"/>
        <v>1960</v>
      </c>
    </row>
    <row r="169" spans="1:4" x14ac:dyDescent="0.35">
      <c r="A169" s="1">
        <v>22251</v>
      </c>
      <c r="B169" s="2">
        <v>29.81</v>
      </c>
      <c r="C169" s="2">
        <v>22.134399999999999</v>
      </c>
      <c r="D169">
        <f t="shared" si="2"/>
        <v>1960</v>
      </c>
    </row>
    <row r="170" spans="1:4" x14ac:dyDescent="0.35">
      <c r="A170" s="1">
        <v>22282</v>
      </c>
      <c r="B170" s="2">
        <v>29.84</v>
      </c>
      <c r="C170" s="2">
        <v>22.161300000000001</v>
      </c>
      <c r="D170">
        <f t="shared" si="2"/>
        <v>1961</v>
      </c>
    </row>
    <row r="171" spans="1:4" x14ac:dyDescent="0.35">
      <c r="A171" s="1">
        <v>22313</v>
      </c>
      <c r="B171" s="2">
        <v>29.84</v>
      </c>
      <c r="C171" s="2">
        <v>22.134399999999999</v>
      </c>
      <c r="D171">
        <f t="shared" si="2"/>
        <v>1961</v>
      </c>
    </row>
    <row r="172" spans="1:4" x14ac:dyDescent="0.35">
      <c r="A172" s="1">
        <v>22341</v>
      </c>
      <c r="B172" s="2">
        <v>29.84</v>
      </c>
      <c r="C172" s="2">
        <v>22.269100000000002</v>
      </c>
      <c r="D172">
        <f t="shared" si="2"/>
        <v>1961</v>
      </c>
    </row>
    <row r="173" spans="1:4" x14ac:dyDescent="0.35">
      <c r="A173" s="1">
        <v>22372</v>
      </c>
      <c r="B173" s="2">
        <v>29.81</v>
      </c>
      <c r="C173" s="2">
        <v>22.726800000000001</v>
      </c>
      <c r="D173">
        <f t="shared" si="2"/>
        <v>1961</v>
      </c>
    </row>
    <row r="174" spans="1:4" x14ac:dyDescent="0.35">
      <c r="A174" s="1">
        <v>22402</v>
      </c>
      <c r="B174" s="2">
        <v>29.84</v>
      </c>
      <c r="C174" s="2">
        <v>23.076899999999998</v>
      </c>
      <c r="D174">
        <f t="shared" si="2"/>
        <v>1961</v>
      </c>
    </row>
    <row r="175" spans="1:4" x14ac:dyDescent="0.35">
      <c r="A175" s="1">
        <v>22433</v>
      </c>
      <c r="B175" s="2">
        <v>29.84</v>
      </c>
      <c r="C175" s="2">
        <v>23.4</v>
      </c>
      <c r="D175">
        <f t="shared" si="2"/>
        <v>1961</v>
      </c>
    </row>
    <row r="176" spans="1:4" x14ac:dyDescent="0.35">
      <c r="A176" s="1">
        <v>22463</v>
      </c>
      <c r="B176" s="2">
        <v>29.92</v>
      </c>
      <c r="C176" s="2">
        <v>23.6693</v>
      </c>
      <c r="D176">
        <f t="shared" si="2"/>
        <v>1961</v>
      </c>
    </row>
    <row r="177" spans="1:4" x14ac:dyDescent="0.35">
      <c r="A177" s="1">
        <v>22494</v>
      </c>
      <c r="B177" s="2">
        <v>29.94</v>
      </c>
      <c r="C177" s="2">
        <v>23.884699999999999</v>
      </c>
      <c r="D177">
        <f t="shared" si="2"/>
        <v>1961</v>
      </c>
    </row>
    <row r="178" spans="1:4" x14ac:dyDescent="0.35">
      <c r="A178" s="1">
        <v>22525</v>
      </c>
      <c r="B178" s="2">
        <v>29.98</v>
      </c>
      <c r="C178" s="2">
        <v>23.857800000000001</v>
      </c>
      <c r="D178">
        <f t="shared" si="2"/>
        <v>1961</v>
      </c>
    </row>
    <row r="179" spans="1:4" x14ac:dyDescent="0.35">
      <c r="A179" s="1">
        <v>22555</v>
      </c>
      <c r="B179" s="2">
        <v>29.98</v>
      </c>
      <c r="C179" s="2">
        <v>24.3156</v>
      </c>
      <c r="D179">
        <f t="shared" si="2"/>
        <v>1961</v>
      </c>
    </row>
    <row r="180" spans="1:4" x14ac:dyDescent="0.35">
      <c r="A180" s="1">
        <v>22586</v>
      </c>
      <c r="B180" s="2">
        <v>29.98</v>
      </c>
      <c r="C180" s="2">
        <v>24.692599999999999</v>
      </c>
      <c r="D180">
        <f t="shared" si="2"/>
        <v>1961</v>
      </c>
    </row>
    <row r="181" spans="1:4" x14ac:dyDescent="0.35">
      <c r="A181" s="1">
        <v>22616</v>
      </c>
      <c r="B181" s="2">
        <v>30.01</v>
      </c>
      <c r="C181" s="2">
        <v>24.908000000000001</v>
      </c>
      <c r="D181">
        <f t="shared" si="2"/>
        <v>1961</v>
      </c>
    </row>
    <row r="182" spans="1:4" x14ac:dyDescent="0.35">
      <c r="A182" s="1">
        <v>22647</v>
      </c>
      <c r="B182" s="2">
        <v>30.04</v>
      </c>
      <c r="C182" s="2">
        <v>24.692499999999999</v>
      </c>
      <c r="D182">
        <f t="shared" si="2"/>
        <v>1962</v>
      </c>
    </row>
    <row r="183" spans="1:4" x14ac:dyDescent="0.35">
      <c r="A183" s="1">
        <v>22678</v>
      </c>
      <c r="B183" s="2">
        <v>30.11</v>
      </c>
      <c r="C183" s="2">
        <v>25.096399999999999</v>
      </c>
      <c r="D183">
        <f t="shared" si="2"/>
        <v>1962</v>
      </c>
    </row>
    <row r="184" spans="1:4" x14ac:dyDescent="0.35">
      <c r="A184" s="1">
        <v>22706</v>
      </c>
      <c r="B184" s="2">
        <v>30.17</v>
      </c>
      <c r="C184" s="2">
        <v>25.231100000000001</v>
      </c>
      <c r="D184">
        <f t="shared" si="2"/>
        <v>1962</v>
      </c>
    </row>
    <row r="185" spans="1:4" x14ac:dyDescent="0.35">
      <c r="A185" s="1">
        <v>22737</v>
      </c>
      <c r="B185" s="2">
        <v>30.21</v>
      </c>
      <c r="C185" s="2">
        <v>25.285</v>
      </c>
      <c r="D185">
        <f t="shared" si="2"/>
        <v>1962</v>
      </c>
    </row>
    <row r="186" spans="1:4" x14ac:dyDescent="0.35">
      <c r="A186" s="1">
        <v>22767</v>
      </c>
      <c r="B186" s="2">
        <v>30.24</v>
      </c>
      <c r="C186" s="2">
        <v>25.257999999999999</v>
      </c>
      <c r="D186">
        <f t="shared" si="2"/>
        <v>1962</v>
      </c>
    </row>
    <row r="187" spans="1:4" x14ac:dyDescent="0.35">
      <c r="A187" s="1">
        <v>22798</v>
      </c>
      <c r="B187" s="2">
        <v>30.21</v>
      </c>
      <c r="C187" s="2">
        <v>25.2042</v>
      </c>
      <c r="D187">
        <f t="shared" si="2"/>
        <v>1962</v>
      </c>
    </row>
    <row r="188" spans="1:4" x14ac:dyDescent="0.35">
      <c r="A188" s="1">
        <v>22828</v>
      </c>
      <c r="B188" s="2">
        <v>30.22</v>
      </c>
      <c r="C188" s="2">
        <v>25.4465</v>
      </c>
      <c r="D188">
        <f t="shared" si="2"/>
        <v>1962</v>
      </c>
    </row>
    <row r="189" spans="1:4" x14ac:dyDescent="0.35">
      <c r="A189" s="1">
        <v>22859</v>
      </c>
      <c r="B189" s="2">
        <v>30.28</v>
      </c>
      <c r="C189" s="2">
        <v>25.473400000000002</v>
      </c>
      <c r="D189">
        <f t="shared" si="2"/>
        <v>1962</v>
      </c>
    </row>
    <row r="190" spans="1:4" x14ac:dyDescent="0.35">
      <c r="A190" s="1">
        <v>22890</v>
      </c>
      <c r="B190" s="2">
        <v>30.42</v>
      </c>
      <c r="C190" s="2">
        <v>25.635000000000002</v>
      </c>
      <c r="D190">
        <f t="shared" si="2"/>
        <v>1962</v>
      </c>
    </row>
    <row r="191" spans="1:4" x14ac:dyDescent="0.35">
      <c r="A191" s="1">
        <v>22920</v>
      </c>
      <c r="B191" s="2">
        <v>30.38</v>
      </c>
      <c r="C191" s="2">
        <v>25.661899999999999</v>
      </c>
      <c r="D191">
        <f t="shared" si="2"/>
        <v>1962</v>
      </c>
    </row>
    <row r="192" spans="1:4" x14ac:dyDescent="0.35">
      <c r="A192" s="1">
        <v>22951</v>
      </c>
      <c r="B192" s="2">
        <v>30.38</v>
      </c>
      <c r="C192" s="2">
        <v>25.769600000000001</v>
      </c>
      <c r="D192">
        <f t="shared" si="2"/>
        <v>1962</v>
      </c>
    </row>
    <row r="193" spans="1:4" x14ac:dyDescent="0.35">
      <c r="A193" s="1">
        <v>22981</v>
      </c>
      <c r="B193" s="2">
        <v>30.38</v>
      </c>
      <c r="C193" s="2">
        <v>25.769600000000001</v>
      </c>
      <c r="D193">
        <f t="shared" si="2"/>
        <v>1962</v>
      </c>
    </row>
    <row r="194" spans="1:4" x14ac:dyDescent="0.35">
      <c r="A194" s="1">
        <v>23012</v>
      </c>
      <c r="B194" s="2">
        <v>30.44</v>
      </c>
      <c r="C194" s="2">
        <v>25.958100000000002</v>
      </c>
      <c r="D194">
        <f t="shared" ref="D194:D257" si="3">YEAR(A194)</f>
        <v>1963</v>
      </c>
    </row>
    <row r="195" spans="1:4" x14ac:dyDescent="0.35">
      <c r="A195" s="1">
        <v>23043</v>
      </c>
      <c r="B195" s="2">
        <v>30.48</v>
      </c>
      <c r="C195" s="2">
        <v>26.2544</v>
      </c>
      <c r="D195">
        <f t="shared" si="3"/>
        <v>1963</v>
      </c>
    </row>
    <row r="196" spans="1:4" x14ac:dyDescent="0.35">
      <c r="A196" s="1">
        <v>23071</v>
      </c>
      <c r="B196" s="2">
        <v>30.51</v>
      </c>
      <c r="C196" s="2">
        <v>26.415900000000001</v>
      </c>
      <c r="D196">
        <f t="shared" si="3"/>
        <v>1963</v>
      </c>
    </row>
    <row r="197" spans="1:4" x14ac:dyDescent="0.35">
      <c r="A197" s="1">
        <v>23102</v>
      </c>
      <c r="B197" s="2">
        <v>30.48</v>
      </c>
      <c r="C197" s="2">
        <v>26.658200000000001</v>
      </c>
      <c r="D197">
        <f t="shared" si="3"/>
        <v>1963</v>
      </c>
    </row>
    <row r="198" spans="1:4" x14ac:dyDescent="0.35">
      <c r="A198" s="1">
        <v>23132</v>
      </c>
      <c r="B198" s="2">
        <v>30.51</v>
      </c>
      <c r="C198" s="2">
        <v>26.981400000000001</v>
      </c>
      <c r="D198">
        <f t="shared" si="3"/>
        <v>1963</v>
      </c>
    </row>
    <row r="199" spans="1:4" x14ac:dyDescent="0.35">
      <c r="A199" s="1">
        <v>23163</v>
      </c>
      <c r="B199" s="2">
        <v>30.61</v>
      </c>
      <c r="C199" s="2">
        <v>27.062200000000001</v>
      </c>
      <c r="D199">
        <f t="shared" si="3"/>
        <v>1963</v>
      </c>
    </row>
    <row r="200" spans="1:4" x14ac:dyDescent="0.35">
      <c r="A200" s="1">
        <v>23193</v>
      </c>
      <c r="B200" s="2">
        <v>30.69</v>
      </c>
      <c r="C200" s="2">
        <v>26.954499999999999</v>
      </c>
      <c r="D200">
        <f t="shared" si="3"/>
        <v>1963</v>
      </c>
    </row>
    <row r="201" spans="1:4" x14ac:dyDescent="0.35">
      <c r="A201" s="1">
        <v>23224</v>
      </c>
      <c r="B201" s="2">
        <v>30.75</v>
      </c>
      <c r="C201" s="2">
        <v>27.008299999999998</v>
      </c>
      <c r="D201">
        <f t="shared" si="3"/>
        <v>1963</v>
      </c>
    </row>
    <row r="202" spans="1:4" x14ac:dyDescent="0.35">
      <c r="A202" s="1">
        <v>23255</v>
      </c>
      <c r="B202" s="2">
        <v>30.72</v>
      </c>
      <c r="C202" s="2">
        <v>27.2776</v>
      </c>
      <c r="D202">
        <f t="shared" si="3"/>
        <v>1963</v>
      </c>
    </row>
    <row r="203" spans="1:4" x14ac:dyDescent="0.35">
      <c r="A203" s="1">
        <v>23285</v>
      </c>
      <c r="B203" s="2">
        <v>30.75</v>
      </c>
      <c r="C203" s="2">
        <v>27.466100000000001</v>
      </c>
      <c r="D203">
        <f t="shared" si="3"/>
        <v>1963</v>
      </c>
    </row>
    <row r="204" spans="1:4" x14ac:dyDescent="0.35">
      <c r="A204" s="1">
        <v>23316</v>
      </c>
      <c r="B204" s="2">
        <v>30.78</v>
      </c>
      <c r="C204" s="2">
        <v>27.6007</v>
      </c>
      <c r="D204">
        <f t="shared" si="3"/>
        <v>1963</v>
      </c>
    </row>
    <row r="205" spans="1:4" x14ac:dyDescent="0.35">
      <c r="A205" s="1">
        <v>23346</v>
      </c>
      <c r="B205" s="2">
        <v>30.88</v>
      </c>
      <c r="C205" s="2">
        <v>27.546900000000001</v>
      </c>
      <c r="D205">
        <f t="shared" si="3"/>
        <v>1963</v>
      </c>
    </row>
    <row r="206" spans="1:4" x14ac:dyDescent="0.35">
      <c r="A206" s="1">
        <v>23377</v>
      </c>
      <c r="B206" s="2">
        <v>30.94</v>
      </c>
      <c r="C206" s="2">
        <v>27.789200000000001</v>
      </c>
      <c r="D206">
        <f t="shared" si="3"/>
        <v>1964</v>
      </c>
    </row>
    <row r="207" spans="1:4" x14ac:dyDescent="0.35">
      <c r="A207" s="1">
        <v>23408</v>
      </c>
      <c r="B207" s="2">
        <v>30.91</v>
      </c>
      <c r="C207" s="2">
        <v>27.977699999999999</v>
      </c>
      <c r="D207">
        <f t="shared" si="3"/>
        <v>1964</v>
      </c>
    </row>
    <row r="208" spans="1:4" x14ac:dyDescent="0.35">
      <c r="A208" s="1">
        <v>23437</v>
      </c>
      <c r="B208" s="2">
        <v>30.94</v>
      </c>
      <c r="C208" s="2">
        <v>27.977699999999999</v>
      </c>
      <c r="D208">
        <f t="shared" si="3"/>
        <v>1964</v>
      </c>
    </row>
    <row r="209" spans="1:4" x14ac:dyDescent="0.35">
      <c r="A209" s="1">
        <v>23468</v>
      </c>
      <c r="B209" s="2">
        <v>30.95</v>
      </c>
      <c r="C209" s="2">
        <v>28.435500000000001</v>
      </c>
      <c r="D209">
        <f t="shared" si="3"/>
        <v>1964</v>
      </c>
    </row>
    <row r="210" spans="1:4" x14ac:dyDescent="0.35">
      <c r="A210" s="1">
        <v>23498</v>
      </c>
      <c r="B210" s="2">
        <v>30.98</v>
      </c>
      <c r="C210" s="2">
        <v>28.597000000000001</v>
      </c>
      <c r="D210">
        <f t="shared" si="3"/>
        <v>1964</v>
      </c>
    </row>
    <row r="211" spans="1:4" x14ac:dyDescent="0.35">
      <c r="A211" s="1">
        <v>23529</v>
      </c>
      <c r="B211" s="2">
        <v>31.01</v>
      </c>
      <c r="C211" s="2">
        <v>28.677800000000001</v>
      </c>
      <c r="D211">
        <f t="shared" si="3"/>
        <v>1964</v>
      </c>
    </row>
    <row r="212" spans="1:4" x14ac:dyDescent="0.35">
      <c r="A212" s="1">
        <v>23559</v>
      </c>
      <c r="B212" s="2">
        <v>31.02</v>
      </c>
      <c r="C212" s="2">
        <v>28.866299999999999</v>
      </c>
      <c r="D212">
        <f t="shared" si="3"/>
        <v>1964</v>
      </c>
    </row>
    <row r="213" spans="1:4" x14ac:dyDescent="0.35">
      <c r="A213" s="1">
        <v>23590</v>
      </c>
      <c r="B213" s="2">
        <v>31.05</v>
      </c>
      <c r="C213" s="2">
        <v>29.0548</v>
      </c>
      <c r="D213">
        <f t="shared" si="3"/>
        <v>1964</v>
      </c>
    </row>
    <row r="214" spans="1:4" x14ac:dyDescent="0.35">
      <c r="A214" s="1">
        <v>23621</v>
      </c>
      <c r="B214" s="2">
        <v>31.08</v>
      </c>
      <c r="C214" s="2">
        <v>29.162500000000001</v>
      </c>
      <c r="D214">
        <f t="shared" si="3"/>
        <v>1964</v>
      </c>
    </row>
    <row r="215" spans="1:4" x14ac:dyDescent="0.35">
      <c r="A215" s="1">
        <v>23651</v>
      </c>
      <c r="B215" s="2">
        <v>31.12</v>
      </c>
      <c r="C215" s="2">
        <v>28.758600000000001</v>
      </c>
      <c r="D215">
        <f t="shared" si="3"/>
        <v>1964</v>
      </c>
    </row>
    <row r="216" spans="1:4" x14ac:dyDescent="0.35">
      <c r="A216" s="1">
        <v>23682</v>
      </c>
      <c r="B216" s="2">
        <v>31.21</v>
      </c>
      <c r="C216" s="2">
        <v>29.647200000000002</v>
      </c>
      <c r="D216">
        <f t="shared" si="3"/>
        <v>1964</v>
      </c>
    </row>
    <row r="217" spans="1:4" x14ac:dyDescent="0.35">
      <c r="A217" s="1">
        <v>23712</v>
      </c>
      <c r="B217" s="2">
        <v>31.25</v>
      </c>
      <c r="C217" s="2">
        <v>29.997299999999999</v>
      </c>
      <c r="D217">
        <f t="shared" si="3"/>
        <v>1964</v>
      </c>
    </row>
    <row r="218" spans="1:4" x14ac:dyDescent="0.35">
      <c r="A218" s="1">
        <v>23743</v>
      </c>
      <c r="B218" s="2">
        <v>31.28</v>
      </c>
      <c r="C218" s="2">
        <v>30.320399999999999</v>
      </c>
      <c r="D218">
        <f t="shared" si="3"/>
        <v>1965</v>
      </c>
    </row>
    <row r="219" spans="1:4" x14ac:dyDescent="0.35">
      <c r="A219" s="1">
        <v>23774</v>
      </c>
      <c r="B219" s="2">
        <v>31.28</v>
      </c>
      <c r="C219" s="2">
        <v>30.508900000000001</v>
      </c>
      <c r="D219">
        <f t="shared" si="3"/>
        <v>1965</v>
      </c>
    </row>
    <row r="220" spans="1:4" x14ac:dyDescent="0.35">
      <c r="A220" s="1">
        <v>23802</v>
      </c>
      <c r="B220" s="2">
        <v>31.31</v>
      </c>
      <c r="C220" s="2">
        <v>30.912800000000001</v>
      </c>
      <c r="D220">
        <f t="shared" si="3"/>
        <v>1965</v>
      </c>
    </row>
    <row r="221" spans="1:4" x14ac:dyDescent="0.35">
      <c r="A221" s="1">
        <v>23833</v>
      </c>
      <c r="B221" s="2">
        <v>31.38</v>
      </c>
      <c r="C221" s="2">
        <v>31.0474</v>
      </c>
      <c r="D221">
        <f t="shared" si="3"/>
        <v>1965</v>
      </c>
    </row>
    <row r="222" spans="1:4" x14ac:dyDescent="0.35">
      <c r="A222" s="1">
        <v>23863</v>
      </c>
      <c r="B222" s="2">
        <v>31.48</v>
      </c>
      <c r="C222" s="2">
        <v>31.2898</v>
      </c>
      <c r="D222">
        <f t="shared" si="3"/>
        <v>1965</v>
      </c>
    </row>
    <row r="223" spans="1:4" x14ac:dyDescent="0.35">
      <c r="A223" s="1">
        <v>23894</v>
      </c>
      <c r="B223" s="2">
        <v>31.61</v>
      </c>
      <c r="C223" s="2">
        <v>31.5321</v>
      </c>
      <c r="D223">
        <f t="shared" si="3"/>
        <v>1965</v>
      </c>
    </row>
    <row r="224" spans="1:4" x14ac:dyDescent="0.35">
      <c r="A224" s="1">
        <v>23924</v>
      </c>
      <c r="B224" s="2">
        <v>31.58</v>
      </c>
      <c r="C224" s="2">
        <v>31.828299999999999</v>
      </c>
      <c r="D224">
        <f t="shared" si="3"/>
        <v>1965</v>
      </c>
    </row>
    <row r="225" spans="1:4" x14ac:dyDescent="0.35">
      <c r="A225" s="1">
        <v>23955</v>
      </c>
      <c r="B225" s="2">
        <v>31.55</v>
      </c>
      <c r="C225" s="2">
        <v>31.963000000000001</v>
      </c>
      <c r="D225">
        <f t="shared" si="3"/>
        <v>1965</v>
      </c>
    </row>
    <row r="226" spans="1:4" x14ac:dyDescent="0.35">
      <c r="A226" s="1">
        <v>23986</v>
      </c>
      <c r="B226" s="2">
        <v>31.62</v>
      </c>
      <c r="C226" s="2">
        <v>32.043799999999997</v>
      </c>
      <c r="D226">
        <f t="shared" si="3"/>
        <v>1965</v>
      </c>
    </row>
    <row r="227" spans="1:4" x14ac:dyDescent="0.35">
      <c r="A227" s="1">
        <v>24016</v>
      </c>
      <c r="B227" s="2">
        <v>31.65</v>
      </c>
      <c r="C227" s="2">
        <v>32.366900000000001</v>
      </c>
      <c r="D227">
        <f t="shared" si="3"/>
        <v>1965</v>
      </c>
    </row>
    <row r="228" spans="1:4" x14ac:dyDescent="0.35">
      <c r="A228" s="1">
        <v>24047</v>
      </c>
      <c r="B228" s="2">
        <v>31.75</v>
      </c>
      <c r="C228" s="2">
        <v>32.5015</v>
      </c>
      <c r="D228">
        <f t="shared" si="3"/>
        <v>1965</v>
      </c>
    </row>
    <row r="229" spans="1:4" x14ac:dyDescent="0.35">
      <c r="A229" s="1">
        <v>24077</v>
      </c>
      <c r="B229" s="2">
        <v>31.85</v>
      </c>
      <c r="C229" s="2">
        <v>32.9054</v>
      </c>
      <c r="D229">
        <f t="shared" si="3"/>
        <v>1965</v>
      </c>
    </row>
    <row r="230" spans="1:4" x14ac:dyDescent="0.35">
      <c r="A230" s="1">
        <v>24108</v>
      </c>
      <c r="B230" s="2">
        <v>31.88</v>
      </c>
      <c r="C230" s="2">
        <v>33.2286</v>
      </c>
      <c r="D230">
        <f t="shared" si="3"/>
        <v>1966</v>
      </c>
    </row>
    <row r="231" spans="1:4" x14ac:dyDescent="0.35">
      <c r="A231" s="1">
        <v>24139</v>
      </c>
      <c r="B231" s="2">
        <v>32.08</v>
      </c>
      <c r="C231" s="2">
        <v>33.444000000000003</v>
      </c>
      <c r="D231">
        <f t="shared" si="3"/>
        <v>1966</v>
      </c>
    </row>
    <row r="232" spans="1:4" x14ac:dyDescent="0.35">
      <c r="A232" s="1">
        <v>24167</v>
      </c>
      <c r="B232" s="2">
        <v>32.18</v>
      </c>
      <c r="C232" s="2">
        <v>33.901800000000001</v>
      </c>
      <c r="D232">
        <f t="shared" si="3"/>
        <v>1966</v>
      </c>
    </row>
    <row r="233" spans="1:4" x14ac:dyDescent="0.35">
      <c r="A233" s="1">
        <v>24198</v>
      </c>
      <c r="B233" s="2">
        <v>32.28</v>
      </c>
      <c r="C233" s="2">
        <v>33.955599999999997</v>
      </c>
      <c r="D233">
        <f t="shared" si="3"/>
        <v>1966</v>
      </c>
    </row>
    <row r="234" spans="1:4" x14ac:dyDescent="0.35">
      <c r="A234" s="1">
        <v>24228</v>
      </c>
      <c r="B234" s="2">
        <v>32.35</v>
      </c>
      <c r="C234" s="2">
        <v>34.278700000000001</v>
      </c>
      <c r="D234">
        <f t="shared" si="3"/>
        <v>1966</v>
      </c>
    </row>
    <row r="235" spans="1:4" x14ac:dyDescent="0.35">
      <c r="A235" s="1">
        <v>24259</v>
      </c>
      <c r="B235" s="2">
        <v>32.380000000000003</v>
      </c>
      <c r="C235" s="2">
        <v>34.440300000000001</v>
      </c>
      <c r="D235">
        <f t="shared" si="3"/>
        <v>1966</v>
      </c>
    </row>
    <row r="236" spans="1:4" x14ac:dyDescent="0.35">
      <c r="A236" s="1">
        <v>24289</v>
      </c>
      <c r="B236" s="2">
        <v>32.450000000000003</v>
      </c>
      <c r="C236" s="2">
        <v>34.628799999999998</v>
      </c>
      <c r="D236">
        <f t="shared" si="3"/>
        <v>1966</v>
      </c>
    </row>
    <row r="237" spans="1:4" x14ac:dyDescent="0.35">
      <c r="A237" s="1">
        <v>24320</v>
      </c>
      <c r="B237" s="2">
        <v>32.65</v>
      </c>
      <c r="C237" s="2">
        <v>34.655700000000003</v>
      </c>
      <c r="D237">
        <f t="shared" si="3"/>
        <v>1966</v>
      </c>
    </row>
    <row r="238" spans="1:4" x14ac:dyDescent="0.35">
      <c r="A238" s="1">
        <v>24351</v>
      </c>
      <c r="B238" s="2">
        <v>32.75</v>
      </c>
      <c r="C238" s="2">
        <v>34.978900000000003</v>
      </c>
      <c r="D238">
        <f t="shared" si="3"/>
        <v>1966</v>
      </c>
    </row>
    <row r="239" spans="1:4" x14ac:dyDescent="0.35">
      <c r="A239" s="1">
        <v>24381</v>
      </c>
      <c r="B239" s="2">
        <v>32.85</v>
      </c>
      <c r="C239" s="2">
        <v>35.221200000000003</v>
      </c>
      <c r="D239">
        <f t="shared" si="3"/>
        <v>1966</v>
      </c>
    </row>
    <row r="240" spans="1:4" x14ac:dyDescent="0.35">
      <c r="A240" s="1">
        <v>24412</v>
      </c>
      <c r="B240" s="2">
        <v>32.880000000000003</v>
      </c>
      <c r="C240" s="2">
        <v>34.9788</v>
      </c>
      <c r="D240">
        <f t="shared" si="3"/>
        <v>1966</v>
      </c>
    </row>
    <row r="241" spans="1:4" x14ac:dyDescent="0.35">
      <c r="A241" s="1">
        <v>24442</v>
      </c>
      <c r="B241" s="2">
        <v>32.92</v>
      </c>
      <c r="C241" s="2">
        <v>35.059600000000003</v>
      </c>
      <c r="D241">
        <f t="shared" si="3"/>
        <v>1966</v>
      </c>
    </row>
    <row r="242" spans="1:4" x14ac:dyDescent="0.35">
      <c r="A242" s="1">
        <v>24473</v>
      </c>
      <c r="B242" s="2">
        <v>32.9</v>
      </c>
      <c r="C242" s="2">
        <v>35.225000000000001</v>
      </c>
      <c r="D242">
        <f t="shared" si="3"/>
        <v>1967</v>
      </c>
    </row>
    <row r="243" spans="1:4" x14ac:dyDescent="0.35">
      <c r="A243" s="1">
        <v>24504</v>
      </c>
      <c r="B243" s="2">
        <v>33</v>
      </c>
      <c r="C243" s="2">
        <v>34.825499999999998</v>
      </c>
      <c r="D243">
        <f t="shared" si="3"/>
        <v>1967</v>
      </c>
    </row>
    <row r="244" spans="1:4" x14ac:dyDescent="0.35">
      <c r="A244" s="1">
        <v>24532</v>
      </c>
      <c r="B244" s="2">
        <v>33</v>
      </c>
      <c r="C244" s="2">
        <v>34.629199999999997</v>
      </c>
      <c r="D244">
        <f t="shared" si="3"/>
        <v>1967</v>
      </c>
    </row>
    <row r="245" spans="1:4" x14ac:dyDescent="0.35">
      <c r="A245" s="1">
        <v>24563</v>
      </c>
      <c r="B245" s="2">
        <v>33.1</v>
      </c>
      <c r="C245" s="2">
        <v>34.955800000000004</v>
      </c>
      <c r="D245">
        <f t="shared" si="3"/>
        <v>1967</v>
      </c>
    </row>
    <row r="246" spans="1:4" x14ac:dyDescent="0.35">
      <c r="A246" s="1">
        <v>24593</v>
      </c>
      <c r="B246" s="2">
        <v>33.1</v>
      </c>
      <c r="C246" s="2">
        <v>34.650799999999997</v>
      </c>
      <c r="D246">
        <f t="shared" si="3"/>
        <v>1967</v>
      </c>
    </row>
    <row r="247" spans="1:4" x14ac:dyDescent="0.35">
      <c r="A247" s="1">
        <v>24624</v>
      </c>
      <c r="B247" s="2">
        <v>33.299999999999997</v>
      </c>
      <c r="C247" s="2">
        <v>34.646500000000003</v>
      </c>
      <c r="D247">
        <f t="shared" si="3"/>
        <v>1967</v>
      </c>
    </row>
    <row r="248" spans="1:4" x14ac:dyDescent="0.35">
      <c r="A248" s="1">
        <v>24654</v>
      </c>
      <c r="B248" s="2">
        <v>33.4</v>
      </c>
      <c r="C248" s="2">
        <v>34.567599999999999</v>
      </c>
      <c r="D248">
        <f t="shared" si="3"/>
        <v>1967</v>
      </c>
    </row>
    <row r="249" spans="1:4" x14ac:dyDescent="0.35">
      <c r="A249" s="1">
        <v>24685</v>
      </c>
      <c r="B249" s="2">
        <v>33.5</v>
      </c>
      <c r="C249" s="2">
        <v>35.229900000000001</v>
      </c>
      <c r="D249">
        <f t="shared" si="3"/>
        <v>1967</v>
      </c>
    </row>
    <row r="250" spans="1:4" x14ac:dyDescent="0.35">
      <c r="A250" s="1">
        <v>24716</v>
      </c>
      <c r="B250" s="2">
        <v>33.6</v>
      </c>
      <c r="C250" s="2">
        <v>35.172699999999999</v>
      </c>
      <c r="D250">
        <f t="shared" si="3"/>
        <v>1967</v>
      </c>
    </row>
    <row r="251" spans="1:4" x14ac:dyDescent="0.35">
      <c r="A251" s="1">
        <v>24746</v>
      </c>
      <c r="B251" s="2">
        <v>33.700000000000003</v>
      </c>
      <c r="C251" s="2">
        <v>35.459099999999999</v>
      </c>
      <c r="D251">
        <f t="shared" si="3"/>
        <v>1967</v>
      </c>
    </row>
    <row r="252" spans="1:4" x14ac:dyDescent="0.35">
      <c r="A252" s="1">
        <v>24777</v>
      </c>
      <c r="B252" s="2">
        <v>33.9</v>
      </c>
      <c r="C252" s="2">
        <v>35.966299999999997</v>
      </c>
      <c r="D252">
        <f t="shared" si="3"/>
        <v>1967</v>
      </c>
    </row>
    <row r="253" spans="1:4" x14ac:dyDescent="0.35">
      <c r="A253" s="1">
        <v>24807</v>
      </c>
      <c r="B253" s="2">
        <v>34</v>
      </c>
      <c r="C253" s="2">
        <v>36.3536</v>
      </c>
      <c r="D253">
        <f t="shared" si="3"/>
        <v>1967</v>
      </c>
    </row>
    <row r="254" spans="1:4" x14ac:dyDescent="0.35">
      <c r="A254" s="1">
        <v>24838</v>
      </c>
      <c r="B254" s="2">
        <v>34.1</v>
      </c>
      <c r="C254" s="2">
        <v>36.314500000000002</v>
      </c>
      <c r="D254">
        <f t="shared" si="3"/>
        <v>1968</v>
      </c>
    </row>
    <row r="255" spans="1:4" x14ac:dyDescent="0.35">
      <c r="A255" s="1">
        <v>24869</v>
      </c>
      <c r="B255" s="2">
        <v>34.200000000000003</v>
      </c>
      <c r="C255" s="2">
        <v>36.444600000000001</v>
      </c>
      <c r="D255">
        <f t="shared" si="3"/>
        <v>1968</v>
      </c>
    </row>
    <row r="256" spans="1:4" x14ac:dyDescent="0.35">
      <c r="A256" s="1">
        <v>24898</v>
      </c>
      <c r="B256" s="2">
        <v>34.299999999999997</v>
      </c>
      <c r="C256" s="2">
        <v>36.558399999999999</v>
      </c>
      <c r="D256">
        <f t="shared" si="3"/>
        <v>1968</v>
      </c>
    </row>
    <row r="257" spans="1:4" x14ac:dyDescent="0.35">
      <c r="A257" s="1">
        <v>24929</v>
      </c>
      <c r="B257" s="2">
        <v>34.4</v>
      </c>
      <c r="C257" s="2">
        <v>36.6113</v>
      </c>
      <c r="D257">
        <f t="shared" si="3"/>
        <v>1968</v>
      </c>
    </row>
    <row r="258" spans="1:4" x14ac:dyDescent="0.35">
      <c r="A258" s="1">
        <v>24959</v>
      </c>
      <c r="B258" s="2">
        <v>34.5</v>
      </c>
      <c r="C258" s="2">
        <v>37.021999999999998</v>
      </c>
      <c r="D258">
        <f t="shared" ref="D258:D321" si="4">YEAR(A258)</f>
        <v>1968</v>
      </c>
    </row>
    <row r="259" spans="1:4" x14ac:dyDescent="0.35">
      <c r="A259" s="1">
        <v>24990</v>
      </c>
      <c r="B259" s="2">
        <v>34.700000000000003</v>
      </c>
      <c r="C259" s="2">
        <v>37.158000000000001</v>
      </c>
      <c r="D259">
        <f t="shared" si="4"/>
        <v>1968</v>
      </c>
    </row>
    <row r="260" spans="1:4" x14ac:dyDescent="0.35">
      <c r="A260" s="1">
        <v>25020</v>
      </c>
      <c r="B260" s="2">
        <v>34.9</v>
      </c>
      <c r="C260" s="2">
        <v>37.100999999999999</v>
      </c>
      <c r="D260">
        <f t="shared" si="4"/>
        <v>1968</v>
      </c>
    </row>
    <row r="261" spans="1:4" x14ac:dyDescent="0.35">
      <c r="A261" s="1">
        <v>25051</v>
      </c>
      <c r="B261" s="2">
        <v>35</v>
      </c>
      <c r="C261" s="2">
        <v>37.204500000000003</v>
      </c>
      <c r="D261">
        <f t="shared" si="4"/>
        <v>1968</v>
      </c>
    </row>
    <row r="262" spans="1:4" x14ac:dyDescent="0.35">
      <c r="A262" s="1">
        <v>25082</v>
      </c>
      <c r="B262" s="2">
        <v>35.1</v>
      </c>
      <c r="C262" s="2">
        <v>37.345399999999998</v>
      </c>
      <c r="D262">
        <f t="shared" si="4"/>
        <v>1968</v>
      </c>
    </row>
    <row r="263" spans="1:4" x14ac:dyDescent="0.35">
      <c r="A263" s="1">
        <v>25112</v>
      </c>
      <c r="B263" s="2">
        <v>35.299999999999997</v>
      </c>
      <c r="C263" s="2">
        <v>37.419600000000003</v>
      </c>
      <c r="D263">
        <f t="shared" si="4"/>
        <v>1968</v>
      </c>
    </row>
    <row r="264" spans="1:4" x14ac:dyDescent="0.35">
      <c r="A264" s="1">
        <v>25143</v>
      </c>
      <c r="B264" s="2">
        <v>35.4</v>
      </c>
      <c r="C264" s="2">
        <v>37.903599999999997</v>
      </c>
      <c r="D264">
        <f t="shared" si="4"/>
        <v>1968</v>
      </c>
    </row>
    <row r="265" spans="1:4" x14ac:dyDescent="0.35">
      <c r="A265" s="1">
        <v>25173</v>
      </c>
      <c r="B265" s="2">
        <v>35.6</v>
      </c>
      <c r="C265" s="2">
        <v>38.023299999999999</v>
      </c>
      <c r="D265">
        <f t="shared" si="4"/>
        <v>1968</v>
      </c>
    </row>
    <row r="266" spans="1:4" x14ac:dyDescent="0.35">
      <c r="A266" s="1">
        <v>25204</v>
      </c>
      <c r="B266" s="2">
        <v>35.700000000000003</v>
      </c>
      <c r="C266" s="2">
        <v>38.253300000000003</v>
      </c>
      <c r="D266">
        <f t="shared" si="4"/>
        <v>1969</v>
      </c>
    </row>
    <row r="267" spans="1:4" x14ac:dyDescent="0.35">
      <c r="A267" s="1">
        <v>25235</v>
      </c>
      <c r="B267" s="2">
        <v>35.799999999999997</v>
      </c>
      <c r="C267" s="2">
        <v>38.498100000000001</v>
      </c>
      <c r="D267">
        <f t="shared" si="4"/>
        <v>1969</v>
      </c>
    </row>
    <row r="268" spans="1:4" x14ac:dyDescent="0.35">
      <c r="A268" s="1">
        <v>25263</v>
      </c>
      <c r="B268" s="2">
        <v>36.1</v>
      </c>
      <c r="C268" s="2">
        <v>38.799999999999997</v>
      </c>
      <c r="D268">
        <f t="shared" si="4"/>
        <v>1969</v>
      </c>
    </row>
    <row r="269" spans="1:4" x14ac:dyDescent="0.35">
      <c r="A269" s="1">
        <v>25294</v>
      </c>
      <c r="B269" s="2">
        <v>36.299999999999997</v>
      </c>
      <c r="C269" s="2">
        <v>38.657299999999999</v>
      </c>
      <c r="D269">
        <f t="shared" si="4"/>
        <v>1969</v>
      </c>
    </row>
    <row r="270" spans="1:4" x14ac:dyDescent="0.35">
      <c r="A270" s="1">
        <v>25324</v>
      </c>
      <c r="B270" s="2">
        <v>36.4</v>
      </c>
      <c r="C270" s="2">
        <v>38.511099999999999</v>
      </c>
      <c r="D270">
        <f t="shared" si="4"/>
        <v>1969</v>
      </c>
    </row>
    <row r="271" spans="1:4" x14ac:dyDescent="0.35">
      <c r="A271" s="1">
        <v>25355</v>
      </c>
      <c r="B271" s="2">
        <v>36.6</v>
      </c>
      <c r="C271" s="2">
        <v>38.8874</v>
      </c>
      <c r="D271">
        <f t="shared" si="4"/>
        <v>1969</v>
      </c>
    </row>
    <row r="272" spans="1:4" x14ac:dyDescent="0.35">
      <c r="A272" s="1">
        <v>25385</v>
      </c>
      <c r="B272" s="2">
        <v>36.799999999999997</v>
      </c>
      <c r="C272" s="2">
        <v>39.092700000000001</v>
      </c>
      <c r="D272">
        <f t="shared" si="4"/>
        <v>1969</v>
      </c>
    </row>
    <row r="273" spans="1:4" x14ac:dyDescent="0.35">
      <c r="A273" s="1">
        <v>25416</v>
      </c>
      <c r="B273" s="2">
        <v>36.9</v>
      </c>
      <c r="C273" s="2">
        <v>39.182499999999997</v>
      </c>
      <c r="D273">
        <f t="shared" si="4"/>
        <v>1969</v>
      </c>
    </row>
    <row r="274" spans="1:4" x14ac:dyDescent="0.35">
      <c r="A274" s="1">
        <v>25447</v>
      </c>
      <c r="B274" s="2">
        <v>37.1</v>
      </c>
      <c r="C274" s="2">
        <v>39.173699999999997</v>
      </c>
      <c r="D274">
        <f t="shared" si="4"/>
        <v>1969</v>
      </c>
    </row>
    <row r="275" spans="1:4" x14ac:dyDescent="0.35">
      <c r="A275" s="1">
        <v>25477</v>
      </c>
      <c r="B275" s="2">
        <v>37.299999999999997</v>
      </c>
      <c r="C275" s="2">
        <v>39.185200000000002</v>
      </c>
      <c r="D275">
        <f t="shared" si="4"/>
        <v>1969</v>
      </c>
    </row>
    <row r="276" spans="1:4" x14ac:dyDescent="0.35">
      <c r="A276" s="1">
        <v>25508</v>
      </c>
      <c r="B276" s="2">
        <v>37.5</v>
      </c>
      <c r="C276" s="2">
        <v>38.815800000000003</v>
      </c>
      <c r="D276">
        <f t="shared" si="4"/>
        <v>1969</v>
      </c>
    </row>
    <row r="277" spans="1:4" x14ac:dyDescent="0.35">
      <c r="A277" s="1">
        <v>25538</v>
      </c>
      <c r="B277" s="2">
        <v>37.700000000000003</v>
      </c>
      <c r="C277" s="2">
        <v>38.711599999999997</v>
      </c>
      <c r="D277">
        <f t="shared" si="4"/>
        <v>1969</v>
      </c>
    </row>
    <row r="278" spans="1:4" x14ac:dyDescent="0.35">
      <c r="A278" s="1">
        <v>25569</v>
      </c>
      <c r="B278" s="2">
        <v>37.9</v>
      </c>
      <c r="C278" s="2">
        <v>37.994799999999998</v>
      </c>
      <c r="D278">
        <f t="shared" si="4"/>
        <v>1970</v>
      </c>
    </row>
    <row r="279" spans="1:4" x14ac:dyDescent="0.35">
      <c r="A279" s="1">
        <v>25600</v>
      </c>
      <c r="B279" s="2">
        <v>38.1</v>
      </c>
      <c r="C279" s="2">
        <v>37.969799999999999</v>
      </c>
      <c r="D279">
        <f t="shared" si="4"/>
        <v>1970</v>
      </c>
    </row>
    <row r="280" spans="1:4" x14ac:dyDescent="0.35">
      <c r="A280" s="1">
        <v>25628</v>
      </c>
      <c r="B280" s="2">
        <v>38.299999999999997</v>
      </c>
      <c r="C280" s="2">
        <v>37.920499999999997</v>
      </c>
      <c r="D280">
        <f t="shared" si="4"/>
        <v>1970</v>
      </c>
    </row>
    <row r="281" spans="1:4" x14ac:dyDescent="0.35">
      <c r="A281" s="1">
        <v>25659</v>
      </c>
      <c r="B281" s="2">
        <v>38.5</v>
      </c>
      <c r="C281" s="2">
        <v>37.823</v>
      </c>
      <c r="D281">
        <f t="shared" si="4"/>
        <v>1970</v>
      </c>
    </row>
    <row r="282" spans="1:4" x14ac:dyDescent="0.35">
      <c r="A282" s="1">
        <v>25689</v>
      </c>
      <c r="B282" s="2">
        <v>38.6</v>
      </c>
      <c r="C282" s="2">
        <v>37.7789</v>
      </c>
      <c r="D282">
        <f t="shared" si="4"/>
        <v>1970</v>
      </c>
    </row>
    <row r="283" spans="1:4" x14ac:dyDescent="0.35">
      <c r="A283" s="1">
        <v>25720</v>
      </c>
      <c r="B283" s="2">
        <v>38.799999999999997</v>
      </c>
      <c r="C283" s="2">
        <v>37.656700000000001</v>
      </c>
      <c r="D283">
        <f t="shared" si="4"/>
        <v>1970</v>
      </c>
    </row>
    <row r="284" spans="1:4" x14ac:dyDescent="0.35">
      <c r="A284" s="1">
        <v>25750</v>
      </c>
      <c r="B284" s="2">
        <v>38.9</v>
      </c>
      <c r="C284" s="2">
        <v>37.749099999999999</v>
      </c>
      <c r="D284">
        <f t="shared" si="4"/>
        <v>1970</v>
      </c>
    </row>
    <row r="285" spans="1:4" x14ac:dyDescent="0.35">
      <c r="A285" s="1">
        <v>25781</v>
      </c>
      <c r="B285" s="2">
        <v>39</v>
      </c>
      <c r="C285" s="2">
        <v>37.681800000000003</v>
      </c>
      <c r="D285">
        <f t="shared" si="4"/>
        <v>1970</v>
      </c>
    </row>
    <row r="286" spans="1:4" x14ac:dyDescent="0.35">
      <c r="A286" s="1">
        <v>25812</v>
      </c>
      <c r="B286" s="2">
        <v>39.200000000000003</v>
      </c>
      <c r="C286" s="2">
        <v>37.4221</v>
      </c>
      <c r="D286">
        <f t="shared" si="4"/>
        <v>1970</v>
      </c>
    </row>
    <row r="287" spans="1:4" x14ac:dyDescent="0.35">
      <c r="A287" s="1">
        <v>25842</v>
      </c>
      <c r="B287" s="2">
        <v>39.4</v>
      </c>
      <c r="C287" s="2">
        <v>36.673499999999997</v>
      </c>
      <c r="D287">
        <f t="shared" si="4"/>
        <v>1970</v>
      </c>
    </row>
    <row r="288" spans="1:4" x14ac:dyDescent="0.35">
      <c r="A288" s="1">
        <v>25873</v>
      </c>
      <c r="B288" s="2">
        <v>39.6</v>
      </c>
      <c r="C288" s="2">
        <v>36.4514</v>
      </c>
      <c r="D288">
        <f t="shared" si="4"/>
        <v>1970</v>
      </c>
    </row>
    <row r="289" spans="1:4" x14ac:dyDescent="0.35">
      <c r="A289" s="1">
        <v>25903</v>
      </c>
      <c r="B289" s="2">
        <v>39.799999999999997</v>
      </c>
      <c r="C289" s="2">
        <v>37.288499999999999</v>
      </c>
      <c r="D289">
        <f t="shared" si="4"/>
        <v>1970</v>
      </c>
    </row>
    <row r="290" spans="1:4" x14ac:dyDescent="0.35">
      <c r="A290" s="1">
        <v>25934</v>
      </c>
      <c r="B290" s="2">
        <v>39.9</v>
      </c>
      <c r="C290" s="2">
        <v>37.575299999999999</v>
      </c>
      <c r="D290">
        <f t="shared" si="4"/>
        <v>1971</v>
      </c>
    </row>
    <row r="291" spans="1:4" x14ac:dyDescent="0.35">
      <c r="A291" s="1">
        <v>25965</v>
      </c>
      <c r="B291" s="2">
        <v>39.9</v>
      </c>
      <c r="C291" s="2">
        <v>37.503700000000002</v>
      </c>
      <c r="D291">
        <f t="shared" si="4"/>
        <v>1971</v>
      </c>
    </row>
    <row r="292" spans="1:4" x14ac:dyDescent="0.35">
      <c r="A292" s="1">
        <v>25993</v>
      </c>
      <c r="B292" s="2">
        <v>40</v>
      </c>
      <c r="C292" s="2">
        <v>37.463099999999997</v>
      </c>
      <c r="D292">
        <f t="shared" si="4"/>
        <v>1971</v>
      </c>
    </row>
    <row r="293" spans="1:4" x14ac:dyDescent="0.35">
      <c r="A293" s="1">
        <v>26024</v>
      </c>
      <c r="B293" s="2">
        <v>40.1</v>
      </c>
      <c r="C293" s="2">
        <v>37.673499999999997</v>
      </c>
      <c r="D293">
        <f t="shared" si="4"/>
        <v>1971</v>
      </c>
    </row>
    <row r="294" spans="1:4" x14ac:dyDescent="0.35">
      <c r="A294" s="1">
        <v>26054</v>
      </c>
      <c r="B294" s="2">
        <v>40.299999999999997</v>
      </c>
      <c r="C294" s="2">
        <v>37.864600000000003</v>
      </c>
      <c r="D294">
        <f t="shared" si="4"/>
        <v>1971</v>
      </c>
    </row>
    <row r="295" spans="1:4" x14ac:dyDescent="0.35">
      <c r="A295" s="1">
        <v>26085</v>
      </c>
      <c r="B295" s="2">
        <v>40.5</v>
      </c>
      <c r="C295" s="2">
        <v>38.023400000000002</v>
      </c>
      <c r="D295">
        <f t="shared" si="4"/>
        <v>1971</v>
      </c>
    </row>
    <row r="296" spans="1:4" x14ac:dyDescent="0.35">
      <c r="A296" s="1">
        <v>26115</v>
      </c>
      <c r="B296" s="2">
        <v>40.6</v>
      </c>
      <c r="C296" s="2">
        <v>37.9131</v>
      </c>
      <c r="D296">
        <f t="shared" si="4"/>
        <v>1971</v>
      </c>
    </row>
    <row r="297" spans="1:4" x14ac:dyDescent="0.35">
      <c r="A297" s="1">
        <v>26146</v>
      </c>
      <c r="B297" s="2">
        <v>40.700000000000003</v>
      </c>
      <c r="C297" s="2">
        <v>37.692999999999998</v>
      </c>
      <c r="D297">
        <f t="shared" si="4"/>
        <v>1971</v>
      </c>
    </row>
    <row r="298" spans="1:4" x14ac:dyDescent="0.35">
      <c r="A298" s="1">
        <v>26177</v>
      </c>
      <c r="B298" s="2">
        <v>40.799999999999997</v>
      </c>
      <c r="C298" s="2">
        <v>38.305599999999998</v>
      </c>
      <c r="D298">
        <f t="shared" si="4"/>
        <v>1971</v>
      </c>
    </row>
    <row r="299" spans="1:4" x14ac:dyDescent="0.35">
      <c r="A299" s="1">
        <v>26207</v>
      </c>
      <c r="B299" s="2">
        <v>40.9</v>
      </c>
      <c r="C299" s="2">
        <v>38.592399999999998</v>
      </c>
      <c r="D299">
        <f t="shared" si="4"/>
        <v>1971</v>
      </c>
    </row>
    <row r="300" spans="1:4" x14ac:dyDescent="0.35">
      <c r="A300" s="1">
        <v>26238</v>
      </c>
      <c r="B300" s="2">
        <v>41</v>
      </c>
      <c r="C300" s="2">
        <v>38.756100000000004</v>
      </c>
      <c r="D300">
        <f t="shared" si="4"/>
        <v>1971</v>
      </c>
    </row>
    <row r="301" spans="1:4" x14ac:dyDescent="0.35">
      <c r="A301" s="1">
        <v>26268</v>
      </c>
      <c r="B301" s="2">
        <v>41.1</v>
      </c>
      <c r="C301" s="2">
        <v>39.203499999999998</v>
      </c>
      <c r="D301">
        <f t="shared" si="4"/>
        <v>1971</v>
      </c>
    </row>
    <row r="302" spans="1:4" x14ac:dyDescent="0.35">
      <c r="A302" s="1">
        <v>26299</v>
      </c>
      <c r="B302" s="2">
        <v>41.2</v>
      </c>
      <c r="C302" s="2">
        <v>40.140799999999999</v>
      </c>
      <c r="D302">
        <f t="shared" si="4"/>
        <v>1972</v>
      </c>
    </row>
    <row r="303" spans="1:4" x14ac:dyDescent="0.35">
      <c r="A303" s="1">
        <v>26330</v>
      </c>
      <c r="B303" s="2">
        <v>41.4</v>
      </c>
      <c r="C303" s="2">
        <v>40.545900000000003</v>
      </c>
      <c r="D303">
        <f t="shared" si="4"/>
        <v>1972</v>
      </c>
    </row>
    <row r="304" spans="1:4" x14ac:dyDescent="0.35">
      <c r="A304" s="1">
        <v>26359</v>
      </c>
      <c r="B304" s="2">
        <v>41.4</v>
      </c>
      <c r="C304" s="2">
        <v>40.826300000000003</v>
      </c>
      <c r="D304">
        <f t="shared" si="4"/>
        <v>1972</v>
      </c>
    </row>
    <row r="305" spans="1:4" x14ac:dyDescent="0.35">
      <c r="A305" s="1">
        <v>26390</v>
      </c>
      <c r="B305" s="2">
        <v>41.5</v>
      </c>
      <c r="C305" s="2">
        <v>41.2348</v>
      </c>
      <c r="D305">
        <f t="shared" si="4"/>
        <v>1972</v>
      </c>
    </row>
    <row r="306" spans="1:4" x14ac:dyDescent="0.35">
      <c r="A306" s="1">
        <v>26420</v>
      </c>
      <c r="B306" s="2">
        <v>41.6</v>
      </c>
      <c r="C306" s="2">
        <v>41.240499999999997</v>
      </c>
      <c r="D306">
        <f t="shared" si="4"/>
        <v>1972</v>
      </c>
    </row>
    <row r="307" spans="1:4" x14ac:dyDescent="0.35">
      <c r="A307" s="1">
        <v>26451</v>
      </c>
      <c r="B307" s="2">
        <v>41.7</v>
      </c>
      <c r="C307" s="2">
        <v>41.349699999999999</v>
      </c>
      <c r="D307">
        <f t="shared" si="4"/>
        <v>1972</v>
      </c>
    </row>
    <row r="308" spans="1:4" x14ac:dyDescent="0.35">
      <c r="A308" s="1">
        <v>26481</v>
      </c>
      <c r="B308" s="2">
        <v>41.8</v>
      </c>
      <c r="C308" s="2">
        <v>41.3035</v>
      </c>
      <c r="D308">
        <f t="shared" si="4"/>
        <v>1972</v>
      </c>
    </row>
    <row r="309" spans="1:4" x14ac:dyDescent="0.35">
      <c r="A309" s="1">
        <v>26512</v>
      </c>
      <c r="B309" s="2">
        <v>41.9</v>
      </c>
      <c r="C309" s="2">
        <v>41.878999999999998</v>
      </c>
      <c r="D309">
        <f t="shared" si="4"/>
        <v>1972</v>
      </c>
    </row>
    <row r="310" spans="1:4" x14ac:dyDescent="0.35">
      <c r="A310" s="1">
        <v>26543</v>
      </c>
      <c r="B310" s="2">
        <v>42.1</v>
      </c>
      <c r="C310" s="2">
        <v>42.213200000000001</v>
      </c>
      <c r="D310">
        <f t="shared" si="4"/>
        <v>1972</v>
      </c>
    </row>
    <row r="311" spans="1:4" x14ac:dyDescent="0.35">
      <c r="A311" s="1">
        <v>26573</v>
      </c>
      <c r="B311" s="2">
        <v>42.2</v>
      </c>
      <c r="C311" s="2">
        <v>42.749400000000001</v>
      </c>
      <c r="D311">
        <f t="shared" si="4"/>
        <v>1972</v>
      </c>
    </row>
    <row r="312" spans="1:4" x14ac:dyDescent="0.35">
      <c r="A312" s="1">
        <v>26604</v>
      </c>
      <c r="B312" s="2">
        <v>42.4</v>
      </c>
      <c r="C312" s="2">
        <v>43.254800000000003</v>
      </c>
      <c r="D312">
        <f t="shared" si="4"/>
        <v>1972</v>
      </c>
    </row>
    <row r="313" spans="1:4" x14ac:dyDescent="0.35">
      <c r="A313" s="1">
        <v>26634</v>
      </c>
      <c r="B313" s="2">
        <v>42.5</v>
      </c>
      <c r="C313" s="2">
        <v>43.736699999999999</v>
      </c>
      <c r="D313">
        <f t="shared" si="4"/>
        <v>1972</v>
      </c>
    </row>
    <row r="314" spans="1:4" x14ac:dyDescent="0.35">
      <c r="A314" s="1">
        <v>26665</v>
      </c>
      <c r="B314" s="2">
        <v>42.7</v>
      </c>
      <c r="C314" s="2">
        <v>44.052900000000001</v>
      </c>
      <c r="D314">
        <f t="shared" si="4"/>
        <v>1973</v>
      </c>
    </row>
    <row r="315" spans="1:4" x14ac:dyDescent="0.35">
      <c r="A315" s="1">
        <v>26696</v>
      </c>
      <c r="B315" s="2">
        <v>43</v>
      </c>
      <c r="C315" s="2">
        <v>44.682699999999997</v>
      </c>
      <c r="D315">
        <f t="shared" si="4"/>
        <v>1973</v>
      </c>
    </row>
    <row r="316" spans="1:4" x14ac:dyDescent="0.35">
      <c r="A316" s="1">
        <v>26724</v>
      </c>
      <c r="B316" s="2">
        <v>43.4</v>
      </c>
      <c r="C316" s="2">
        <v>44.704500000000003</v>
      </c>
      <c r="D316">
        <f t="shared" si="4"/>
        <v>1973</v>
      </c>
    </row>
    <row r="317" spans="1:4" x14ac:dyDescent="0.35">
      <c r="A317" s="1">
        <v>26755</v>
      </c>
      <c r="B317" s="2">
        <v>43.7</v>
      </c>
      <c r="C317" s="2">
        <v>44.6387</v>
      </c>
      <c r="D317">
        <f t="shared" si="4"/>
        <v>1973</v>
      </c>
    </row>
    <row r="318" spans="1:4" x14ac:dyDescent="0.35">
      <c r="A318" s="1">
        <v>26785</v>
      </c>
      <c r="B318" s="2">
        <v>43.9</v>
      </c>
      <c r="C318" s="2">
        <v>44.942900000000002</v>
      </c>
      <c r="D318">
        <f t="shared" si="4"/>
        <v>1973</v>
      </c>
    </row>
    <row r="319" spans="1:4" x14ac:dyDescent="0.35">
      <c r="A319" s="1">
        <v>26816</v>
      </c>
      <c r="B319" s="2">
        <v>44.2</v>
      </c>
      <c r="C319" s="2">
        <v>45.003500000000003</v>
      </c>
      <c r="D319">
        <f t="shared" si="4"/>
        <v>1973</v>
      </c>
    </row>
    <row r="320" spans="1:4" x14ac:dyDescent="0.35">
      <c r="A320" s="1">
        <v>26846</v>
      </c>
      <c r="B320" s="2">
        <v>44.2</v>
      </c>
      <c r="C320" s="2">
        <v>45.163600000000002</v>
      </c>
      <c r="D320">
        <f t="shared" si="4"/>
        <v>1973</v>
      </c>
    </row>
    <row r="321" spans="1:4" x14ac:dyDescent="0.35">
      <c r="A321" s="1">
        <v>26877</v>
      </c>
      <c r="B321" s="2">
        <v>45</v>
      </c>
      <c r="C321" s="2">
        <v>45.101900000000001</v>
      </c>
      <c r="D321">
        <f t="shared" si="4"/>
        <v>1973</v>
      </c>
    </row>
    <row r="322" spans="1:4" x14ac:dyDescent="0.35">
      <c r="A322" s="1">
        <v>26908</v>
      </c>
      <c r="B322" s="2">
        <v>45.2</v>
      </c>
      <c r="C322" s="2">
        <v>45.462400000000002</v>
      </c>
      <c r="D322">
        <f t="shared" ref="D322:D385" si="5">YEAR(A322)</f>
        <v>1973</v>
      </c>
    </row>
    <row r="323" spans="1:4" x14ac:dyDescent="0.35">
      <c r="A323" s="1">
        <v>26938</v>
      </c>
      <c r="B323" s="2">
        <v>45.6</v>
      </c>
      <c r="C323" s="2">
        <v>45.847000000000001</v>
      </c>
      <c r="D323">
        <f t="shared" si="5"/>
        <v>1973</v>
      </c>
    </row>
    <row r="324" spans="1:4" x14ac:dyDescent="0.35">
      <c r="A324" s="1">
        <v>26969</v>
      </c>
      <c r="B324" s="2">
        <v>45.9</v>
      </c>
      <c r="C324" s="2">
        <v>46.055300000000003</v>
      </c>
      <c r="D324">
        <f t="shared" si="5"/>
        <v>1973</v>
      </c>
    </row>
    <row r="325" spans="1:4" x14ac:dyDescent="0.35">
      <c r="A325" s="1">
        <v>26999</v>
      </c>
      <c r="B325" s="2">
        <v>46.3</v>
      </c>
      <c r="C325" s="2">
        <v>45.923000000000002</v>
      </c>
      <c r="D325">
        <f t="shared" si="5"/>
        <v>1973</v>
      </c>
    </row>
    <row r="326" spans="1:4" x14ac:dyDescent="0.35">
      <c r="A326" s="1">
        <v>27030</v>
      </c>
      <c r="B326" s="2">
        <v>46.8</v>
      </c>
      <c r="C326" s="2">
        <v>45.620399999999997</v>
      </c>
      <c r="D326">
        <f t="shared" si="5"/>
        <v>1974</v>
      </c>
    </row>
    <row r="327" spans="1:4" x14ac:dyDescent="0.35">
      <c r="A327" s="1">
        <v>27061</v>
      </c>
      <c r="B327" s="2">
        <v>47.3</v>
      </c>
      <c r="C327" s="2">
        <v>45.475900000000003</v>
      </c>
      <c r="D327">
        <f t="shared" si="5"/>
        <v>1974</v>
      </c>
    </row>
    <row r="328" spans="1:4" x14ac:dyDescent="0.35">
      <c r="A328" s="1">
        <v>27089</v>
      </c>
      <c r="B328" s="2">
        <v>47.8</v>
      </c>
      <c r="C328" s="2">
        <v>45.477699999999999</v>
      </c>
      <c r="D328">
        <f t="shared" si="5"/>
        <v>1974</v>
      </c>
    </row>
    <row r="329" spans="1:4" x14ac:dyDescent="0.35">
      <c r="A329" s="1">
        <v>27120</v>
      </c>
      <c r="B329" s="2">
        <v>48.1</v>
      </c>
      <c r="C329" s="2">
        <v>45.345100000000002</v>
      </c>
      <c r="D329">
        <f t="shared" si="5"/>
        <v>1974</v>
      </c>
    </row>
    <row r="330" spans="1:4" x14ac:dyDescent="0.35">
      <c r="A330" s="1">
        <v>27150</v>
      </c>
      <c r="B330" s="2">
        <v>48.6</v>
      </c>
      <c r="C330" s="2">
        <v>45.7044</v>
      </c>
      <c r="D330">
        <f t="shared" si="5"/>
        <v>1974</v>
      </c>
    </row>
    <row r="331" spans="1:4" x14ac:dyDescent="0.35">
      <c r="A331" s="1">
        <v>27181</v>
      </c>
      <c r="B331" s="2">
        <v>49</v>
      </c>
      <c r="C331" s="2">
        <v>45.623800000000003</v>
      </c>
      <c r="D331">
        <f t="shared" si="5"/>
        <v>1974</v>
      </c>
    </row>
    <row r="332" spans="1:4" x14ac:dyDescent="0.35">
      <c r="A332" s="1">
        <v>27211</v>
      </c>
      <c r="B332" s="2">
        <v>49.3</v>
      </c>
      <c r="C332" s="2">
        <v>45.722099999999998</v>
      </c>
      <c r="D332">
        <f t="shared" si="5"/>
        <v>1974</v>
      </c>
    </row>
    <row r="333" spans="1:4" x14ac:dyDescent="0.35">
      <c r="A333" s="1">
        <v>27242</v>
      </c>
      <c r="B333" s="2">
        <v>49.9</v>
      </c>
      <c r="C333" s="2">
        <v>45.236600000000003</v>
      </c>
      <c r="D333">
        <f t="shared" si="5"/>
        <v>1974</v>
      </c>
    </row>
    <row r="334" spans="1:4" x14ac:dyDescent="0.35">
      <c r="A334" s="1">
        <v>27273</v>
      </c>
      <c r="B334" s="2">
        <v>50.6</v>
      </c>
      <c r="C334" s="2">
        <v>45.236499999999999</v>
      </c>
      <c r="D334">
        <f t="shared" si="5"/>
        <v>1974</v>
      </c>
    </row>
    <row r="335" spans="1:4" x14ac:dyDescent="0.35">
      <c r="A335" s="1">
        <v>27303</v>
      </c>
      <c r="B335" s="2">
        <v>51</v>
      </c>
      <c r="C335" s="2">
        <v>45.113300000000002</v>
      </c>
      <c r="D335">
        <f t="shared" si="5"/>
        <v>1974</v>
      </c>
    </row>
    <row r="336" spans="1:4" x14ac:dyDescent="0.35">
      <c r="A336" s="1">
        <v>27334</v>
      </c>
      <c r="B336" s="2">
        <v>51.5</v>
      </c>
      <c r="C336" s="2">
        <v>43.627800000000001</v>
      </c>
      <c r="D336">
        <f t="shared" si="5"/>
        <v>1974</v>
      </c>
    </row>
    <row r="337" spans="1:4" x14ac:dyDescent="0.35">
      <c r="A337" s="1">
        <v>27364</v>
      </c>
      <c r="B337" s="2">
        <v>51.9</v>
      </c>
      <c r="C337" s="2">
        <v>42.0533</v>
      </c>
      <c r="D337">
        <f t="shared" si="5"/>
        <v>1974</v>
      </c>
    </row>
    <row r="338" spans="1:4" x14ac:dyDescent="0.35">
      <c r="A338" s="1">
        <v>27395</v>
      </c>
      <c r="B338" s="2">
        <v>52.3</v>
      </c>
      <c r="C338" s="2">
        <v>41.467599999999997</v>
      </c>
      <c r="D338">
        <f t="shared" si="5"/>
        <v>1975</v>
      </c>
    </row>
    <row r="339" spans="1:4" x14ac:dyDescent="0.35">
      <c r="A339" s="1">
        <v>27426</v>
      </c>
      <c r="B339" s="2">
        <v>52.6</v>
      </c>
      <c r="C339" s="2">
        <v>40.516500000000001</v>
      </c>
      <c r="D339">
        <f t="shared" si="5"/>
        <v>1975</v>
      </c>
    </row>
    <row r="340" spans="1:4" x14ac:dyDescent="0.35">
      <c r="A340" s="1">
        <v>27454</v>
      </c>
      <c r="B340" s="2">
        <v>52.8</v>
      </c>
      <c r="C340" s="2">
        <v>40.063800000000001</v>
      </c>
      <c r="D340">
        <f t="shared" si="5"/>
        <v>1975</v>
      </c>
    </row>
    <row r="341" spans="1:4" x14ac:dyDescent="0.35">
      <c r="A341" s="1">
        <v>27485</v>
      </c>
      <c r="B341" s="2">
        <v>53</v>
      </c>
      <c r="C341" s="2">
        <v>40.157299999999999</v>
      </c>
      <c r="D341">
        <f t="shared" si="5"/>
        <v>1975</v>
      </c>
    </row>
    <row r="342" spans="1:4" x14ac:dyDescent="0.35">
      <c r="A342" s="1">
        <v>27515</v>
      </c>
      <c r="B342" s="2">
        <v>53.1</v>
      </c>
      <c r="C342" s="2">
        <v>40.025300000000001</v>
      </c>
      <c r="D342">
        <f t="shared" si="5"/>
        <v>1975</v>
      </c>
    </row>
    <row r="343" spans="1:4" x14ac:dyDescent="0.35">
      <c r="A343" s="1">
        <v>27546</v>
      </c>
      <c r="B343" s="2">
        <v>53.5</v>
      </c>
      <c r="C343" s="2">
        <v>40.277200000000001</v>
      </c>
      <c r="D343">
        <f t="shared" si="5"/>
        <v>1975</v>
      </c>
    </row>
    <row r="344" spans="1:4" x14ac:dyDescent="0.35">
      <c r="A344" s="1">
        <v>27576</v>
      </c>
      <c r="B344" s="2">
        <v>54</v>
      </c>
      <c r="C344" s="2">
        <v>40.699399999999997</v>
      </c>
      <c r="D344">
        <f t="shared" si="5"/>
        <v>1975</v>
      </c>
    </row>
    <row r="345" spans="1:4" x14ac:dyDescent="0.35">
      <c r="A345" s="1">
        <v>27607</v>
      </c>
      <c r="B345" s="2">
        <v>54.2</v>
      </c>
      <c r="C345" s="2">
        <v>41.099800000000002</v>
      </c>
      <c r="D345">
        <f t="shared" si="5"/>
        <v>1975</v>
      </c>
    </row>
    <row r="346" spans="1:4" x14ac:dyDescent="0.35">
      <c r="A346" s="1">
        <v>27638</v>
      </c>
      <c r="B346" s="2">
        <v>54.6</v>
      </c>
      <c r="C346" s="2">
        <v>41.630400000000002</v>
      </c>
      <c r="D346">
        <f t="shared" si="5"/>
        <v>1975</v>
      </c>
    </row>
    <row r="347" spans="1:4" x14ac:dyDescent="0.35">
      <c r="A347" s="1">
        <v>27668</v>
      </c>
      <c r="B347" s="2">
        <v>54.9</v>
      </c>
      <c r="C347" s="2">
        <v>41.813499999999998</v>
      </c>
      <c r="D347">
        <f t="shared" si="5"/>
        <v>1975</v>
      </c>
    </row>
    <row r="348" spans="1:4" x14ac:dyDescent="0.35">
      <c r="A348" s="1">
        <v>27699</v>
      </c>
      <c r="B348" s="2">
        <v>55.3</v>
      </c>
      <c r="C348" s="2">
        <v>41.869700000000002</v>
      </c>
      <c r="D348">
        <f t="shared" si="5"/>
        <v>1975</v>
      </c>
    </row>
    <row r="349" spans="1:4" x14ac:dyDescent="0.35">
      <c r="A349" s="1">
        <v>27729</v>
      </c>
      <c r="B349" s="2">
        <v>55.6</v>
      </c>
      <c r="C349" s="2">
        <v>42.441400000000002</v>
      </c>
      <c r="D349">
        <f t="shared" si="5"/>
        <v>1975</v>
      </c>
    </row>
    <row r="350" spans="1:4" x14ac:dyDescent="0.35">
      <c r="A350" s="1">
        <v>27760</v>
      </c>
      <c r="B350" s="2">
        <v>55.8</v>
      </c>
      <c r="C350" s="2">
        <v>43.001199999999997</v>
      </c>
      <c r="D350">
        <f t="shared" si="5"/>
        <v>1976</v>
      </c>
    </row>
    <row r="351" spans="1:4" x14ac:dyDescent="0.35">
      <c r="A351" s="1">
        <v>27791</v>
      </c>
      <c r="B351" s="2">
        <v>55.9</v>
      </c>
      <c r="C351" s="2">
        <v>43.422899999999998</v>
      </c>
      <c r="D351">
        <f t="shared" si="5"/>
        <v>1976</v>
      </c>
    </row>
    <row r="352" spans="1:4" x14ac:dyDescent="0.35">
      <c r="A352" s="1">
        <v>27820</v>
      </c>
      <c r="B352" s="2">
        <v>56</v>
      </c>
      <c r="C352" s="2">
        <v>43.516800000000003</v>
      </c>
      <c r="D352">
        <f t="shared" si="5"/>
        <v>1976</v>
      </c>
    </row>
    <row r="353" spans="1:4" x14ac:dyDescent="0.35">
      <c r="A353" s="1">
        <v>27851</v>
      </c>
      <c r="B353" s="2">
        <v>56.1</v>
      </c>
      <c r="C353" s="2">
        <v>43.732700000000001</v>
      </c>
      <c r="D353">
        <f t="shared" si="5"/>
        <v>1976</v>
      </c>
    </row>
    <row r="354" spans="1:4" x14ac:dyDescent="0.35">
      <c r="A354" s="1">
        <v>27881</v>
      </c>
      <c r="B354" s="2">
        <v>56.4</v>
      </c>
      <c r="C354" s="2">
        <v>43.918599999999998</v>
      </c>
      <c r="D354">
        <f t="shared" si="5"/>
        <v>1976</v>
      </c>
    </row>
    <row r="355" spans="1:4" x14ac:dyDescent="0.35">
      <c r="A355" s="1">
        <v>27912</v>
      </c>
      <c r="B355" s="2">
        <v>56.7</v>
      </c>
      <c r="C355" s="2">
        <v>43.963700000000003</v>
      </c>
      <c r="D355">
        <f t="shared" si="5"/>
        <v>1976</v>
      </c>
    </row>
    <row r="356" spans="1:4" x14ac:dyDescent="0.35">
      <c r="A356" s="1">
        <v>27942</v>
      </c>
      <c r="B356" s="2">
        <v>57</v>
      </c>
      <c r="C356" s="2">
        <v>44.214100000000002</v>
      </c>
      <c r="D356">
        <f t="shared" si="5"/>
        <v>1976</v>
      </c>
    </row>
    <row r="357" spans="1:4" x14ac:dyDescent="0.35">
      <c r="A357" s="1">
        <v>27973</v>
      </c>
      <c r="B357" s="2">
        <v>57.3</v>
      </c>
      <c r="C357" s="2">
        <v>44.5182</v>
      </c>
      <c r="D357">
        <f t="shared" si="5"/>
        <v>1976</v>
      </c>
    </row>
    <row r="358" spans="1:4" x14ac:dyDescent="0.35">
      <c r="A358" s="1">
        <v>28004</v>
      </c>
      <c r="B358" s="2">
        <v>57.6</v>
      </c>
      <c r="C358" s="2">
        <v>44.6721</v>
      </c>
      <c r="D358">
        <f t="shared" si="5"/>
        <v>1976</v>
      </c>
    </row>
    <row r="359" spans="1:4" x14ac:dyDescent="0.35">
      <c r="A359" s="1">
        <v>28034</v>
      </c>
      <c r="B359" s="2">
        <v>57.9</v>
      </c>
      <c r="C359" s="2">
        <v>44.658499999999997</v>
      </c>
      <c r="D359">
        <f t="shared" si="5"/>
        <v>1976</v>
      </c>
    </row>
    <row r="360" spans="1:4" x14ac:dyDescent="0.35">
      <c r="A360" s="1">
        <v>28065</v>
      </c>
      <c r="B360" s="2">
        <v>58.1</v>
      </c>
      <c r="C360" s="2">
        <v>45.339199999999998</v>
      </c>
      <c r="D360">
        <f t="shared" si="5"/>
        <v>1976</v>
      </c>
    </row>
    <row r="361" spans="1:4" x14ac:dyDescent="0.35">
      <c r="A361" s="1">
        <v>28095</v>
      </c>
      <c r="B361" s="2">
        <v>58.4</v>
      </c>
      <c r="C361" s="2">
        <v>45.8294</v>
      </c>
      <c r="D361">
        <f t="shared" si="5"/>
        <v>1976</v>
      </c>
    </row>
    <row r="362" spans="1:4" x14ac:dyDescent="0.35">
      <c r="A362" s="1">
        <v>28126</v>
      </c>
      <c r="B362" s="2">
        <v>58.7</v>
      </c>
      <c r="C362" s="2">
        <v>45.508699999999997</v>
      </c>
      <c r="D362">
        <f t="shared" si="5"/>
        <v>1977</v>
      </c>
    </row>
    <row r="363" spans="1:4" x14ac:dyDescent="0.35">
      <c r="A363" s="1">
        <v>28157</v>
      </c>
      <c r="B363" s="2">
        <v>59.3</v>
      </c>
      <c r="C363" s="2">
        <v>46.227699999999999</v>
      </c>
      <c r="D363">
        <f t="shared" si="5"/>
        <v>1977</v>
      </c>
    </row>
    <row r="364" spans="1:4" x14ac:dyDescent="0.35">
      <c r="A364" s="1">
        <v>28185</v>
      </c>
      <c r="B364" s="2">
        <v>59.6</v>
      </c>
      <c r="C364" s="2">
        <v>46.8185</v>
      </c>
      <c r="D364">
        <f t="shared" si="5"/>
        <v>1977</v>
      </c>
    </row>
    <row r="365" spans="1:4" x14ac:dyDescent="0.35">
      <c r="A365" s="1">
        <v>28216</v>
      </c>
      <c r="B365" s="2">
        <v>60</v>
      </c>
      <c r="C365" s="2">
        <v>47.2684</v>
      </c>
      <c r="D365">
        <f t="shared" si="5"/>
        <v>1977</v>
      </c>
    </row>
    <row r="366" spans="1:4" x14ac:dyDescent="0.35">
      <c r="A366" s="1">
        <v>28246</v>
      </c>
      <c r="B366" s="2">
        <v>60.2</v>
      </c>
      <c r="C366" s="2">
        <v>47.641100000000002</v>
      </c>
      <c r="D366">
        <f t="shared" si="5"/>
        <v>1977</v>
      </c>
    </row>
    <row r="367" spans="1:4" x14ac:dyDescent="0.35">
      <c r="A367" s="1">
        <v>28277</v>
      </c>
      <c r="B367" s="2">
        <v>60.5</v>
      </c>
      <c r="C367" s="2">
        <v>48.011600000000001</v>
      </c>
      <c r="D367">
        <f t="shared" si="5"/>
        <v>1977</v>
      </c>
    </row>
    <row r="368" spans="1:4" x14ac:dyDescent="0.35">
      <c r="A368" s="1">
        <v>28307</v>
      </c>
      <c r="B368" s="2">
        <v>60.8</v>
      </c>
      <c r="C368" s="2">
        <v>48.073</v>
      </c>
      <c r="D368">
        <f t="shared" si="5"/>
        <v>1977</v>
      </c>
    </row>
    <row r="369" spans="1:4" x14ac:dyDescent="0.35">
      <c r="A369" s="1">
        <v>28338</v>
      </c>
      <c r="B369" s="2">
        <v>61.1</v>
      </c>
      <c r="C369" s="2">
        <v>48.1205</v>
      </c>
      <c r="D369">
        <f t="shared" si="5"/>
        <v>1977</v>
      </c>
    </row>
    <row r="370" spans="1:4" x14ac:dyDescent="0.35">
      <c r="A370" s="1">
        <v>28369</v>
      </c>
      <c r="B370" s="2">
        <v>61.3</v>
      </c>
      <c r="C370" s="2">
        <v>48.318899999999999</v>
      </c>
      <c r="D370">
        <f t="shared" si="5"/>
        <v>1977</v>
      </c>
    </row>
    <row r="371" spans="1:4" x14ac:dyDescent="0.35">
      <c r="A371" s="1">
        <v>28399</v>
      </c>
      <c r="B371" s="2">
        <v>61.6</v>
      </c>
      <c r="C371" s="2">
        <v>48.387099999999997</v>
      </c>
      <c r="D371">
        <f t="shared" si="5"/>
        <v>1977</v>
      </c>
    </row>
    <row r="372" spans="1:4" x14ac:dyDescent="0.35">
      <c r="A372" s="1">
        <v>28430</v>
      </c>
      <c r="B372" s="2">
        <v>62</v>
      </c>
      <c r="C372" s="2">
        <v>48.476100000000002</v>
      </c>
      <c r="D372">
        <f t="shared" si="5"/>
        <v>1977</v>
      </c>
    </row>
    <row r="373" spans="1:4" x14ac:dyDescent="0.35">
      <c r="A373" s="1">
        <v>28460</v>
      </c>
      <c r="B373" s="2">
        <v>62.3</v>
      </c>
      <c r="C373" s="2">
        <v>48.562899999999999</v>
      </c>
      <c r="D373">
        <f t="shared" si="5"/>
        <v>1977</v>
      </c>
    </row>
    <row r="374" spans="1:4" x14ac:dyDescent="0.35">
      <c r="A374" s="1">
        <v>28491</v>
      </c>
      <c r="B374" s="2">
        <v>62.7</v>
      </c>
      <c r="C374" s="2">
        <v>47.848100000000002</v>
      </c>
      <c r="D374">
        <f t="shared" si="5"/>
        <v>1978</v>
      </c>
    </row>
    <row r="375" spans="1:4" x14ac:dyDescent="0.35">
      <c r="A375" s="1">
        <v>28522</v>
      </c>
      <c r="B375" s="2">
        <v>63</v>
      </c>
      <c r="C375" s="2">
        <v>48.104399999999998</v>
      </c>
      <c r="D375">
        <f t="shared" si="5"/>
        <v>1978</v>
      </c>
    </row>
    <row r="376" spans="1:4" x14ac:dyDescent="0.35">
      <c r="A376" s="1">
        <v>28550</v>
      </c>
      <c r="B376" s="2">
        <v>63.4</v>
      </c>
      <c r="C376" s="2">
        <v>49.026499999999999</v>
      </c>
      <c r="D376">
        <f t="shared" si="5"/>
        <v>1978</v>
      </c>
    </row>
    <row r="377" spans="1:4" x14ac:dyDescent="0.35">
      <c r="A377" s="1">
        <v>28581</v>
      </c>
      <c r="B377" s="2">
        <v>63.9</v>
      </c>
      <c r="C377" s="2">
        <v>50.020600000000002</v>
      </c>
      <c r="D377">
        <f t="shared" si="5"/>
        <v>1978</v>
      </c>
    </row>
    <row r="378" spans="1:4" x14ac:dyDescent="0.35">
      <c r="A378" s="1">
        <v>28611</v>
      </c>
      <c r="B378" s="2">
        <v>64.5</v>
      </c>
      <c r="C378" s="2">
        <v>50.253999999999998</v>
      </c>
      <c r="D378">
        <f t="shared" si="5"/>
        <v>1978</v>
      </c>
    </row>
    <row r="379" spans="1:4" x14ac:dyDescent="0.35">
      <c r="A379" s="1">
        <v>28642</v>
      </c>
      <c r="B379" s="2">
        <v>65</v>
      </c>
      <c r="C379" s="2">
        <v>50.580100000000002</v>
      </c>
      <c r="D379">
        <f t="shared" si="5"/>
        <v>1978</v>
      </c>
    </row>
    <row r="380" spans="1:4" x14ac:dyDescent="0.35">
      <c r="A380" s="1">
        <v>28672</v>
      </c>
      <c r="B380" s="2">
        <v>65.5</v>
      </c>
      <c r="C380" s="2">
        <v>50.538400000000003</v>
      </c>
      <c r="D380">
        <f t="shared" si="5"/>
        <v>1978</v>
      </c>
    </row>
    <row r="381" spans="1:4" x14ac:dyDescent="0.35">
      <c r="A381" s="1">
        <v>28703</v>
      </c>
      <c r="B381" s="2">
        <v>65.900000000000006</v>
      </c>
      <c r="C381" s="2">
        <v>50.745800000000003</v>
      </c>
      <c r="D381">
        <f t="shared" si="5"/>
        <v>1978</v>
      </c>
    </row>
    <row r="382" spans="1:4" x14ac:dyDescent="0.35">
      <c r="A382" s="1">
        <v>28734</v>
      </c>
      <c r="B382" s="2">
        <v>66.5</v>
      </c>
      <c r="C382" s="2">
        <v>50.874400000000001</v>
      </c>
      <c r="D382">
        <f t="shared" si="5"/>
        <v>1978</v>
      </c>
    </row>
    <row r="383" spans="1:4" x14ac:dyDescent="0.35">
      <c r="A383" s="1">
        <v>28764</v>
      </c>
      <c r="B383" s="2">
        <v>67.099999999999994</v>
      </c>
      <c r="C383" s="2">
        <v>51.255899999999997</v>
      </c>
      <c r="D383">
        <f t="shared" si="5"/>
        <v>1978</v>
      </c>
    </row>
    <row r="384" spans="1:4" x14ac:dyDescent="0.35">
      <c r="A384" s="1">
        <v>28795</v>
      </c>
      <c r="B384" s="2">
        <v>67.5</v>
      </c>
      <c r="C384" s="2">
        <v>51.651400000000002</v>
      </c>
      <c r="D384">
        <f t="shared" si="5"/>
        <v>1978</v>
      </c>
    </row>
    <row r="385" spans="1:4" x14ac:dyDescent="0.35">
      <c r="A385" s="1">
        <v>28825</v>
      </c>
      <c r="B385" s="2">
        <v>67.900000000000006</v>
      </c>
      <c r="C385" s="2">
        <v>51.908999999999999</v>
      </c>
      <c r="D385">
        <f t="shared" si="5"/>
        <v>1978</v>
      </c>
    </row>
    <row r="386" spans="1:4" x14ac:dyDescent="0.35">
      <c r="A386" s="1">
        <v>28856</v>
      </c>
      <c r="B386" s="2">
        <v>68.5</v>
      </c>
      <c r="C386" s="2">
        <v>51.627800000000001</v>
      </c>
      <c r="D386">
        <f t="shared" ref="D386:D449" si="6">YEAR(A386)</f>
        <v>1979</v>
      </c>
    </row>
    <row r="387" spans="1:4" x14ac:dyDescent="0.35">
      <c r="A387" s="1">
        <v>28887</v>
      </c>
      <c r="B387" s="2">
        <v>69.2</v>
      </c>
      <c r="C387" s="2">
        <v>51.8752</v>
      </c>
      <c r="D387">
        <f t="shared" si="6"/>
        <v>1979</v>
      </c>
    </row>
    <row r="388" spans="1:4" x14ac:dyDescent="0.35">
      <c r="A388" s="1">
        <v>28915</v>
      </c>
      <c r="B388" s="2">
        <v>69.900000000000006</v>
      </c>
      <c r="C388" s="2">
        <v>52.044600000000003</v>
      </c>
      <c r="D388">
        <f t="shared" si="6"/>
        <v>1979</v>
      </c>
    </row>
    <row r="389" spans="1:4" x14ac:dyDescent="0.35">
      <c r="A389" s="1">
        <v>28946</v>
      </c>
      <c r="B389" s="2">
        <v>70.599999999999994</v>
      </c>
      <c r="C389" s="2">
        <v>51.4193</v>
      </c>
      <c r="D389">
        <f t="shared" si="6"/>
        <v>1979</v>
      </c>
    </row>
    <row r="390" spans="1:4" x14ac:dyDescent="0.35">
      <c r="A390" s="1">
        <v>28976</v>
      </c>
      <c r="B390" s="2">
        <v>71.400000000000006</v>
      </c>
      <c r="C390" s="2">
        <v>51.885599999999997</v>
      </c>
      <c r="D390">
        <f t="shared" si="6"/>
        <v>1979</v>
      </c>
    </row>
    <row r="391" spans="1:4" x14ac:dyDescent="0.35">
      <c r="A391" s="1">
        <v>29007</v>
      </c>
      <c r="B391" s="2">
        <v>72.2</v>
      </c>
      <c r="C391" s="2">
        <v>51.896500000000003</v>
      </c>
      <c r="D391">
        <f t="shared" si="6"/>
        <v>1979</v>
      </c>
    </row>
    <row r="392" spans="1:4" x14ac:dyDescent="0.35">
      <c r="A392" s="1">
        <v>29037</v>
      </c>
      <c r="B392" s="2">
        <v>73</v>
      </c>
      <c r="C392" s="2">
        <v>51.809699999999999</v>
      </c>
      <c r="D392">
        <f t="shared" si="6"/>
        <v>1979</v>
      </c>
    </row>
    <row r="393" spans="1:4" x14ac:dyDescent="0.35">
      <c r="A393" s="1">
        <v>29068</v>
      </c>
      <c r="B393" s="2">
        <v>73.7</v>
      </c>
      <c r="C393" s="2">
        <v>51.468400000000003</v>
      </c>
      <c r="D393">
        <f t="shared" si="6"/>
        <v>1979</v>
      </c>
    </row>
    <row r="394" spans="1:4" x14ac:dyDescent="0.35">
      <c r="A394" s="1">
        <v>29099</v>
      </c>
      <c r="B394" s="2">
        <v>74.400000000000006</v>
      </c>
      <c r="C394" s="2">
        <v>51.459699999999998</v>
      </c>
      <c r="D394">
        <f t="shared" si="6"/>
        <v>1979</v>
      </c>
    </row>
    <row r="395" spans="1:4" x14ac:dyDescent="0.35">
      <c r="A395" s="1">
        <v>29129</v>
      </c>
      <c r="B395" s="2">
        <v>75.2</v>
      </c>
      <c r="C395" s="2">
        <v>51.833399999999997</v>
      </c>
      <c r="D395">
        <f t="shared" si="6"/>
        <v>1979</v>
      </c>
    </row>
    <row r="396" spans="1:4" x14ac:dyDescent="0.35">
      <c r="A396" s="1">
        <v>29160</v>
      </c>
      <c r="B396" s="2">
        <v>76</v>
      </c>
      <c r="C396" s="2">
        <v>51.753100000000003</v>
      </c>
      <c r="D396">
        <f t="shared" si="6"/>
        <v>1979</v>
      </c>
    </row>
    <row r="397" spans="1:4" x14ac:dyDescent="0.35">
      <c r="A397" s="1">
        <v>29190</v>
      </c>
      <c r="B397" s="2">
        <v>76.900000000000006</v>
      </c>
      <c r="C397" s="2">
        <v>51.787799999999997</v>
      </c>
      <c r="D397">
        <f t="shared" si="6"/>
        <v>1979</v>
      </c>
    </row>
    <row r="398" spans="1:4" x14ac:dyDescent="0.35">
      <c r="A398" s="1">
        <v>29221</v>
      </c>
      <c r="B398" s="2">
        <v>78</v>
      </c>
      <c r="C398" s="2">
        <v>52.067900000000002</v>
      </c>
      <c r="D398">
        <f t="shared" si="6"/>
        <v>1980</v>
      </c>
    </row>
    <row r="399" spans="1:4" x14ac:dyDescent="0.35">
      <c r="A399" s="1">
        <v>29252</v>
      </c>
      <c r="B399" s="2">
        <v>79</v>
      </c>
      <c r="C399" s="2">
        <v>52.082000000000001</v>
      </c>
      <c r="D399">
        <f t="shared" si="6"/>
        <v>1980</v>
      </c>
    </row>
    <row r="400" spans="1:4" x14ac:dyDescent="0.35">
      <c r="A400" s="1">
        <v>29281</v>
      </c>
      <c r="B400" s="2">
        <v>80.099999999999994</v>
      </c>
      <c r="C400" s="2">
        <v>51.87</v>
      </c>
      <c r="D400">
        <f t="shared" si="6"/>
        <v>1980</v>
      </c>
    </row>
    <row r="401" spans="1:4" x14ac:dyDescent="0.35">
      <c r="A401" s="1">
        <v>29312</v>
      </c>
      <c r="B401" s="2">
        <v>80.900000000000006</v>
      </c>
      <c r="C401" s="2">
        <v>50.839700000000001</v>
      </c>
      <c r="D401">
        <f t="shared" si="6"/>
        <v>1980</v>
      </c>
    </row>
    <row r="402" spans="1:4" x14ac:dyDescent="0.35">
      <c r="A402" s="1">
        <v>29342</v>
      </c>
      <c r="B402" s="2">
        <v>81.7</v>
      </c>
      <c r="C402" s="2">
        <v>49.588999999999999</v>
      </c>
      <c r="D402">
        <f t="shared" si="6"/>
        <v>1980</v>
      </c>
    </row>
    <row r="403" spans="1:4" x14ac:dyDescent="0.35">
      <c r="A403" s="1">
        <v>29373</v>
      </c>
      <c r="B403" s="2">
        <v>82.5</v>
      </c>
      <c r="C403" s="2">
        <v>48.9482</v>
      </c>
      <c r="D403">
        <f t="shared" si="6"/>
        <v>1980</v>
      </c>
    </row>
    <row r="404" spans="1:4" x14ac:dyDescent="0.35">
      <c r="A404" s="1">
        <v>29403</v>
      </c>
      <c r="B404" s="2">
        <v>82.6</v>
      </c>
      <c r="C404" s="2">
        <v>48.603900000000003</v>
      </c>
      <c r="D404">
        <f t="shared" si="6"/>
        <v>1980</v>
      </c>
    </row>
    <row r="405" spans="1:4" x14ac:dyDescent="0.35">
      <c r="A405" s="1">
        <v>29434</v>
      </c>
      <c r="B405" s="2">
        <v>83.2</v>
      </c>
      <c r="C405" s="2">
        <v>48.756300000000003</v>
      </c>
      <c r="D405">
        <f t="shared" si="6"/>
        <v>1980</v>
      </c>
    </row>
    <row r="406" spans="1:4" x14ac:dyDescent="0.35">
      <c r="A406" s="1">
        <v>29465</v>
      </c>
      <c r="B406" s="2">
        <v>83.9</v>
      </c>
      <c r="C406" s="2">
        <v>49.5608</v>
      </c>
      <c r="D406">
        <f t="shared" si="6"/>
        <v>1980</v>
      </c>
    </row>
    <row r="407" spans="1:4" x14ac:dyDescent="0.35">
      <c r="A407" s="1">
        <v>29495</v>
      </c>
      <c r="B407" s="2">
        <v>84.7</v>
      </c>
      <c r="C407" s="2">
        <v>50.190800000000003</v>
      </c>
      <c r="D407">
        <f t="shared" si="6"/>
        <v>1980</v>
      </c>
    </row>
    <row r="408" spans="1:4" x14ac:dyDescent="0.35">
      <c r="A408" s="1">
        <v>29526</v>
      </c>
      <c r="B408" s="2">
        <v>85.6</v>
      </c>
      <c r="C408" s="2">
        <v>51.031100000000002</v>
      </c>
      <c r="D408">
        <f t="shared" si="6"/>
        <v>1980</v>
      </c>
    </row>
    <row r="409" spans="1:4" x14ac:dyDescent="0.35">
      <c r="A409" s="1">
        <v>29556</v>
      </c>
      <c r="B409" s="2">
        <v>86.4</v>
      </c>
      <c r="C409" s="2">
        <v>51.370800000000003</v>
      </c>
      <c r="D409">
        <f t="shared" si="6"/>
        <v>1980</v>
      </c>
    </row>
    <row r="410" spans="1:4" x14ac:dyDescent="0.35">
      <c r="A410" s="1">
        <v>29587</v>
      </c>
      <c r="B410" s="2">
        <v>87.2</v>
      </c>
      <c r="C410" s="2">
        <v>51.041499999999999</v>
      </c>
      <c r="D410">
        <f t="shared" si="6"/>
        <v>1981</v>
      </c>
    </row>
    <row r="411" spans="1:4" x14ac:dyDescent="0.35">
      <c r="A411" s="1">
        <v>29618</v>
      </c>
      <c r="B411" s="2">
        <v>88</v>
      </c>
      <c r="C411" s="2">
        <v>50.823999999999998</v>
      </c>
      <c r="D411">
        <f t="shared" si="6"/>
        <v>1981</v>
      </c>
    </row>
    <row r="412" spans="1:4" x14ac:dyDescent="0.35">
      <c r="A412" s="1">
        <v>29646</v>
      </c>
      <c r="B412" s="2">
        <v>88.6</v>
      </c>
      <c r="C412" s="2">
        <v>51.082599999999999</v>
      </c>
      <c r="D412">
        <f t="shared" si="6"/>
        <v>1981</v>
      </c>
    </row>
    <row r="413" spans="1:4" x14ac:dyDescent="0.35">
      <c r="A413" s="1">
        <v>29677</v>
      </c>
      <c r="B413" s="2">
        <v>89.1</v>
      </c>
      <c r="C413" s="2">
        <v>50.857999999999997</v>
      </c>
      <c r="D413">
        <f t="shared" si="6"/>
        <v>1981</v>
      </c>
    </row>
    <row r="414" spans="1:4" x14ac:dyDescent="0.35">
      <c r="A414" s="1">
        <v>29707</v>
      </c>
      <c r="B414" s="2">
        <v>89.7</v>
      </c>
      <c r="C414" s="2">
        <v>51.149500000000003</v>
      </c>
      <c r="D414">
        <f t="shared" si="6"/>
        <v>1981</v>
      </c>
    </row>
    <row r="415" spans="1:4" x14ac:dyDescent="0.35">
      <c r="A415" s="1">
        <v>29738</v>
      </c>
      <c r="B415" s="2">
        <v>90.5</v>
      </c>
      <c r="C415" s="2">
        <v>51.4101</v>
      </c>
      <c r="D415">
        <f t="shared" si="6"/>
        <v>1981</v>
      </c>
    </row>
    <row r="416" spans="1:4" x14ac:dyDescent="0.35">
      <c r="A416" s="1">
        <v>29768</v>
      </c>
      <c r="B416" s="2">
        <v>91.5</v>
      </c>
      <c r="C416" s="2">
        <v>51.747100000000003</v>
      </c>
      <c r="D416">
        <f t="shared" si="6"/>
        <v>1981</v>
      </c>
    </row>
    <row r="417" spans="1:4" x14ac:dyDescent="0.35">
      <c r="A417" s="1">
        <v>29799</v>
      </c>
      <c r="B417" s="2">
        <v>92.2</v>
      </c>
      <c r="C417" s="2">
        <v>51.682600000000001</v>
      </c>
      <c r="D417">
        <f t="shared" si="6"/>
        <v>1981</v>
      </c>
    </row>
    <row r="418" spans="1:4" x14ac:dyDescent="0.35">
      <c r="A418" s="1">
        <v>29830</v>
      </c>
      <c r="B418" s="2">
        <v>93.1</v>
      </c>
      <c r="C418" s="2">
        <v>51.433700000000002</v>
      </c>
      <c r="D418">
        <f t="shared" si="6"/>
        <v>1981</v>
      </c>
    </row>
    <row r="419" spans="1:4" x14ac:dyDescent="0.35">
      <c r="A419" s="1">
        <v>29860</v>
      </c>
      <c r="B419" s="2">
        <v>93.4</v>
      </c>
      <c r="C419" s="2">
        <v>51.028100000000002</v>
      </c>
      <c r="D419">
        <f t="shared" si="6"/>
        <v>1981</v>
      </c>
    </row>
    <row r="420" spans="1:4" x14ac:dyDescent="0.35">
      <c r="A420" s="1">
        <v>29891</v>
      </c>
      <c r="B420" s="2">
        <v>93.8</v>
      </c>
      <c r="C420" s="2">
        <v>50.435000000000002</v>
      </c>
      <c r="D420">
        <f t="shared" si="6"/>
        <v>1981</v>
      </c>
    </row>
    <row r="421" spans="1:4" x14ac:dyDescent="0.35">
      <c r="A421" s="1">
        <v>29921</v>
      </c>
      <c r="B421" s="2">
        <v>94.1</v>
      </c>
      <c r="C421" s="2">
        <v>49.898699999999998</v>
      </c>
      <c r="D421">
        <f t="shared" si="6"/>
        <v>1981</v>
      </c>
    </row>
    <row r="422" spans="1:4" x14ac:dyDescent="0.35">
      <c r="A422" s="1">
        <v>29952</v>
      </c>
      <c r="B422" s="2">
        <v>94.4</v>
      </c>
      <c r="C422" s="2">
        <v>48.868499999999997</v>
      </c>
      <c r="D422">
        <f t="shared" si="6"/>
        <v>1982</v>
      </c>
    </row>
    <row r="423" spans="1:4" x14ac:dyDescent="0.35">
      <c r="A423" s="1">
        <v>29983</v>
      </c>
      <c r="B423" s="2">
        <v>94.7</v>
      </c>
      <c r="C423" s="2">
        <v>49.863599999999998</v>
      </c>
      <c r="D423">
        <f t="shared" si="6"/>
        <v>1982</v>
      </c>
    </row>
    <row r="424" spans="1:4" x14ac:dyDescent="0.35">
      <c r="A424" s="1">
        <v>30011</v>
      </c>
      <c r="B424" s="2">
        <v>94.7</v>
      </c>
      <c r="C424" s="2">
        <v>49.532299999999999</v>
      </c>
      <c r="D424">
        <f t="shared" si="6"/>
        <v>1982</v>
      </c>
    </row>
    <row r="425" spans="1:4" x14ac:dyDescent="0.35">
      <c r="A425" s="1">
        <v>30042</v>
      </c>
      <c r="B425" s="2">
        <v>95</v>
      </c>
      <c r="C425" s="2">
        <v>49.075000000000003</v>
      </c>
      <c r="D425">
        <f t="shared" si="6"/>
        <v>1982</v>
      </c>
    </row>
    <row r="426" spans="1:4" x14ac:dyDescent="0.35">
      <c r="A426" s="1">
        <v>30072</v>
      </c>
      <c r="B426" s="2">
        <v>95.9</v>
      </c>
      <c r="C426" s="2">
        <v>48.7483</v>
      </c>
      <c r="D426">
        <f t="shared" si="6"/>
        <v>1982</v>
      </c>
    </row>
    <row r="427" spans="1:4" x14ac:dyDescent="0.35">
      <c r="A427" s="1">
        <v>30103</v>
      </c>
      <c r="B427" s="2">
        <v>97</v>
      </c>
      <c r="C427" s="2">
        <v>48.621400000000001</v>
      </c>
      <c r="D427">
        <f t="shared" si="6"/>
        <v>1982</v>
      </c>
    </row>
    <row r="428" spans="1:4" x14ac:dyDescent="0.35">
      <c r="A428" s="1">
        <v>30133</v>
      </c>
      <c r="B428" s="2">
        <v>97.5</v>
      </c>
      <c r="C428" s="2">
        <v>48.461599999999997</v>
      </c>
      <c r="D428">
        <f t="shared" si="6"/>
        <v>1982</v>
      </c>
    </row>
    <row r="429" spans="1:4" x14ac:dyDescent="0.35">
      <c r="A429" s="1">
        <v>30164</v>
      </c>
      <c r="B429" s="2">
        <v>97.7</v>
      </c>
      <c r="C429" s="2">
        <v>48.019199999999998</v>
      </c>
      <c r="D429">
        <f t="shared" si="6"/>
        <v>1982</v>
      </c>
    </row>
    <row r="430" spans="1:4" x14ac:dyDescent="0.35">
      <c r="A430" s="1">
        <v>30195</v>
      </c>
      <c r="B430" s="2">
        <v>97.7</v>
      </c>
      <c r="C430" s="2">
        <v>47.900799999999997</v>
      </c>
      <c r="D430">
        <f t="shared" si="6"/>
        <v>1982</v>
      </c>
    </row>
    <row r="431" spans="1:4" x14ac:dyDescent="0.35">
      <c r="A431" s="1">
        <v>30225</v>
      </c>
      <c r="B431" s="2">
        <v>98.1</v>
      </c>
      <c r="C431" s="2">
        <v>47.437100000000001</v>
      </c>
      <c r="D431">
        <f t="shared" si="6"/>
        <v>1982</v>
      </c>
    </row>
    <row r="432" spans="1:4" x14ac:dyDescent="0.35">
      <c r="A432" s="1">
        <v>30256</v>
      </c>
      <c r="B432" s="2">
        <v>98</v>
      </c>
      <c r="C432" s="2">
        <v>47.283000000000001</v>
      </c>
      <c r="D432">
        <f t="shared" si="6"/>
        <v>1982</v>
      </c>
    </row>
    <row r="433" spans="1:4" x14ac:dyDescent="0.35">
      <c r="A433" s="1">
        <v>30286</v>
      </c>
      <c r="B433" s="2">
        <v>97.7</v>
      </c>
      <c r="C433" s="2">
        <v>46.948500000000003</v>
      </c>
      <c r="D433">
        <f t="shared" si="6"/>
        <v>1982</v>
      </c>
    </row>
    <row r="434" spans="1:4" x14ac:dyDescent="0.35">
      <c r="A434" s="1">
        <v>30317</v>
      </c>
      <c r="B434" s="2">
        <v>97.9</v>
      </c>
      <c r="C434" s="2">
        <v>47.823399999999999</v>
      </c>
      <c r="D434">
        <f t="shared" si="6"/>
        <v>1983</v>
      </c>
    </row>
    <row r="435" spans="1:4" x14ac:dyDescent="0.35">
      <c r="A435" s="1">
        <v>30348</v>
      </c>
      <c r="B435" s="2">
        <v>98</v>
      </c>
      <c r="C435" s="2">
        <v>47.523299999999999</v>
      </c>
      <c r="D435">
        <f t="shared" si="6"/>
        <v>1983</v>
      </c>
    </row>
    <row r="436" spans="1:4" x14ac:dyDescent="0.35">
      <c r="A436" s="1">
        <v>30376</v>
      </c>
      <c r="B436" s="2">
        <v>98.1</v>
      </c>
      <c r="C436" s="2">
        <v>47.924399999999999</v>
      </c>
      <c r="D436">
        <f t="shared" si="6"/>
        <v>1983</v>
      </c>
    </row>
    <row r="437" spans="1:4" x14ac:dyDescent="0.35">
      <c r="A437" s="1">
        <v>30407</v>
      </c>
      <c r="B437" s="2">
        <v>98.8</v>
      </c>
      <c r="C437" s="2">
        <v>48.531100000000002</v>
      </c>
      <c r="D437">
        <f t="shared" si="6"/>
        <v>1983</v>
      </c>
    </row>
    <row r="438" spans="1:4" x14ac:dyDescent="0.35">
      <c r="A438" s="1">
        <v>30437</v>
      </c>
      <c r="B438" s="2">
        <v>99.2</v>
      </c>
      <c r="C438" s="2">
        <v>48.823900000000002</v>
      </c>
      <c r="D438">
        <f t="shared" si="6"/>
        <v>1983</v>
      </c>
    </row>
    <row r="439" spans="1:4" x14ac:dyDescent="0.35">
      <c r="A439" s="1">
        <v>30468</v>
      </c>
      <c r="B439" s="2">
        <v>99.4</v>
      </c>
      <c r="C439" s="2">
        <v>49.122999999999998</v>
      </c>
      <c r="D439">
        <f t="shared" si="6"/>
        <v>1983</v>
      </c>
    </row>
    <row r="440" spans="1:4" x14ac:dyDescent="0.35">
      <c r="A440" s="1">
        <v>30498</v>
      </c>
      <c r="B440" s="2">
        <v>99.8</v>
      </c>
      <c r="C440" s="2">
        <v>49.854599999999998</v>
      </c>
      <c r="D440">
        <f t="shared" si="6"/>
        <v>1983</v>
      </c>
    </row>
    <row r="441" spans="1:4" x14ac:dyDescent="0.35">
      <c r="A441" s="1">
        <v>30529</v>
      </c>
      <c r="B441" s="2">
        <v>100.1</v>
      </c>
      <c r="C441" s="2">
        <v>50.444299999999998</v>
      </c>
      <c r="D441">
        <f t="shared" si="6"/>
        <v>1983</v>
      </c>
    </row>
    <row r="442" spans="1:4" x14ac:dyDescent="0.35">
      <c r="A442" s="1">
        <v>30560</v>
      </c>
      <c r="B442" s="2">
        <v>100.4</v>
      </c>
      <c r="C442" s="2">
        <v>51.177999999999997</v>
      </c>
      <c r="D442">
        <f t="shared" si="6"/>
        <v>1983</v>
      </c>
    </row>
    <row r="443" spans="1:4" x14ac:dyDescent="0.35">
      <c r="A443" s="1">
        <v>30590</v>
      </c>
      <c r="B443" s="2">
        <v>100.8</v>
      </c>
      <c r="C443" s="2">
        <v>51.569299999999998</v>
      </c>
      <c r="D443">
        <f t="shared" si="6"/>
        <v>1983</v>
      </c>
    </row>
    <row r="444" spans="1:4" x14ac:dyDescent="0.35">
      <c r="A444" s="1">
        <v>30621</v>
      </c>
      <c r="B444" s="2">
        <v>101.1</v>
      </c>
      <c r="C444" s="2">
        <v>51.799300000000002</v>
      </c>
      <c r="D444">
        <f t="shared" si="6"/>
        <v>1983</v>
      </c>
    </row>
    <row r="445" spans="1:4" x14ac:dyDescent="0.35">
      <c r="A445" s="1">
        <v>30651</v>
      </c>
      <c r="B445" s="2">
        <v>101.4</v>
      </c>
      <c r="C445" s="2">
        <v>52.059399999999997</v>
      </c>
      <c r="D445">
        <f t="shared" si="6"/>
        <v>1983</v>
      </c>
    </row>
    <row r="446" spans="1:4" x14ac:dyDescent="0.35">
      <c r="A446" s="1">
        <v>30682</v>
      </c>
      <c r="B446" s="2">
        <v>102.1</v>
      </c>
      <c r="C446" s="2">
        <v>53.098500000000001</v>
      </c>
      <c r="D446">
        <f t="shared" si="6"/>
        <v>1984</v>
      </c>
    </row>
    <row r="447" spans="1:4" x14ac:dyDescent="0.35">
      <c r="A447" s="1">
        <v>30713</v>
      </c>
      <c r="B447" s="2">
        <v>102.6</v>
      </c>
      <c r="C447" s="2">
        <v>53.331800000000001</v>
      </c>
      <c r="D447">
        <f t="shared" si="6"/>
        <v>1984</v>
      </c>
    </row>
    <row r="448" spans="1:4" x14ac:dyDescent="0.35">
      <c r="A448" s="1">
        <v>30742</v>
      </c>
      <c r="B448" s="2">
        <v>102.9</v>
      </c>
      <c r="C448" s="2">
        <v>53.5929</v>
      </c>
      <c r="D448">
        <f t="shared" si="6"/>
        <v>1984</v>
      </c>
    </row>
    <row r="449" spans="1:4" x14ac:dyDescent="0.35">
      <c r="A449" s="1">
        <v>30773</v>
      </c>
      <c r="B449" s="2">
        <v>103.3</v>
      </c>
      <c r="C449" s="2">
        <v>53.91</v>
      </c>
      <c r="D449">
        <f t="shared" si="6"/>
        <v>1984</v>
      </c>
    </row>
    <row r="450" spans="1:4" x14ac:dyDescent="0.35">
      <c r="A450" s="1">
        <v>30803</v>
      </c>
      <c r="B450" s="2">
        <v>103.5</v>
      </c>
      <c r="C450" s="2">
        <v>54.202599999999997</v>
      </c>
      <c r="D450">
        <f t="shared" ref="D450:D513" si="7">YEAR(A450)</f>
        <v>1984</v>
      </c>
    </row>
    <row r="451" spans="1:4" x14ac:dyDescent="0.35">
      <c r="A451" s="1">
        <v>30834</v>
      </c>
      <c r="B451" s="2">
        <v>103.7</v>
      </c>
      <c r="C451" s="2">
        <v>54.401400000000002</v>
      </c>
      <c r="D451">
        <f t="shared" si="7"/>
        <v>1984</v>
      </c>
    </row>
    <row r="452" spans="1:4" x14ac:dyDescent="0.35">
      <c r="A452" s="1">
        <v>30864</v>
      </c>
      <c r="B452" s="2">
        <v>104.1</v>
      </c>
      <c r="C452" s="2">
        <v>54.552100000000003</v>
      </c>
      <c r="D452">
        <f t="shared" si="7"/>
        <v>1984</v>
      </c>
    </row>
    <row r="453" spans="1:4" x14ac:dyDescent="0.35">
      <c r="A453" s="1">
        <v>30895</v>
      </c>
      <c r="B453" s="2">
        <v>104.4</v>
      </c>
      <c r="C453" s="2">
        <v>54.6083</v>
      </c>
      <c r="D453">
        <f t="shared" si="7"/>
        <v>1984</v>
      </c>
    </row>
    <row r="454" spans="1:4" x14ac:dyDescent="0.35">
      <c r="A454" s="1">
        <v>30926</v>
      </c>
      <c r="B454" s="2">
        <v>104.7</v>
      </c>
      <c r="C454" s="2">
        <v>54.446599999999997</v>
      </c>
      <c r="D454">
        <f t="shared" si="7"/>
        <v>1984</v>
      </c>
    </row>
    <row r="455" spans="1:4" x14ac:dyDescent="0.35">
      <c r="A455" s="1">
        <v>30956</v>
      </c>
      <c r="B455" s="2">
        <v>105.1</v>
      </c>
      <c r="C455" s="2">
        <v>54.440600000000003</v>
      </c>
      <c r="D455">
        <f t="shared" si="7"/>
        <v>1984</v>
      </c>
    </row>
    <row r="456" spans="1:4" x14ac:dyDescent="0.35">
      <c r="A456" s="1">
        <v>30987</v>
      </c>
      <c r="B456" s="2">
        <v>105.3</v>
      </c>
      <c r="C456" s="2">
        <v>54.624000000000002</v>
      </c>
      <c r="D456">
        <f t="shared" si="7"/>
        <v>1984</v>
      </c>
    </row>
    <row r="457" spans="1:4" x14ac:dyDescent="0.35">
      <c r="A457" s="1">
        <v>31017</v>
      </c>
      <c r="B457" s="2">
        <v>105.5</v>
      </c>
      <c r="C457" s="2">
        <v>54.641599999999997</v>
      </c>
      <c r="D457">
        <f t="shared" si="7"/>
        <v>1984</v>
      </c>
    </row>
    <row r="458" spans="1:4" x14ac:dyDescent="0.35">
      <c r="A458" s="1">
        <v>31048</v>
      </c>
      <c r="B458" s="2">
        <v>105.7</v>
      </c>
      <c r="C458" s="2">
        <v>54.632199999999997</v>
      </c>
      <c r="D458">
        <f t="shared" si="7"/>
        <v>1985</v>
      </c>
    </row>
    <row r="459" spans="1:4" x14ac:dyDescent="0.35">
      <c r="A459" s="1">
        <v>31079</v>
      </c>
      <c r="B459" s="2">
        <v>106.3</v>
      </c>
      <c r="C459" s="2">
        <v>54.782499999999999</v>
      </c>
      <c r="D459">
        <f t="shared" si="7"/>
        <v>1985</v>
      </c>
    </row>
    <row r="460" spans="1:4" x14ac:dyDescent="0.35">
      <c r="A460" s="1">
        <v>31107</v>
      </c>
      <c r="B460" s="2">
        <v>106.8</v>
      </c>
      <c r="C460" s="2">
        <v>54.865299999999998</v>
      </c>
      <c r="D460">
        <f t="shared" si="7"/>
        <v>1985</v>
      </c>
    </row>
    <row r="461" spans="1:4" x14ac:dyDescent="0.35">
      <c r="A461" s="1">
        <v>31138</v>
      </c>
      <c r="B461" s="2">
        <v>107</v>
      </c>
      <c r="C461" s="2">
        <v>54.745899999999999</v>
      </c>
      <c r="D461">
        <f t="shared" si="7"/>
        <v>1985</v>
      </c>
    </row>
    <row r="462" spans="1:4" x14ac:dyDescent="0.35">
      <c r="A462" s="1">
        <v>31168</v>
      </c>
      <c r="B462" s="2">
        <v>107.2</v>
      </c>
      <c r="C462" s="2">
        <v>54.825499999999998</v>
      </c>
      <c r="D462">
        <f t="shared" si="7"/>
        <v>1985</v>
      </c>
    </row>
    <row r="463" spans="1:4" x14ac:dyDescent="0.35">
      <c r="A463" s="1">
        <v>31199</v>
      </c>
      <c r="B463" s="2">
        <v>107.5</v>
      </c>
      <c r="C463" s="2">
        <v>54.798900000000003</v>
      </c>
      <c r="D463">
        <f t="shared" si="7"/>
        <v>1985</v>
      </c>
    </row>
    <row r="464" spans="1:4" x14ac:dyDescent="0.35">
      <c r="A464" s="1">
        <v>31229</v>
      </c>
      <c r="B464" s="2">
        <v>107.7</v>
      </c>
      <c r="C464" s="2">
        <v>54.5396</v>
      </c>
      <c r="D464">
        <f t="shared" si="7"/>
        <v>1985</v>
      </c>
    </row>
    <row r="465" spans="1:4" x14ac:dyDescent="0.35">
      <c r="A465" s="1">
        <v>31260</v>
      </c>
      <c r="B465" s="2">
        <v>107.9</v>
      </c>
      <c r="C465" s="2">
        <v>54.705500000000001</v>
      </c>
      <c r="D465">
        <f t="shared" si="7"/>
        <v>1985</v>
      </c>
    </row>
    <row r="466" spans="1:4" x14ac:dyDescent="0.35">
      <c r="A466" s="1">
        <v>31291</v>
      </c>
      <c r="B466" s="2">
        <v>108.1</v>
      </c>
      <c r="C466" s="2">
        <v>54.890599999999999</v>
      </c>
      <c r="D466">
        <f t="shared" si="7"/>
        <v>1985</v>
      </c>
    </row>
    <row r="467" spans="1:4" x14ac:dyDescent="0.35">
      <c r="A467" s="1">
        <v>31321</v>
      </c>
      <c r="B467" s="2">
        <v>108.5</v>
      </c>
      <c r="C467" s="2">
        <v>54.719900000000003</v>
      </c>
      <c r="D467">
        <f t="shared" si="7"/>
        <v>1985</v>
      </c>
    </row>
    <row r="468" spans="1:4" x14ac:dyDescent="0.35">
      <c r="A468" s="1">
        <v>31352</v>
      </c>
      <c r="B468" s="2">
        <v>109</v>
      </c>
      <c r="C468" s="2">
        <v>54.912399999999998</v>
      </c>
      <c r="D468">
        <f t="shared" si="7"/>
        <v>1985</v>
      </c>
    </row>
    <row r="469" spans="1:4" x14ac:dyDescent="0.35">
      <c r="A469" s="1">
        <v>31382</v>
      </c>
      <c r="B469" s="2">
        <v>109.5</v>
      </c>
      <c r="C469" s="2">
        <v>55.441200000000002</v>
      </c>
      <c r="D469">
        <f t="shared" si="7"/>
        <v>1985</v>
      </c>
    </row>
    <row r="470" spans="1:4" x14ac:dyDescent="0.35">
      <c r="A470" s="1">
        <v>31413</v>
      </c>
      <c r="B470" s="2">
        <v>109.9</v>
      </c>
      <c r="C470" s="2">
        <v>55.748100000000001</v>
      </c>
      <c r="D470">
        <f t="shared" si="7"/>
        <v>1986</v>
      </c>
    </row>
    <row r="471" spans="1:4" x14ac:dyDescent="0.35">
      <c r="A471" s="1">
        <v>31444</v>
      </c>
      <c r="B471" s="2">
        <v>109.7</v>
      </c>
      <c r="C471" s="2">
        <v>55.3568</v>
      </c>
      <c r="D471">
        <f t="shared" si="7"/>
        <v>1986</v>
      </c>
    </row>
    <row r="472" spans="1:4" x14ac:dyDescent="0.35">
      <c r="A472" s="1">
        <v>31472</v>
      </c>
      <c r="B472" s="2">
        <v>109.1</v>
      </c>
      <c r="C472" s="2">
        <v>54.962499999999999</v>
      </c>
      <c r="D472">
        <f t="shared" si="7"/>
        <v>1986</v>
      </c>
    </row>
    <row r="473" spans="1:4" x14ac:dyDescent="0.35">
      <c r="A473" s="1">
        <v>31503</v>
      </c>
      <c r="B473" s="2">
        <v>108.7</v>
      </c>
      <c r="C473" s="2">
        <v>55.0413</v>
      </c>
      <c r="D473">
        <f t="shared" si="7"/>
        <v>1986</v>
      </c>
    </row>
    <row r="474" spans="1:4" x14ac:dyDescent="0.35">
      <c r="A474" s="1">
        <v>31533</v>
      </c>
      <c r="B474" s="2">
        <v>109</v>
      </c>
      <c r="C474" s="2">
        <v>55.122599999999998</v>
      </c>
      <c r="D474">
        <f t="shared" si="7"/>
        <v>1986</v>
      </c>
    </row>
    <row r="475" spans="1:4" x14ac:dyDescent="0.35">
      <c r="A475" s="1">
        <v>31564</v>
      </c>
      <c r="B475" s="2">
        <v>109.4</v>
      </c>
      <c r="C475" s="2">
        <v>54.900500000000001</v>
      </c>
      <c r="D475">
        <f t="shared" si="7"/>
        <v>1986</v>
      </c>
    </row>
    <row r="476" spans="1:4" x14ac:dyDescent="0.35">
      <c r="A476" s="1">
        <v>31594</v>
      </c>
      <c r="B476" s="2">
        <v>109.5</v>
      </c>
      <c r="C476" s="2">
        <v>55.2592</v>
      </c>
      <c r="D476">
        <f t="shared" si="7"/>
        <v>1986</v>
      </c>
    </row>
    <row r="477" spans="1:4" x14ac:dyDescent="0.35">
      <c r="A477" s="1">
        <v>31625</v>
      </c>
      <c r="B477" s="2">
        <v>109.6</v>
      </c>
      <c r="C477" s="2">
        <v>55.156700000000001</v>
      </c>
      <c r="D477">
        <f t="shared" si="7"/>
        <v>1986</v>
      </c>
    </row>
    <row r="478" spans="1:4" x14ac:dyDescent="0.35">
      <c r="A478" s="1">
        <v>31656</v>
      </c>
      <c r="B478" s="2">
        <v>110</v>
      </c>
      <c r="C478" s="2">
        <v>55.297499999999999</v>
      </c>
      <c r="D478">
        <f t="shared" si="7"/>
        <v>1986</v>
      </c>
    </row>
    <row r="479" spans="1:4" x14ac:dyDescent="0.35">
      <c r="A479" s="1">
        <v>31686</v>
      </c>
      <c r="B479" s="2">
        <v>110.2</v>
      </c>
      <c r="C479" s="2">
        <v>55.533200000000001</v>
      </c>
      <c r="D479">
        <f t="shared" si="7"/>
        <v>1986</v>
      </c>
    </row>
    <row r="480" spans="1:4" x14ac:dyDescent="0.35">
      <c r="A480" s="1">
        <v>31717</v>
      </c>
      <c r="B480" s="2">
        <v>110.4</v>
      </c>
      <c r="C480" s="2">
        <v>55.755699999999997</v>
      </c>
      <c r="D480">
        <f t="shared" si="7"/>
        <v>1986</v>
      </c>
    </row>
    <row r="481" spans="1:4" x14ac:dyDescent="0.35">
      <c r="A481" s="1">
        <v>31747</v>
      </c>
      <c r="B481" s="2">
        <v>110.8</v>
      </c>
      <c r="C481" s="2">
        <v>56.284500000000001</v>
      </c>
      <c r="D481">
        <f t="shared" si="7"/>
        <v>1986</v>
      </c>
    </row>
    <row r="482" spans="1:4" x14ac:dyDescent="0.35">
      <c r="A482" s="1">
        <v>31778</v>
      </c>
      <c r="B482" s="2">
        <v>111.4</v>
      </c>
      <c r="C482" s="2">
        <v>56.088200000000001</v>
      </c>
      <c r="D482">
        <f t="shared" si="7"/>
        <v>1987</v>
      </c>
    </row>
    <row r="483" spans="1:4" x14ac:dyDescent="0.35">
      <c r="A483" s="1">
        <v>31809</v>
      </c>
      <c r="B483" s="2">
        <v>111.8</v>
      </c>
      <c r="C483" s="2">
        <v>56.827500000000001</v>
      </c>
      <c r="D483">
        <f t="shared" si="7"/>
        <v>1987</v>
      </c>
    </row>
    <row r="484" spans="1:4" x14ac:dyDescent="0.35">
      <c r="A484" s="1">
        <v>31837</v>
      </c>
      <c r="B484" s="2">
        <v>112.2</v>
      </c>
      <c r="C484" s="2">
        <v>56.909799999999997</v>
      </c>
      <c r="D484">
        <f t="shared" si="7"/>
        <v>1987</v>
      </c>
    </row>
    <row r="485" spans="1:4" x14ac:dyDescent="0.35">
      <c r="A485" s="1">
        <v>31868</v>
      </c>
      <c r="B485" s="2">
        <v>112.7</v>
      </c>
      <c r="C485" s="2">
        <v>57.270099999999999</v>
      </c>
      <c r="D485">
        <f t="shared" si="7"/>
        <v>1987</v>
      </c>
    </row>
    <row r="486" spans="1:4" x14ac:dyDescent="0.35">
      <c r="A486" s="1">
        <v>31898</v>
      </c>
      <c r="B486" s="2">
        <v>113</v>
      </c>
      <c r="C486" s="2">
        <v>57.632199999999997</v>
      </c>
      <c r="D486">
        <f t="shared" si="7"/>
        <v>1987</v>
      </c>
    </row>
    <row r="487" spans="1:4" x14ac:dyDescent="0.35">
      <c r="A487" s="1">
        <v>31929</v>
      </c>
      <c r="B487" s="2">
        <v>113.5</v>
      </c>
      <c r="C487" s="2">
        <v>57.930700000000002</v>
      </c>
      <c r="D487">
        <f t="shared" si="7"/>
        <v>1987</v>
      </c>
    </row>
    <row r="488" spans="1:4" x14ac:dyDescent="0.35">
      <c r="A488" s="1">
        <v>31959</v>
      </c>
      <c r="B488" s="2">
        <v>113.8</v>
      </c>
      <c r="C488" s="2">
        <v>58.325800000000001</v>
      </c>
      <c r="D488">
        <f t="shared" si="7"/>
        <v>1987</v>
      </c>
    </row>
    <row r="489" spans="1:4" x14ac:dyDescent="0.35">
      <c r="A489" s="1">
        <v>31990</v>
      </c>
      <c r="B489" s="2">
        <v>114.3</v>
      </c>
      <c r="C489" s="2">
        <v>58.763599999999997</v>
      </c>
      <c r="D489">
        <f t="shared" si="7"/>
        <v>1987</v>
      </c>
    </row>
    <row r="490" spans="1:4" x14ac:dyDescent="0.35">
      <c r="A490" s="1">
        <v>32021</v>
      </c>
      <c r="B490" s="2">
        <v>114.7</v>
      </c>
      <c r="C490" s="2">
        <v>58.995100000000001</v>
      </c>
      <c r="D490">
        <f t="shared" si="7"/>
        <v>1987</v>
      </c>
    </row>
    <row r="491" spans="1:4" x14ac:dyDescent="0.35">
      <c r="A491" s="1">
        <v>32051</v>
      </c>
      <c r="B491" s="2">
        <v>115</v>
      </c>
      <c r="C491" s="2">
        <v>59.780999999999999</v>
      </c>
      <c r="D491">
        <f t="shared" si="7"/>
        <v>1987</v>
      </c>
    </row>
    <row r="492" spans="1:4" x14ac:dyDescent="0.35">
      <c r="A492" s="1">
        <v>32082</v>
      </c>
      <c r="B492" s="2">
        <v>115.4</v>
      </c>
      <c r="C492" s="2">
        <v>60.072600000000001</v>
      </c>
      <c r="D492">
        <f t="shared" si="7"/>
        <v>1987</v>
      </c>
    </row>
    <row r="493" spans="1:4" x14ac:dyDescent="0.35">
      <c r="A493" s="1">
        <v>32112</v>
      </c>
      <c r="B493" s="2">
        <v>115.6</v>
      </c>
      <c r="C493" s="2">
        <v>60.409500000000001</v>
      </c>
      <c r="D493">
        <f t="shared" si="7"/>
        <v>1987</v>
      </c>
    </row>
    <row r="494" spans="1:4" x14ac:dyDescent="0.35">
      <c r="A494" s="1">
        <v>32143</v>
      </c>
      <c r="B494" s="2">
        <v>116</v>
      </c>
      <c r="C494" s="2">
        <v>60.397599999999997</v>
      </c>
      <c r="D494">
        <f t="shared" si="7"/>
        <v>1988</v>
      </c>
    </row>
    <row r="495" spans="1:4" x14ac:dyDescent="0.35">
      <c r="A495" s="1">
        <v>32174</v>
      </c>
      <c r="B495" s="2">
        <v>116.2</v>
      </c>
      <c r="C495" s="2">
        <v>60.700299999999999</v>
      </c>
      <c r="D495">
        <f t="shared" si="7"/>
        <v>1988</v>
      </c>
    </row>
    <row r="496" spans="1:4" x14ac:dyDescent="0.35">
      <c r="A496" s="1">
        <v>32203</v>
      </c>
      <c r="B496" s="2">
        <v>116.5</v>
      </c>
      <c r="C496" s="2">
        <v>60.850099999999998</v>
      </c>
      <c r="D496">
        <f t="shared" si="7"/>
        <v>1988</v>
      </c>
    </row>
    <row r="497" spans="1:4" x14ac:dyDescent="0.35">
      <c r="A497" s="1">
        <v>32234</v>
      </c>
      <c r="B497" s="2">
        <v>117.2</v>
      </c>
      <c r="C497" s="2">
        <v>61.203099999999999</v>
      </c>
      <c r="D497">
        <f t="shared" si="7"/>
        <v>1988</v>
      </c>
    </row>
    <row r="498" spans="1:4" x14ac:dyDescent="0.35">
      <c r="A498" s="1">
        <v>32264</v>
      </c>
      <c r="B498" s="2">
        <v>117.5</v>
      </c>
      <c r="C498" s="2">
        <v>61.079700000000003</v>
      </c>
      <c r="D498">
        <f t="shared" si="7"/>
        <v>1988</v>
      </c>
    </row>
    <row r="499" spans="1:4" x14ac:dyDescent="0.35">
      <c r="A499" s="1">
        <v>32295</v>
      </c>
      <c r="B499" s="2">
        <v>118</v>
      </c>
      <c r="C499" s="2">
        <v>61.256900000000002</v>
      </c>
      <c r="D499">
        <f t="shared" si="7"/>
        <v>1988</v>
      </c>
    </row>
    <row r="500" spans="1:4" x14ac:dyDescent="0.35">
      <c r="A500" s="1">
        <v>32325</v>
      </c>
      <c r="B500" s="2">
        <v>118.5</v>
      </c>
      <c r="C500" s="2">
        <v>61.265900000000002</v>
      </c>
      <c r="D500">
        <f t="shared" si="7"/>
        <v>1988</v>
      </c>
    </row>
    <row r="501" spans="1:4" x14ac:dyDescent="0.35">
      <c r="A501" s="1">
        <v>32356</v>
      </c>
      <c r="B501" s="2">
        <v>119</v>
      </c>
      <c r="C501" s="2">
        <v>61.573099999999997</v>
      </c>
      <c r="D501">
        <f t="shared" si="7"/>
        <v>1988</v>
      </c>
    </row>
    <row r="502" spans="1:4" x14ac:dyDescent="0.35">
      <c r="A502" s="1">
        <v>32387</v>
      </c>
      <c r="B502" s="2">
        <v>119.5</v>
      </c>
      <c r="C502" s="2">
        <v>61.380699999999997</v>
      </c>
      <c r="D502">
        <f t="shared" si="7"/>
        <v>1988</v>
      </c>
    </row>
    <row r="503" spans="1:4" x14ac:dyDescent="0.35">
      <c r="A503" s="1">
        <v>32417</v>
      </c>
      <c r="B503" s="2">
        <v>119.9</v>
      </c>
      <c r="C503" s="2">
        <v>61.645299999999999</v>
      </c>
      <c r="D503">
        <f t="shared" si="7"/>
        <v>1988</v>
      </c>
    </row>
    <row r="504" spans="1:4" x14ac:dyDescent="0.35">
      <c r="A504" s="1">
        <v>32448</v>
      </c>
      <c r="B504" s="2">
        <v>120.3</v>
      </c>
      <c r="C504" s="2">
        <v>61.794400000000003</v>
      </c>
      <c r="D504">
        <f t="shared" si="7"/>
        <v>1988</v>
      </c>
    </row>
    <row r="505" spans="1:4" x14ac:dyDescent="0.35">
      <c r="A505" s="1">
        <v>32478</v>
      </c>
      <c r="B505" s="2">
        <v>120.7</v>
      </c>
      <c r="C505" s="2">
        <v>62.074300000000001</v>
      </c>
      <c r="D505">
        <f t="shared" si="7"/>
        <v>1988</v>
      </c>
    </row>
    <row r="506" spans="1:4" x14ac:dyDescent="0.35">
      <c r="A506" s="1">
        <v>32509</v>
      </c>
      <c r="B506" s="2">
        <v>121.2</v>
      </c>
      <c r="C506" s="2">
        <v>62.257399999999997</v>
      </c>
      <c r="D506">
        <f t="shared" si="7"/>
        <v>1989</v>
      </c>
    </row>
    <row r="507" spans="1:4" x14ac:dyDescent="0.35">
      <c r="A507" s="1">
        <v>32540</v>
      </c>
      <c r="B507" s="2">
        <v>121.6</v>
      </c>
      <c r="C507" s="2">
        <v>61.981900000000003</v>
      </c>
      <c r="D507">
        <f t="shared" si="7"/>
        <v>1989</v>
      </c>
    </row>
    <row r="508" spans="1:4" x14ac:dyDescent="0.35">
      <c r="A508" s="1">
        <v>32568</v>
      </c>
      <c r="B508" s="2">
        <v>122.2</v>
      </c>
      <c r="C508" s="2">
        <v>62.136899999999997</v>
      </c>
      <c r="D508">
        <f t="shared" si="7"/>
        <v>1989</v>
      </c>
    </row>
    <row r="509" spans="1:4" x14ac:dyDescent="0.35">
      <c r="A509" s="1">
        <v>32599</v>
      </c>
      <c r="B509" s="2">
        <v>123.1</v>
      </c>
      <c r="C509" s="2">
        <v>62.127600000000001</v>
      </c>
      <c r="D509">
        <f t="shared" si="7"/>
        <v>1989</v>
      </c>
    </row>
    <row r="510" spans="1:4" x14ac:dyDescent="0.35">
      <c r="A510" s="1">
        <v>32629</v>
      </c>
      <c r="B510" s="2">
        <v>123.7</v>
      </c>
      <c r="C510" s="2">
        <v>61.7744</v>
      </c>
      <c r="D510">
        <f t="shared" si="7"/>
        <v>1989</v>
      </c>
    </row>
    <row r="511" spans="1:4" x14ac:dyDescent="0.35">
      <c r="A511" s="1">
        <v>32660</v>
      </c>
      <c r="B511" s="2">
        <v>124.1</v>
      </c>
      <c r="C511" s="2">
        <v>61.7697</v>
      </c>
      <c r="D511">
        <f t="shared" si="7"/>
        <v>1989</v>
      </c>
    </row>
    <row r="512" spans="1:4" x14ac:dyDescent="0.35">
      <c r="A512" s="1">
        <v>32690</v>
      </c>
      <c r="B512" s="2">
        <v>124.5</v>
      </c>
      <c r="C512" s="2">
        <v>61.1738</v>
      </c>
      <c r="D512">
        <f t="shared" si="7"/>
        <v>1989</v>
      </c>
    </row>
    <row r="513" spans="1:4" x14ac:dyDescent="0.35">
      <c r="A513" s="1">
        <v>32721</v>
      </c>
      <c r="B513" s="2">
        <v>124.5</v>
      </c>
      <c r="C513" s="2">
        <v>61.773200000000003</v>
      </c>
      <c r="D513">
        <f t="shared" si="7"/>
        <v>1989</v>
      </c>
    </row>
    <row r="514" spans="1:4" x14ac:dyDescent="0.35">
      <c r="A514" s="1">
        <v>32752</v>
      </c>
      <c r="B514" s="2">
        <v>124.8</v>
      </c>
      <c r="C514" s="2">
        <v>61.579599999999999</v>
      </c>
      <c r="D514">
        <f t="shared" ref="D514:D577" si="8">YEAR(A514)</f>
        <v>1989</v>
      </c>
    </row>
    <row r="515" spans="1:4" x14ac:dyDescent="0.35">
      <c r="A515" s="1">
        <v>32782</v>
      </c>
      <c r="B515" s="2">
        <v>125.4</v>
      </c>
      <c r="C515" s="2">
        <v>61.496600000000001</v>
      </c>
      <c r="D515">
        <f t="shared" si="8"/>
        <v>1989</v>
      </c>
    </row>
    <row r="516" spans="1:4" x14ac:dyDescent="0.35">
      <c r="A516" s="1">
        <v>32813</v>
      </c>
      <c r="B516" s="2">
        <v>125.9</v>
      </c>
      <c r="C516" s="2">
        <v>61.7044</v>
      </c>
      <c r="D516">
        <f t="shared" si="8"/>
        <v>1989</v>
      </c>
    </row>
    <row r="517" spans="1:4" x14ac:dyDescent="0.35">
      <c r="A517" s="1">
        <v>32843</v>
      </c>
      <c r="B517" s="2">
        <v>126.3</v>
      </c>
      <c r="C517" s="2">
        <v>62.0428</v>
      </c>
      <c r="D517">
        <f t="shared" si="8"/>
        <v>1989</v>
      </c>
    </row>
    <row r="518" spans="1:4" x14ac:dyDescent="0.35">
      <c r="A518" s="1">
        <v>32874</v>
      </c>
      <c r="B518" s="2">
        <v>127.5</v>
      </c>
      <c r="C518" s="2">
        <v>61.728999999999999</v>
      </c>
      <c r="D518">
        <f t="shared" si="8"/>
        <v>1990</v>
      </c>
    </row>
    <row r="519" spans="1:4" x14ac:dyDescent="0.35">
      <c r="A519" s="1">
        <v>32905</v>
      </c>
      <c r="B519" s="2">
        <v>128</v>
      </c>
      <c r="C519" s="2">
        <v>62.2896</v>
      </c>
      <c r="D519">
        <f t="shared" si="8"/>
        <v>1990</v>
      </c>
    </row>
    <row r="520" spans="1:4" x14ac:dyDescent="0.35">
      <c r="A520" s="1">
        <v>32933</v>
      </c>
      <c r="B520" s="2">
        <v>128.6</v>
      </c>
      <c r="C520" s="2">
        <v>62.599899999999998</v>
      </c>
      <c r="D520">
        <f t="shared" si="8"/>
        <v>1990</v>
      </c>
    </row>
    <row r="521" spans="1:4" x14ac:dyDescent="0.35">
      <c r="A521" s="1">
        <v>32964</v>
      </c>
      <c r="B521" s="2">
        <v>128.9</v>
      </c>
      <c r="C521" s="2">
        <v>62.435899999999997</v>
      </c>
      <c r="D521">
        <f t="shared" si="8"/>
        <v>1990</v>
      </c>
    </row>
    <row r="522" spans="1:4" x14ac:dyDescent="0.35">
      <c r="A522" s="1">
        <v>32994</v>
      </c>
      <c r="B522" s="2">
        <v>129.1</v>
      </c>
      <c r="C522" s="2">
        <v>62.625799999999998</v>
      </c>
      <c r="D522">
        <f t="shared" si="8"/>
        <v>1990</v>
      </c>
    </row>
    <row r="523" spans="1:4" x14ac:dyDescent="0.35">
      <c r="A523" s="1">
        <v>33025</v>
      </c>
      <c r="B523" s="2">
        <v>129.9</v>
      </c>
      <c r="C523" s="2">
        <v>62.838200000000001</v>
      </c>
      <c r="D523">
        <f t="shared" si="8"/>
        <v>1990</v>
      </c>
    </row>
    <row r="524" spans="1:4" x14ac:dyDescent="0.35">
      <c r="A524" s="1">
        <v>33055</v>
      </c>
      <c r="B524" s="2">
        <v>130.5</v>
      </c>
      <c r="C524" s="2">
        <v>62.728400000000001</v>
      </c>
      <c r="D524">
        <f t="shared" si="8"/>
        <v>1990</v>
      </c>
    </row>
    <row r="525" spans="1:4" x14ac:dyDescent="0.35">
      <c r="A525" s="1">
        <v>33086</v>
      </c>
      <c r="B525" s="2">
        <v>131.6</v>
      </c>
      <c r="C525" s="2">
        <v>62.947499999999998</v>
      </c>
      <c r="D525">
        <f t="shared" si="8"/>
        <v>1990</v>
      </c>
    </row>
    <row r="526" spans="1:4" x14ac:dyDescent="0.35">
      <c r="A526" s="1">
        <v>33117</v>
      </c>
      <c r="B526" s="2">
        <v>132.5</v>
      </c>
      <c r="C526" s="2">
        <v>62.952300000000001</v>
      </c>
      <c r="D526">
        <f t="shared" si="8"/>
        <v>1990</v>
      </c>
    </row>
    <row r="527" spans="1:4" x14ac:dyDescent="0.35">
      <c r="A527" s="1">
        <v>33147</v>
      </c>
      <c r="B527" s="2">
        <v>133.4</v>
      </c>
      <c r="C527" s="2">
        <v>62.584499999999998</v>
      </c>
      <c r="D527">
        <f t="shared" si="8"/>
        <v>1990</v>
      </c>
    </row>
    <row r="528" spans="1:4" x14ac:dyDescent="0.35">
      <c r="A528" s="1">
        <v>33178</v>
      </c>
      <c r="B528" s="2">
        <v>133.69999999999999</v>
      </c>
      <c r="C528" s="2">
        <v>61.788699999999999</v>
      </c>
      <c r="D528">
        <f t="shared" si="8"/>
        <v>1990</v>
      </c>
    </row>
    <row r="529" spans="1:4" x14ac:dyDescent="0.35">
      <c r="A529" s="1">
        <v>33208</v>
      </c>
      <c r="B529" s="2">
        <v>134.19999999999999</v>
      </c>
      <c r="C529" s="2">
        <v>61.3352</v>
      </c>
      <c r="D529">
        <f t="shared" si="8"/>
        <v>1990</v>
      </c>
    </row>
    <row r="530" spans="1:4" x14ac:dyDescent="0.35">
      <c r="A530" s="1">
        <v>33239</v>
      </c>
      <c r="B530" s="2">
        <v>134.69999999999999</v>
      </c>
      <c r="C530" s="2">
        <v>61.1355</v>
      </c>
      <c r="D530">
        <f t="shared" si="8"/>
        <v>1991</v>
      </c>
    </row>
    <row r="531" spans="1:4" x14ac:dyDescent="0.35">
      <c r="A531" s="1">
        <v>33270</v>
      </c>
      <c r="B531" s="2">
        <v>134.80000000000001</v>
      </c>
      <c r="C531" s="2">
        <v>60.683799999999998</v>
      </c>
      <c r="D531">
        <f t="shared" si="8"/>
        <v>1991</v>
      </c>
    </row>
    <row r="532" spans="1:4" x14ac:dyDescent="0.35">
      <c r="A532" s="1">
        <v>33298</v>
      </c>
      <c r="B532" s="2">
        <v>134.80000000000001</v>
      </c>
      <c r="C532" s="2">
        <v>60.334600000000002</v>
      </c>
      <c r="D532">
        <f t="shared" si="8"/>
        <v>1991</v>
      </c>
    </row>
    <row r="533" spans="1:4" x14ac:dyDescent="0.35">
      <c r="A533" s="1">
        <v>33329</v>
      </c>
      <c r="B533" s="2">
        <v>135.1</v>
      </c>
      <c r="C533" s="2">
        <v>60.4938</v>
      </c>
      <c r="D533">
        <f t="shared" si="8"/>
        <v>1991</v>
      </c>
    </row>
    <row r="534" spans="1:4" x14ac:dyDescent="0.35">
      <c r="A534" s="1">
        <v>33359</v>
      </c>
      <c r="B534" s="2">
        <v>135.6</v>
      </c>
      <c r="C534" s="2">
        <v>61.063299999999998</v>
      </c>
      <c r="D534">
        <f t="shared" si="8"/>
        <v>1991</v>
      </c>
    </row>
    <row r="535" spans="1:4" x14ac:dyDescent="0.35">
      <c r="A535" s="1">
        <v>33390</v>
      </c>
      <c r="B535" s="2">
        <v>136</v>
      </c>
      <c r="C535" s="2">
        <v>61.558100000000003</v>
      </c>
      <c r="D535">
        <f t="shared" si="8"/>
        <v>1991</v>
      </c>
    </row>
    <row r="536" spans="1:4" x14ac:dyDescent="0.35">
      <c r="A536" s="1">
        <v>33420</v>
      </c>
      <c r="B536" s="2">
        <v>136.19999999999999</v>
      </c>
      <c r="C536" s="2">
        <v>61.730499999999999</v>
      </c>
      <c r="D536">
        <f t="shared" si="8"/>
        <v>1991</v>
      </c>
    </row>
    <row r="537" spans="1:4" x14ac:dyDescent="0.35">
      <c r="A537" s="1">
        <v>33451</v>
      </c>
      <c r="B537" s="2">
        <v>136.6</v>
      </c>
      <c r="C537" s="2">
        <v>61.729799999999997</v>
      </c>
      <c r="D537">
        <f t="shared" si="8"/>
        <v>1991</v>
      </c>
    </row>
    <row r="538" spans="1:4" x14ac:dyDescent="0.35">
      <c r="A538" s="1">
        <v>33482</v>
      </c>
      <c r="B538" s="2">
        <v>137</v>
      </c>
      <c r="C538" s="2">
        <v>62.219499999999996</v>
      </c>
      <c r="D538">
        <f t="shared" si="8"/>
        <v>1991</v>
      </c>
    </row>
    <row r="539" spans="1:4" x14ac:dyDescent="0.35">
      <c r="A539" s="1">
        <v>33512</v>
      </c>
      <c r="B539" s="2">
        <v>137.19999999999999</v>
      </c>
      <c r="C539" s="2">
        <v>62.185499999999998</v>
      </c>
      <c r="D539">
        <f t="shared" si="8"/>
        <v>1991</v>
      </c>
    </row>
    <row r="540" spans="1:4" x14ac:dyDescent="0.35">
      <c r="A540" s="1">
        <v>33543</v>
      </c>
      <c r="B540" s="2">
        <v>137.80000000000001</v>
      </c>
      <c r="C540" s="2">
        <v>62.0871</v>
      </c>
      <c r="D540">
        <f t="shared" si="8"/>
        <v>1991</v>
      </c>
    </row>
    <row r="541" spans="1:4" x14ac:dyDescent="0.35">
      <c r="A541" s="1">
        <v>33573</v>
      </c>
      <c r="B541" s="2">
        <v>138.19999999999999</v>
      </c>
      <c r="C541" s="2">
        <v>61.785200000000003</v>
      </c>
      <c r="D541">
        <f t="shared" si="8"/>
        <v>1991</v>
      </c>
    </row>
    <row r="542" spans="1:4" x14ac:dyDescent="0.35">
      <c r="A542" s="1">
        <v>33604</v>
      </c>
      <c r="B542" s="2">
        <v>138.30000000000001</v>
      </c>
      <c r="C542" s="2">
        <v>61.461599999999997</v>
      </c>
      <c r="D542">
        <f t="shared" si="8"/>
        <v>1992</v>
      </c>
    </row>
    <row r="543" spans="1:4" x14ac:dyDescent="0.35">
      <c r="A543" s="1">
        <v>33635</v>
      </c>
      <c r="B543" s="2">
        <v>138.6</v>
      </c>
      <c r="C543" s="2">
        <v>61.895499999999998</v>
      </c>
      <c r="D543">
        <f t="shared" si="8"/>
        <v>1992</v>
      </c>
    </row>
    <row r="544" spans="1:4" x14ac:dyDescent="0.35">
      <c r="A544" s="1">
        <v>33664</v>
      </c>
      <c r="B544" s="2">
        <v>139.1</v>
      </c>
      <c r="C544" s="2">
        <v>62.423200000000001</v>
      </c>
      <c r="D544">
        <f t="shared" si="8"/>
        <v>1992</v>
      </c>
    </row>
    <row r="545" spans="1:4" x14ac:dyDescent="0.35">
      <c r="A545" s="1">
        <v>33695</v>
      </c>
      <c r="B545" s="2">
        <v>139.4</v>
      </c>
      <c r="C545" s="2">
        <v>62.896999999999998</v>
      </c>
      <c r="D545">
        <f t="shared" si="8"/>
        <v>1992</v>
      </c>
    </row>
    <row r="546" spans="1:4" x14ac:dyDescent="0.35">
      <c r="A546" s="1">
        <v>33725</v>
      </c>
      <c r="B546" s="2">
        <v>139.69999999999999</v>
      </c>
      <c r="C546" s="2">
        <v>63.103999999999999</v>
      </c>
      <c r="D546">
        <f t="shared" si="8"/>
        <v>1992</v>
      </c>
    </row>
    <row r="547" spans="1:4" x14ac:dyDescent="0.35">
      <c r="A547" s="1">
        <v>33756</v>
      </c>
      <c r="B547" s="2">
        <v>140.1</v>
      </c>
      <c r="C547" s="2">
        <v>63.136299999999999</v>
      </c>
      <c r="D547">
        <f t="shared" si="8"/>
        <v>1992</v>
      </c>
    </row>
    <row r="548" spans="1:4" x14ac:dyDescent="0.35">
      <c r="A548" s="1">
        <v>33786</v>
      </c>
      <c r="B548" s="2">
        <v>140.5</v>
      </c>
      <c r="C548" s="2">
        <v>63.717599999999997</v>
      </c>
      <c r="D548">
        <f t="shared" si="8"/>
        <v>1992</v>
      </c>
    </row>
    <row r="549" spans="1:4" x14ac:dyDescent="0.35">
      <c r="A549" s="1">
        <v>33817</v>
      </c>
      <c r="B549" s="2">
        <v>140.80000000000001</v>
      </c>
      <c r="C549" s="2">
        <v>63.3613</v>
      </c>
      <c r="D549">
        <f t="shared" si="8"/>
        <v>1992</v>
      </c>
    </row>
    <row r="550" spans="1:4" x14ac:dyDescent="0.35">
      <c r="A550" s="1">
        <v>33848</v>
      </c>
      <c r="B550" s="2">
        <v>141.1</v>
      </c>
      <c r="C550" s="2">
        <v>63.570300000000003</v>
      </c>
      <c r="D550">
        <f t="shared" si="8"/>
        <v>1992</v>
      </c>
    </row>
    <row r="551" spans="1:4" x14ac:dyDescent="0.35">
      <c r="A551" s="1">
        <v>33878</v>
      </c>
      <c r="B551" s="2">
        <v>141.69999999999999</v>
      </c>
      <c r="C551" s="2">
        <v>63.999499999999998</v>
      </c>
      <c r="D551">
        <f t="shared" si="8"/>
        <v>1992</v>
      </c>
    </row>
    <row r="552" spans="1:4" x14ac:dyDescent="0.35">
      <c r="A552" s="1">
        <v>33909</v>
      </c>
      <c r="B552" s="2">
        <v>142.1</v>
      </c>
      <c r="C552" s="2">
        <v>64.242199999999997</v>
      </c>
      <c r="D552">
        <f t="shared" si="8"/>
        <v>1992</v>
      </c>
    </row>
    <row r="553" spans="1:4" x14ac:dyDescent="0.35">
      <c r="A553" s="1">
        <v>33939</v>
      </c>
      <c r="B553" s="2">
        <v>142.30000000000001</v>
      </c>
      <c r="C553" s="2">
        <v>64.350700000000003</v>
      </c>
      <c r="D553">
        <f t="shared" si="8"/>
        <v>1992</v>
      </c>
    </row>
    <row r="554" spans="1:4" x14ac:dyDescent="0.35">
      <c r="A554" s="1">
        <v>33970</v>
      </c>
      <c r="B554" s="2">
        <v>142.80000000000001</v>
      </c>
      <c r="C554" s="2">
        <v>64.597800000000007</v>
      </c>
      <c r="D554">
        <f t="shared" si="8"/>
        <v>1993</v>
      </c>
    </row>
    <row r="555" spans="1:4" x14ac:dyDescent="0.35">
      <c r="A555" s="1">
        <v>34001</v>
      </c>
      <c r="B555" s="2">
        <v>143.1</v>
      </c>
      <c r="C555" s="2">
        <v>64.908900000000003</v>
      </c>
      <c r="D555">
        <f t="shared" si="8"/>
        <v>1993</v>
      </c>
    </row>
    <row r="556" spans="1:4" x14ac:dyDescent="0.35">
      <c r="A556" s="1">
        <v>34029</v>
      </c>
      <c r="B556" s="2">
        <v>143.30000000000001</v>
      </c>
      <c r="C556" s="2">
        <v>64.852199999999996</v>
      </c>
      <c r="D556">
        <f t="shared" si="8"/>
        <v>1993</v>
      </c>
    </row>
    <row r="557" spans="1:4" x14ac:dyDescent="0.35">
      <c r="A557" s="1">
        <v>34060</v>
      </c>
      <c r="B557" s="2">
        <v>143.80000000000001</v>
      </c>
      <c r="C557" s="2">
        <v>65.030100000000004</v>
      </c>
      <c r="D557">
        <f t="shared" si="8"/>
        <v>1993</v>
      </c>
    </row>
    <row r="558" spans="1:4" x14ac:dyDescent="0.35">
      <c r="A558" s="1">
        <v>34090</v>
      </c>
      <c r="B558" s="2">
        <v>144.19999999999999</v>
      </c>
      <c r="C558" s="2">
        <v>64.784000000000006</v>
      </c>
      <c r="D558">
        <f t="shared" si="8"/>
        <v>1993</v>
      </c>
    </row>
    <row r="559" spans="1:4" x14ac:dyDescent="0.35">
      <c r="A559" s="1">
        <v>34121</v>
      </c>
      <c r="B559" s="2">
        <v>144.30000000000001</v>
      </c>
      <c r="C559" s="2">
        <v>64.930099999999996</v>
      </c>
      <c r="D559">
        <f t="shared" si="8"/>
        <v>1993</v>
      </c>
    </row>
    <row r="560" spans="1:4" x14ac:dyDescent="0.35">
      <c r="A560" s="1">
        <v>34151</v>
      </c>
      <c r="B560" s="2">
        <v>144.5</v>
      </c>
      <c r="C560" s="2">
        <v>65.105199999999996</v>
      </c>
      <c r="D560">
        <f t="shared" si="8"/>
        <v>1993</v>
      </c>
    </row>
    <row r="561" spans="1:4" x14ac:dyDescent="0.35">
      <c r="A561" s="1">
        <v>34182</v>
      </c>
      <c r="B561" s="2">
        <v>144.80000000000001</v>
      </c>
      <c r="C561" s="2">
        <v>65.026700000000005</v>
      </c>
      <c r="D561">
        <f t="shared" si="8"/>
        <v>1993</v>
      </c>
    </row>
    <row r="562" spans="1:4" x14ac:dyDescent="0.35">
      <c r="A562" s="1">
        <v>34213</v>
      </c>
      <c r="B562" s="2">
        <v>145</v>
      </c>
      <c r="C562" s="2">
        <v>65.371700000000004</v>
      </c>
      <c r="D562">
        <f t="shared" si="8"/>
        <v>1993</v>
      </c>
    </row>
    <row r="563" spans="1:4" x14ac:dyDescent="0.35">
      <c r="A563" s="1">
        <v>34243</v>
      </c>
      <c r="B563" s="2">
        <v>145.6</v>
      </c>
      <c r="C563" s="2">
        <v>65.850899999999996</v>
      </c>
      <c r="D563">
        <f t="shared" si="8"/>
        <v>1993</v>
      </c>
    </row>
    <row r="564" spans="1:4" x14ac:dyDescent="0.35">
      <c r="A564" s="1">
        <v>34274</v>
      </c>
      <c r="B564" s="2">
        <v>146</v>
      </c>
      <c r="C564" s="2">
        <v>66.151799999999994</v>
      </c>
      <c r="D564">
        <f t="shared" si="8"/>
        <v>1993</v>
      </c>
    </row>
    <row r="565" spans="1:4" x14ac:dyDescent="0.35">
      <c r="A565" s="1">
        <v>34304</v>
      </c>
      <c r="B565" s="2">
        <v>146.30000000000001</v>
      </c>
      <c r="C565" s="2">
        <v>66.543599999999998</v>
      </c>
      <c r="D565">
        <f t="shared" si="8"/>
        <v>1993</v>
      </c>
    </row>
    <row r="566" spans="1:4" x14ac:dyDescent="0.35">
      <c r="A566" s="1">
        <v>34335</v>
      </c>
      <c r="B566" s="2">
        <v>146.30000000000001</v>
      </c>
      <c r="C566" s="2">
        <v>66.735100000000003</v>
      </c>
      <c r="D566">
        <f t="shared" si="8"/>
        <v>1994</v>
      </c>
    </row>
    <row r="567" spans="1:4" x14ac:dyDescent="0.35">
      <c r="A567" s="1">
        <v>34366</v>
      </c>
      <c r="B567" s="2">
        <v>146.69999999999999</v>
      </c>
      <c r="C567" s="2">
        <v>66.774000000000001</v>
      </c>
      <c r="D567">
        <f t="shared" si="8"/>
        <v>1994</v>
      </c>
    </row>
    <row r="568" spans="1:4" x14ac:dyDescent="0.35">
      <c r="A568" s="1">
        <v>34394</v>
      </c>
      <c r="B568" s="2">
        <v>147.1</v>
      </c>
      <c r="C568" s="2">
        <v>67.455200000000005</v>
      </c>
      <c r="D568">
        <f t="shared" si="8"/>
        <v>1994</v>
      </c>
    </row>
    <row r="569" spans="1:4" x14ac:dyDescent="0.35">
      <c r="A569" s="1">
        <v>34425</v>
      </c>
      <c r="B569" s="2">
        <v>147.19999999999999</v>
      </c>
      <c r="C569" s="2">
        <v>67.854100000000003</v>
      </c>
      <c r="D569">
        <f t="shared" si="8"/>
        <v>1994</v>
      </c>
    </row>
    <row r="570" spans="1:4" x14ac:dyDescent="0.35">
      <c r="A570" s="1">
        <v>34455</v>
      </c>
      <c r="B570" s="2">
        <v>147.5</v>
      </c>
      <c r="C570" s="2">
        <v>68.166300000000007</v>
      </c>
      <c r="D570">
        <f t="shared" si="8"/>
        <v>1994</v>
      </c>
    </row>
    <row r="571" spans="1:4" x14ac:dyDescent="0.35">
      <c r="A571" s="1">
        <v>34486</v>
      </c>
      <c r="B571" s="2">
        <v>147.9</v>
      </c>
      <c r="C571" s="2">
        <v>68.626499999999993</v>
      </c>
      <c r="D571">
        <f t="shared" si="8"/>
        <v>1994</v>
      </c>
    </row>
    <row r="572" spans="1:4" x14ac:dyDescent="0.35">
      <c r="A572" s="1">
        <v>34516</v>
      </c>
      <c r="B572" s="2">
        <v>148.4</v>
      </c>
      <c r="C572" s="2">
        <v>68.717799999999997</v>
      </c>
      <c r="D572">
        <f t="shared" si="8"/>
        <v>1994</v>
      </c>
    </row>
    <row r="573" spans="1:4" x14ac:dyDescent="0.35">
      <c r="A573" s="1">
        <v>34547</v>
      </c>
      <c r="B573" s="2">
        <v>149</v>
      </c>
      <c r="C573" s="2">
        <v>69.1785</v>
      </c>
      <c r="D573">
        <f t="shared" si="8"/>
        <v>1994</v>
      </c>
    </row>
    <row r="574" spans="1:4" x14ac:dyDescent="0.35">
      <c r="A574" s="1">
        <v>34578</v>
      </c>
      <c r="B574" s="2">
        <v>149.30000000000001</v>
      </c>
      <c r="C574" s="2">
        <v>69.396100000000004</v>
      </c>
      <c r="D574">
        <f t="shared" si="8"/>
        <v>1994</v>
      </c>
    </row>
    <row r="575" spans="1:4" x14ac:dyDescent="0.35">
      <c r="A575" s="1">
        <v>34608</v>
      </c>
      <c r="B575" s="2">
        <v>149.4</v>
      </c>
      <c r="C575" s="2">
        <v>69.954400000000007</v>
      </c>
      <c r="D575">
        <f t="shared" si="8"/>
        <v>1994</v>
      </c>
    </row>
    <row r="576" spans="1:4" x14ac:dyDescent="0.35">
      <c r="A576" s="1">
        <v>34639</v>
      </c>
      <c r="B576" s="2">
        <v>149.80000000000001</v>
      </c>
      <c r="C576" s="2">
        <v>70.432599999999994</v>
      </c>
      <c r="D576">
        <f t="shared" si="8"/>
        <v>1994</v>
      </c>
    </row>
    <row r="577" spans="1:4" x14ac:dyDescent="0.35">
      <c r="A577" s="1">
        <v>34669</v>
      </c>
      <c r="B577" s="2">
        <v>150.1</v>
      </c>
      <c r="C577" s="2">
        <v>71.152299999999997</v>
      </c>
      <c r="D577">
        <f t="shared" si="8"/>
        <v>1994</v>
      </c>
    </row>
    <row r="578" spans="1:4" x14ac:dyDescent="0.35">
      <c r="A578" s="1">
        <v>34700</v>
      </c>
      <c r="B578" s="2">
        <v>150.5</v>
      </c>
      <c r="C578" s="2">
        <v>71.273399999999995</v>
      </c>
      <c r="D578">
        <f t="shared" ref="D578:D641" si="9">YEAR(A578)</f>
        <v>1995</v>
      </c>
    </row>
    <row r="579" spans="1:4" x14ac:dyDescent="0.35">
      <c r="A579" s="1">
        <v>34731</v>
      </c>
      <c r="B579" s="2">
        <v>150.9</v>
      </c>
      <c r="C579" s="2">
        <v>71.192999999999998</v>
      </c>
      <c r="D579">
        <f t="shared" si="9"/>
        <v>1995</v>
      </c>
    </row>
    <row r="580" spans="1:4" x14ac:dyDescent="0.35">
      <c r="A580" s="1">
        <v>34759</v>
      </c>
      <c r="B580" s="2">
        <v>151.19999999999999</v>
      </c>
      <c r="C580" s="2">
        <v>71.311300000000003</v>
      </c>
      <c r="D580">
        <f t="shared" si="9"/>
        <v>1995</v>
      </c>
    </row>
    <row r="581" spans="1:4" x14ac:dyDescent="0.35">
      <c r="A581" s="1">
        <v>34790</v>
      </c>
      <c r="B581" s="2">
        <v>151.80000000000001</v>
      </c>
      <c r="C581" s="2">
        <v>71.188199999999995</v>
      </c>
      <c r="D581">
        <f t="shared" si="9"/>
        <v>1995</v>
      </c>
    </row>
    <row r="582" spans="1:4" x14ac:dyDescent="0.35">
      <c r="A582" s="1">
        <v>34820</v>
      </c>
      <c r="B582" s="2">
        <v>152.1</v>
      </c>
      <c r="C582" s="2">
        <v>71.537800000000004</v>
      </c>
      <c r="D582">
        <f t="shared" si="9"/>
        <v>1995</v>
      </c>
    </row>
    <row r="583" spans="1:4" x14ac:dyDescent="0.35">
      <c r="A583" s="1">
        <v>34851</v>
      </c>
      <c r="B583" s="2">
        <v>152.4</v>
      </c>
      <c r="C583" s="2">
        <v>71.774900000000002</v>
      </c>
      <c r="D583">
        <f t="shared" si="9"/>
        <v>1995</v>
      </c>
    </row>
    <row r="584" spans="1:4" x14ac:dyDescent="0.35">
      <c r="A584" s="1">
        <v>34881</v>
      </c>
      <c r="B584" s="2">
        <v>152.6</v>
      </c>
      <c r="C584" s="2">
        <v>71.474800000000002</v>
      </c>
      <c r="D584">
        <f t="shared" si="9"/>
        <v>1995</v>
      </c>
    </row>
    <row r="585" spans="1:4" x14ac:dyDescent="0.35">
      <c r="A585" s="1">
        <v>34912</v>
      </c>
      <c r="B585" s="2">
        <v>152.9</v>
      </c>
      <c r="C585" s="2">
        <v>72.422300000000007</v>
      </c>
      <c r="D585">
        <f t="shared" si="9"/>
        <v>1995</v>
      </c>
    </row>
    <row r="586" spans="1:4" x14ac:dyDescent="0.35">
      <c r="A586" s="1">
        <v>34943</v>
      </c>
      <c r="B586" s="2">
        <v>153.1</v>
      </c>
      <c r="C586" s="2">
        <v>72.714399999999998</v>
      </c>
      <c r="D586">
        <f t="shared" si="9"/>
        <v>1995</v>
      </c>
    </row>
    <row r="587" spans="1:4" x14ac:dyDescent="0.35">
      <c r="A587" s="1">
        <v>34973</v>
      </c>
      <c r="B587" s="2">
        <v>153.5</v>
      </c>
      <c r="C587" s="2">
        <v>72.586600000000004</v>
      </c>
      <c r="D587">
        <f t="shared" si="9"/>
        <v>1995</v>
      </c>
    </row>
    <row r="588" spans="1:4" x14ac:dyDescent="0.35">
      <c r="A588" s="1">
        <v>35004</v>
      </c>
      <c r="B588" s="2">
        <v>153.69999999999999</v>
      </c>
      <c r="C588" s="2">
        <v>72.777900000000002</v>
      </c>
      <c r="D588">
        <f t="shared" si="9"/>
        <v>1995</v>
      </c>
    </row>
    <row r="589" spans="1:4" x14ac:dyDescent="0.35">
      <c r="A589" s="1">
        <v>35034</v>
      </c>
      <c r="B589" s="2">
        <v>153.9</v>
      </c>
      <c r="C589" s="2">
        <v>73.030500000000004</v>
      </c>
      <c r="D589">
        <f t="shared" si="9"/>
        <v>1995</v>
      </c>
    </row>
    <row r="590" spans="1:4" x14ac:dyDescent="0.35">
      <c r="A590" s="1">
        <v>35065</v>
      </c>
      <c r="B590" s="2">
        <v>154.69999999999999</v>
      </c>
      <c r="C590" s="2">
        <v>72.612499999999997</v>
      </c>
      <c r="D590">
        <f t="shared" si="9"/>
        <v>1996</v>
      </c>
    </row>
    <row r="591" spans="1:4" x14ac:dyDescent="0.35">
      <c r="A591" s="1">
        <v>35096</v>
      </c>
      <c r="B591" s="2">
        <v>155</v>
      </c>
      <c r="C591" s="2">
        <v>73.675200000000004</v>
      </c>
      <c r="D591">
        <f t="shared" si="9"/>
        <v>1996</v>
      </c>
    </row>
    <row r="592" spans="1:4" x14ac:dyDescent="0.35">
      <c r="A592" s="1">
        <v>35125</v>
      </c>
      <c r="B592" s="2">
        <v>155.5</v>
      </c>
      <c r="C592" s="2">
        <v>73.584999999999994</v>
      </c>
      <c r="D592">
        <f t="shared" si="9"/>
        <v>1996</v>
      </c>
    </row>
    <row r="593" spans="1:4" x14ac:dyDescent="0.35">
      <c r="A593" s="1">
        <v>35156</v>
      </c>
      <c r="B593" s="2">
        <v>156.1</v>
      </c>
      <c r="C593" s="2">
        <v>74.3172</v>
      </c>
      <c r="D593">
        <f t="shared" si="9"/>
        <v>1996</v>
      </c>
    </row>
    <row r="594" spans="1:4" x14ac:dyDescent="0.35">
      <c r="A594" s="1">
        <v>35186</v>
      </c>
      <c r="B594" s="2">
        <v>156.4</v>
      </c>
      <c r="C594" s="2">
        <v>74.872600000000006</v>
      </c>
      <c r="D594">
        <f t="shared" si="9"/>
        <v>1996</v>
      </c>
    </row>
    <row r="595" spans="1:4" x14ac:dyDescent="0.35">
      <c r="A595" s="1">
        <v>35217</v>
      </c>
      <c r="B595" s="2">
        <v>156.69999999999999</v>
      </c>
      <c r="C595" s="2">
        <v>75.443299999999994</v>
      </c>
      <c r="D595">
        <f t="shared" si="9"/>
        <v>1996</v>
      </c>
    </row>
    <row r="596" spans="1:4" x14ac:dyDescent="0.35">
      <c r="A596" s="1">
        <v>35247</v>
      </c>
      <c r="B596" s="2">
        <v>157</v>
      </c>
      <c r="C596" s="2">
        <v>75.454899999999995</v>
      </c>
      <c r="D596">
        <f t="shared" si="9"/>
        <v>1996</v>
      </c>
    </row>
    <row r="597" spans="1:4" x14ac:dyDescent="0.35">
      <c r="A597" s="1">
        <v>35278</v>
      </c>
      <c r="B597" s="2">
        <v>157.19999999999999</v>
      </c>
      <c r="C597" s="2">
        <v>75.841099999999997</v>
      </c>
      <c r="D597">
        <f t="shared" si="9"/>
        <v>1996</v>
      </c>
    </row>
    <row r="598" spans="1:4" x14ac:dyDescent="0.35">
      <c r="A598" s="1">
        <v>35309</v>
      </c>
      <c r="B598" s="2">
        <v>157.69999999999999</v>
      </c>
      <c r="C598" s="2">
        <v>76.315799999999996</v>
      </c>
      <c r="D598">
        <f t="shared" si="9"/>
        <v>1996</v>
      </c>
    </row>
    <row r="599" spans="1:4" x14ac:dyDescent="0.35">
      <c r="A599" s="1">
        <v>35339</v>
      </c>
      <c r="B599" s="2">
        <v>158.19999999999999</v>
      </c>
      <c r="C599" s="2">
        <v>76.338399999999993</v>
      </c>
      <c r="D599">
        <f t="shared" si="9"/>
        <v>1996</v>
      </c>
    </row>
    <row r="600" spans="1:4" x14ac:dyDescent="0.35">
      <c r="A600" s="1">
        <v>35370</v>
      </c>
      <c r="B600" s="2">
        <v>158.69999999999999</v>
      </c>
      <c r="C600" s="2">
        <v>77.039699999999996</v>
      </c>
      <c r="D600">
        <f t="shared" si="9"/>
        <v>1996</v>
      </c>
    </row>
    <row r="601" spans="1:4" x14ac:dyDescent="0.35">
      <c r="A601" s="1">
        <v>35400</v>
      </c>
      <c r="B601" s="2">
        <v>159.1</v>
      </c>
      <c r="C601" s="2">
        <v>77.533299999999997</v>
      </c>
      <c r="D601">
        <f t="shared" si="9"/>
        <v>1996</v>
      </c>
    </row>
    <row r="602" spans="1:4" x14ac:dyDescent="0.35">
      <c r="A602" s="1">
        <v>35431</v>
      </c>
      <c r="B602" s="2">
        <v>159.4</v>
      </c>
      <c r="C602" s="2">
        <v>77.656199999999998</v>
      </c>
      <c r="D602">
        <f t="shared" si="9"/>
        <v>1997</v>
      </c>
    </row>
    <row r="603" spans="1:4" x14ac:dyDescent="0.35">
      <c r="A603" s="1">
        <v>35462</v>
      </c>
      <c r="B603" s="2">
        <v>159.69999999999999</v>
      </c>
      <c r="C603" s="2">
        <v>78.583299999999994</v>
      </c>
      <c r="D603">
        <f t="shared" si="9"/>
        <v>1997</v>
      </c>
    </row>
    <row r="604" spans="1:4" x14ac:dyDescent="0.35">
      <c r="A604" s="1">
        <v>35490</v>
      </c>
      <c r="B604" s="2">
        <v>159.80000000000001</v>
      </c>
      <c r="C604" s="2">
        <v>79.081999999999994</v>
      </c>
      <c r="D604">
        <f t="shared" si="9"/>
        <v>1997</v>
      </c>
    </row>
    <row r="605" spans="1:4" x14ac:dyDescent="0.35">
      <c r="A605" s="1">
        <v>35521</v>
      </c>
      <c r="B605" s="2">
        <v>159.9</v>
      </c>
      <c r="C605" s="2">
        <v>79.174700000000001</v>
      </c>
      <c r="D605">
        <f t="shared" si="9"/>
        <v>1997</v>
      </c>
    </row>
    <row r="606" spans="1:4" x14ac:dyDescent="0.35">
      <c r="A606" s="1">
        <v>35551</v>
      </c>
      <c r="B606" s="2">
        <v>159.9</v>
      </c>
      <c r="C606" s="2">
        <v>79.613299999999995</v>
      </c>
      <c r="D606">
        <f t="shared" si="9"/>
        <v>1997</v>
      </c>
    </row>
    <row r="607" spans="1:4" x14ac:dyDescent="0.35">
      <c r="A607" s="1">
        <v>35582</v>
      </c>
      <c r="B607" s="2">
        <v>160.19999999999999</v>
      </c>
      <c r="C607" s="2">
        <v>79.979200000000006</v>
      </c>
      <c r="D607">
        <f t="shared" si="9"/>
        <v>1997</v>
      </c>
    </row>
    <row r="608" spans="1:4" x14ac:dyDescent="0.35">
      <c r="A608" s="1">
        <v>35612</v>
      </c>
      <c r="B608" s="2">
        <v>160.4</v>
      </c>
      <c r="C608" s="2">
        <v>80.662400000000005</v>
      </c>
      <c r="D608">
        <f t="shared" si="9"/>
        <v>1997</v>
      </c>
    </row>
    <row r="609" spans="1:4" x14ac:dyDescent="0.35">
      <c r="A609" s="1">
        <v>35643</v>
      </c>
      <c r="B609" s="2">
        <v>160.80000000000001</v>
      </c>
      <c r="C609" s="2">
        <v>81.469399999999993</v>
      </c>
      <c r="D609">
        <f t="shared" si="9"/>
        <v>1997</v>
      </c>
    </row>
    <row r="610" spans="1:4" x14ac:dyDescent="0.35">
      <c r="A610" s="1">
        <v>35674</v>
      </c>
      <c r="B610" s="2">
        <v>161.19999999999999</v>
      </c>
      <c r="C610" s="2">
        <v>82.215599999999995</v>
      </c>
      <c r="D610">
        <f t="shared" si="9"/>
        <v>1997</v>
      </c>
    </row>
    <row r="611" spans="1:4" x14ac:dyDescent="0.35">
      <c r="A611" s="1">
        <v>35704</v>
      </c>
      <c r="B611" s="2">
        <v>161.5</v>
      </c>
      <c r="C611" s="2">
        <v>82.944599999999994</v>
      </c>
      <c r="D611">
        <f t="shared" si="9"/>
        <v>1997</v>
      </c>
    </row>
    <row r="612" spans="1:4" x14ac:dyDescent="0.35">
      <c r="A612" s="1">
        <v>35735</v>
      </c>
      <c r="B612" s="2">
        <v>161.69999999999999</v>
      </c>
      <c r="C612" s="2">
        <v>83.597800000000007</v>
      </c>
      <c r="D612">
        <f t="shared" si="9"/>
        <v>1997</v>
      </c>
    </row>
    <row r="613" spans="1:4" x14ac:dyDescent="0.35">
      <c r="A613" s="1">
        <v>35765</v>
      </c>
      <c r="B613" s="2">
        <v>161.80000000000001</v>
      </c>
      <c r="C613" s="2">
        <v>83.953800000000001</v>
      </c>
      <c r="D613">
        <f t="shared" si="9"/>
        <v>1997</v>
      </c>
    </row>
    <row r="614" spans="1:4" x14ac:dyDescent="0.35">
      <c r="A614" s="1">
        <v>35796</v>
      </c>
      <c r="B614" s="2">
        <v>162</v>
      </c>
      <c r="C614" s="2">
        <v>84.321799999999996</v>
      </c>
      <c r="D614">
        <f t="shared" si="9"/>
        <v>1998</v>
      </c>
    </row>
    <row r="615" spans="1:4" x14ac:dyDescent="0.35">
      <c r="A615" s="1">
        <v>35827</v>
      </c>
      <c r="B615" s="2">
        <v>162</v>
      </c>
      <c r="C615" s="2">
        <v>84.458299999999994</v>
      </c>
      <c r="D615">
        <f t="shared" si="9"/>
        <v>1998</v>
      </c>
    </row>
    <row r="616" spans="1:4" x14ac:dyDescent="0.35">
      <c r="A616" s="1">
        <v>35855</v>
      </c>
      <c r="B616" s="2">
        <v>162</v>
      </c>
      <c r="C616" s="2">
        <v>84.488</v>
      </c>
      <c r="D616">
        <f t="shared" si="9"/>
        <v>1998</v>
      </c>
    </row>
    <row r="617" spans="1:4" x14ac:dyDescent="0.35">
      <c r="A617" s="1">
        <v>35886</v>
      </c>
      <c r="B617" s="2">
        <v>162.19999999999999</v>
      </c>
      <c r="C617" s="2">
        <v>84.777900000000002</v>
      </c>
      <c r="D617">
        <f t="shared" si="9"/>
        <v>1998</v>
      </c>
    </row>
    <row r="618" spans="1:4" x14ac:dyDescent="0.35">
      <c r="A618" s="1">
        <v>35916</v>
      </c>
      <c r="B618" s="2">
        <v>162.6</v>
      </c>
      <c r="C618" s="2">
        <v>85.336699999999993</v>
      </c>
      <c r="D618">
        <f t="shared" si="9"/>
        <v>1998</v>
      </c>
    </row>
    <row r="619" spans="1:4" x14ac:dyDescent="0.35">
      <c r="A619" s="1">
        <v>35947</v>
      </c>
      <c r="B619" s="2">
        <v>162.80000000000001</v>
      </c>
      <c r="C619" s="2">
        <v>84.824799999999996</v>
      </c>
      <c r="D619">
        <f t="shared" si="9"/>
        <v>1998</v>
      </c>
    </row>
    <row r="620" spans="1:4" x14ac:dyDescent="0.35">
      <c r="A620" s="1">
        <v>35977</v>
      </c>
      <c r="B620" s="2">
        <v>163.19999999999999</v>
      </c>
      <c r="C620" s="2">
        <v>84.498599999999996</v>
      </c>
      <c r="D620">
        <f t="shared" si="9"/>
        <v>1998</v>
      </c>
    </row>
    <row r="621" spans="1:4" x14ac:dyDescent="0.35">
      <c r="A621" s="1">
        <v>36008</v>
      </c>
      <c r="B621" s="2">
        <v>163.4</v>
      </c>
      <c r="C621" s="2">
        <v>86.248000000000005</v>
      </c>
      <c r="D621">
        <f t="shared" si="9"/>
        <v>1998</v>
      </c>
    </row>
    <row r="622" spans="1:4" x14ac:dyDescent="0.35">
      <c r="A622" s="1">
        <v>36039</v>
      </c>
      <c r="B622" s="2">
        <v>163.5</v>
      </c>
      <c r="C622" s="2">
        <v>86.202100000000002</v>
      </c>
      <c r="D622">
        <f t="shared" si="9"/>
        <v>1998</v>
      </c>
    </row>
    <row r="623" spans="1:4" x14ac:dyDescent="0.35">
      <c r="A623" s="1">
        <v>36069</v>
      </c>
      <c r="B623" s="2">
        <v>163.9</v>
      </c>
      <c r="C623" s="2">
        <v>86.791399999999996</v>
      </c>
      <c r="D623">
        <f t="shared" si="9"/>
        <v>1998</v>
      </c>
    </row>
    <row r="624" spans="1:4" x14ac:dyDescent="0.35">
      <c r="A624" s="1">
        <v>36100</v>
      </c>
      <c r="B624" s="2">
        <v>164.1</v>
      </c>
      <c r="C624" s="2">
        <v>86.7256</v>
      </c>
      <c r="D624">
        <f t="shared" si="9"/>
        <v>1998</v>
      </c>
    </row>
    <row r="625" spans="1:4" x14ac:dyDescent="0.35">
      <c r="A625" s="1">
        <v>36130</v>
      </c>
      <c r="B625" s="2">
        <v>164.4</v>
      </c>
      <c r="C625" s="2">
        <v>87.118499999999997</v>
      </c>
      <c r="D625">
        <f t="shared" si="9"/>
        <v>1998</v>
      </c>
    </row>
    <row r="626" spans="1:4" x14ac:dyDescent="0.35">
      <c r="A626" s="1">
        <v>36161</v>
      </c>
      <c r="B626" s="2">
        <v>164.7</v>
      </c>
      <c r="C626" s="2">
        <v>87.494900000000001</v>
      </c>
      <c r="D626">
        <f t="shared" si="9"/>
        <v>1999</v>
      </c>
    </row>
    <row r="627" spans="1:4" x14ac:dyDescent="0.35">
      <c r="A627" s="1">
        <v>36192</v>
      </c>
      <c r="B627" s="2">
        <v>164.7</v>
      </c>
      <c r="C627" s="2">
        <v>88.027000000000001</v>
      </c>
      <c r="D627">
        <f t="shared" si="9"/>
        <v>1999</v>
      </c>
    </row>
    <row r="628" spans="1:4" x14ac:dyDescent="0.35">
      <c r="A628" s="1">
        <v>36220</v>
      </c>
      <c r="B628" s="2">
        <v>164.8</v>
      </c>
      <c r="C628" s="2">
        <v>88.226699999999994</v>
      </c>
      <c r="D628">
        <f t="shared" si="9"/>
        <v>1999</v>
      </c>
    </row>
    <row r="629" spans="1:4" x14ac:dyDescent="0.35">
      <c r="A629" s="1">
        <v>36251</v>
      </c>
      <c r="B629" s="2">
        <v>165.9</v>
      </c>
      <c r="C629" s="2">
        <v>88.429500000000004</v>
      </c>
      <c r="D629">
        <f t="shared" si="9"/>
        <v>1999</v>
      </c>
    </row>
    <row r="630" spans="1:4" x14ac:dyDescent="0.35">
      <c r="A630" s="1">
        <v>36281</v>
      </c>
      <c r="B630" s="2">
        <v>166</v>
      </c>
      <c r="C630" s="2">
        <v>88.988600000000005</v>
      </c>
      <c r="D630">
        <f t="shared" si="9"/>
        <v>1999</v>
      </c>
    </row>
    <row r="631" spans="1:4" x14ac:dyDescent="0.35">
      <c r="A631" s="1">
        <v>36312</v>
      </c>
      <c r="B631" s="2">
        <v>166</v>
      </c>
      <c r="C631" s="2">
        <v>88.918800000000005</v>
      </c>
      <c r="D631">
        <f t="shared" si="9"/>
        <v>1999</v>
      </c>
    </row>
    <row r="632" spans="1:4" x14ac:dyDescent="0.35">
      <c r="A632" s="1">
        <v>36342</v>
      </c>
      <c r="B632" s="2">
        <v>166.7</v>
      </c>
      <c r="C632" s="2">
        <v>89.433300000000003</v>
      </c>
      <c r="D632">
        <f t="shared" si="9"/>
        <v>1999</v>
      </c>
    </row>
    <row r="633" spans="1:4" x14ac:dyDescent="0.35">
      <c r="A633" s="1">
        <v>36373</v>
      </c>
      <c r="B633" s="2">
        <v>167.1</v>
      </c>
      <c r="C633" s="2">
        <v>89.792400000000001</v>
      </c>
      <c r="D633">
        <f t="shared" si="9"/>
        <v>1999</v>
      </c>
    </row>
    <row r="634" spans="1:4" x14ac:dyDescent="0.35">
      <c r="A634" s="1">
        <v>36404</v>
      </c>
      <c r="B634" s="2">
        <v>167.8</v>
      </c>
      <c r="C634" s="2">
        <v>89.429900000000004</v>
      </c>
      <c r="D634">
        <f t="shared" si="9"/>
        <v>1999</v>
      </c>
    </row>
    <row r="635" spans="1:4" x14ac:dyDescent="0.35">
      <c r="A635" s="1">
        <v>36434</v>
      </c>
      <c r="B635" s="2">
        <v>168.1</v>
      </c>
      <c r="C635" s="2">
        <v>90.522999999999996</v>
      </c>
      <c r="D635">
        <f t="shared" si="9"/>
        <v>1999</v>
      </c>
    </row>
    <row r="636" spans="1:4" x14ac:dyDescent="0.35">
      <c r="A636" s="1">
        <v>36465</v>
      </c>
      <c r="B636" s="2">
        <v>168.4</v>
      </c>
      <c r="C636" s="2">
        <v>90.961799999999997</v>
      </c>
      <c r="D636">
        <f t="shared" si="9"/>
        <v>1999</v>
      </c>
    </row>
    <row r="637" spans="1:4" x14ac:dyDescent="0.35">
      <c r="A637" s="1">
        <v>36495</v>
      </c>
      <c r="B637" s="2">
        <v>168.8</v>
      </c>
      <c r="C637" s="2">
        <v>91.663399999999996</v>
      </c>
      <c r="D637">
        <f t="shared" si="9"/>
        <v>1999</v>
      </c>
    </row>
    <row r="638" spans="1:4" x14ac:dyDescent="0.35">
      <c r="A638" s="1">
        <v>36526</v>
      </c>
      <c r="B638" s="2">
        <v>169.3</v>
      </c>
      <c r="C638" s="2">
        <v>91.537999999999997</v>
      </c>
      <c r="D638">
        <f t="shared" si="9"/>
        <v>2000</v>
      </c>
    </row>
    <row r="639" spans="1:4" x14ac:dyDescent="0.35">
      <c r="A639" s="1">
        <v>36557</v>
      </c>
      <c r="B639" s="2">
        <v>170</v>
      </c>
      <c r="C639" s="2">
        <v>91.823899999999995</v>
      </c>
      <c r="D639">
        <f t="shared" si="9"/>
        <v>2000</v>
      </c>
    </row>
    <row r="640" spans="1:4" x14ac:dyDescent="0.35">
      <c r="A640" s="1">
        <v>36586</v>
      </c>
      <c r="B640" s="2">
        <v>171</v>
      </c>
      <c r="C640" s="2">
        <v>92.150400000000005</v>
      </c>
      <c r="D640">
        <f t="shared" si="9"/>
        <v>2000</v>
      </c>
    </row>
    <row r="641" spans="1:4" x14ac:dyDescent="0.35">
      <c r="A641" s="1">
        <v>36617</v>
      </c>
      <c r="B641" s="2">
        <v>170.9</v>
      </c>
      <c r="C641" s="2">
        <v>92.698899999999995</v>
      </c>
      <c r="D641">
        <f t="shared" si="9"/>
        <v>2000</v>
      </c>
    </row>
    <row r="642" spans="1:4" x14ac:dyDescent="0.35">
      <c r="A642" s="1">
        <v>36647</v>
      </c>
      <c r="B642" s="2">
        <v>171.2</v>
      </c>
      <c r="C642" s="2">
        <v>92.9499</v>
      </c>
      <c r="D642">
        <f t="shared" ref="D642:D705" si="10">YEAR(A642)</f>
        <v>2000</v>
      </c>
    </row>
    <row r="643" spans="1:4" x14ac:dyDescent="0.35">
      <c r="A643" s="1">
        <v>36678</v>
      </c>
      <c r="B643" s="2">
        <v>172.2</v>
      </c>
      <c r="C643" s="2">
        <v>92.986199999999997</v>
      </c>
      <c r="D643">
        <f t="shared" si="10"/>
        <v>2000</v>
      </c>
    </row>
    <row r="644" spans="1:4" x14ac:dyDescent="0.35">
      <c r="A644" s="1">
        <v>36708</v>
      </c>
      <c r="B644" s="2">
        <v>172.7</v>
      </c>
      <c r="C644" s="2">
        <v>92.8048</v>
      </c>
      <c r="D644">
        <f t="shared" si="10"/>
        <v>2000</v>
      </c>
    </row>
    <row r="645" spans="1:4" x14ac:dyDescent="0.35">
      <c r="A645" s="1">
        <v>36739</v>
      </c>
      <c r="B645" s="2">
        <v>172.7</v>
      </c>
      <c r="C645" s="2">
        <v>92.552099999999996</v>
      </c>
      <c r="D645">
        <f t="shared" si="10"/>
        <v>2000</v>
      </c>
    </row>
    <row r="646" spans="1:4" x14ac:dyDescent="0.35">
      <c r="A646" s="1">
        <v>36770</v>
      </c>
      <c r="B646" s="2">
        <v>173.6</v>
      </c>
      <c r="C646" s="2">
        <v>92.979200000000006</v>
      </c>
      <c r="D646">
        <f t="shared" si="10"/>
        <v>2000</v>
      </c>
    </row>
    <row r="647" spans="1:4" x14ac:dyDescent="0.35">
      <c r="A647" s="1">
        <v>36800</v>
      </c>
      <c r="B647" s="2">
        <v>173.9</v>
      </c>
      <c r="C647" s="2">
        <v>92.617900000000006</v>
      </c>
      <c r="D647">
        <f t="shared" si="10"/>
        <v>2000</v>
      </c>
    </row>
    <row r="648" spans="1:4" x14ac:dyDescent="0.35">
      <c r="A648" s="1">
        <v>36831</v>
      </c>
      <c r="B648" s="2">
        <v>174.2</v>
      </c>
      <c r="C648" s="2">
        <v>92.643799999999999</v>
      </c>
      <c r="D648">
        <f t="shared" si="10"/>
        <v>2000</v>
      </c>
    </row>
    <row r="649" spans="1:4" x14ac:dyDescent="0.35">
      <c r="A649" s="1">
        <v>36861</v>
      </c>
      <c r="B649" s="2">
        <v>174.6</v>
      </c>
      <c r="C649" s="2">
        <v>92.341499999999996</v>
      </c>
      <c r="D649">
        <f t="shared" si="10"/>
        <v>2000</v>
      </c>
    </row>
    <row r="650" spans="1:4" x14ac:dyDescent="0.35">
      <c r="A650" s="1">
        <v>36892</v>
      </c>
      <c r="B650" s="2">
        <v>175.6</v>
      </c>
      <c r="C650" s="2">
        <v>91.902000000000001</v>
      </c>
      <c r="D650">
        <f t="shared" si="10"/>
        <v>2001</v>
      </c>
    </row>
    <row r="651" spans="1:4" x14ac:dyDescent="0.35">
      <c r="A651" s="1">
        <v>36923</v>
      </c>
      <c r="B651" s="2">
        <v>176</v>
      </c>
      <c r="C651" s="2">
        <v>91.303399999999996</v>
      </c>
      <c r="D651">
        <f t="shared" si="10"/>
        <v>2001</v>
      </c>
    </row>
    <row r="652" spans="1:4" x14ac:dyDescent="0.35">
      <c r="A652" s="1">
        <v>36951</v>
      </c>
      <c r="B652" s="2">
        <v>176.1</v>
      </c>
      <c r="C652" s="2">
        <v>91.116200000000006</v>
      </c>
      <c r="D652">
        <f t="shared" si="10"/>
        <v>2001</v>
      </c>
    </row>
    <row r="653" spans="1:4" x14ac:dyDescent="0.35">
      <c r="A653" s="1">
        <v>36982</v>
      </c>
      <c r="B653" s="2">
        <v>176.4</v>
      </c>
      <c r="C653" s="2">
        <v>90.789100000000005</v>
      </c>
      <c r="D653">
        <f t="shared" si="10"/>
        <v>2001</v>
      </c>
    </row>
    <row r="654" spans="1:4" x14ac:dyDescent="0.35">
      <c r="A654" s="1">
        <v>37012</v>
      </c>
      <c r="B654" s="2">
        <v>177.3</v>
      </c>
      <c r="C654" s="2">
        <v>90.355500000000006</v>
      </c>
      <c r="D654">
        <f t="shared" si="10"/>
        <v>2001</v>
      </c>
    </row>
    <row r="655" spans="1:4" x14ac:dyDescent="0.35">
      <c r="A655" s="1">
        <v>37043</v>
      </c>
      <c r="B655" s="2">
        <v>177.7</v>
      </c>
      <c r="C655" s="2">
        <v>89.878399999999999</v>
      </c>
      <c r="D655">
        <f t="shared" si="10"/>
        <v>2001</v>
      </c>
    </row>
    <row r="656" spans="1:4" x14ac:dyDescent="0.35">
      <c r="A656" s="1">
        <v>37073</v>
      </c>
      <c r="B656" s="2">
        <v>177.4</v>
      </c>
      <c r="C656" s="2">
        <v>89.302800000000005</v>
      </c>
      <c r="D656">
        <f t="shared" si="10"/>
        <v>2001</v>
      </c>
    </row>
    <row r="657" spans="1:4" x14ac:dyDescent="0.35">
      <c r="A657" s="1">
        <v>37104</v>
      </c>
      <c r="B657" s="2">
        <v>177.4</v>
      </c>
      <c r="C657" s="2">
        <v>89.200299999999999</v>
      </c>
      <c r="D657">
        <f t="shared" si="10"/>
        <v>2001</v>
      </c>
    </row>
    <row r="658" spans="1:4" x14ac:dyDescent="0.35">
      <c r="A658" s="1">
        <v>37135</v>
      </c>
      <c r="B658" s="2">
        <v>178.1</v>
      </c>
      <c r="C658" s="2">
        <v>88.748500000000007</v>
      </c>
      <c r="D658">
        <f t="shared" si="10"/>
        <v>2001</v>
      </c>
    </row>
    <row r="659" spans="1:4" x14ac:dyDescent="0.35">
      <c r="A659" s="1">
        <v>37165</v>
      </c>
      <c r="B659" s="2">
        <v>177.6</v>
      </c>
      <c r="C659" s="2">
        <v>88.505200000000002</v>
      </c>
      <c r="D659">
        <f t="shared" si="10"/>
        <v>2001</v>
      </c>
    </row>
    <row r="660" spans="1:4" x14ac:dyDescent="0.35">
      <c r="A660" s="1">
        <v>37196</v>
      </c>
      <c r="B660" s="2">
        <v>177.5</v>
      </c>
      <c r="C660" s="2">
        <v>87.97</v>
      </c>
      <c r="D660">
        <f t="shared" si="10"/>
        <v>2001</v>
      </c>
    </row>
    <row r="661" spans="1:4" x14ac:dyDescent="0.35">
      <c r="A661" s="1">
        <v>37226</v>
      </c>
      <c r="B661" s="2">
        <v>177.4</v>
      </c>
      <c r="C661" s="2">
        <v>87.932400000000001</v>
      </c>
      <c r="D661">
        <f t="shared" si="10"/>
        <v>2001</v>
      </c>
    </row>
    <row r="662" spans="1:4" x14ac:dyDescent="0.35">
      <c r="A662" s="1">
        <v>37257</v>
      </c>
      <c r="B662" s="2">
        <v>177.7</v>
      </c>
      <c r="C662" s="2">
        <v>88.517600000000002</v>
      </c>
      <c r="D662">
        <f t="shared" si="10"/>
        <v>2002</v>
      </c>
    </row>
    <row r="663" spans="1:4" x14ac:dyDescent="0.35">
      <c r="A663" s="1">
        <v>37288</v>
      </c>
      <c r="B663" s="2">
        <v>178</v>
      </c>
      <c r="C663" s="2">
        <v>88.527799999999999</v>
      </c>
      <c r="D663">
        <f t="shared" si="10"/>
        <v>2002</v>
      </c>
    </row>
    <row r="664" spans="1:4" x14ac:dyDescent="0.35">
      <c r="A664" s="1">
        <v>37316</v>
      </c>
      <c r="B664" s="2">
        <v>178.5</v>
      </c>
      <c r="C664" s="2">
        <v>89.168599999999998</v>
      </c>
      <c r="D664">
        <f t="shared" si="10"/>
        <v>2002</v>
      </c>
    </row>
    <row r="665" spans="1:4" x14ac:dyDescent="0.35">
      <c r="A665" s="1">
        <v>37347</v>
      </c>
      <c r="B665" s="2">
        <v>179.3</v>
      </c>
      <c r="C665" s="2">
        <v>89.603999999999999</v>
      </c>
      <c r="D665">
        <f t="shared" si="10"/>
        <v>2002</v>
      </c>
    </row>
    <row r="666" spans="1:4" x14ac:dyDescent="0.35">
      <c r="A666" s="1">
        <v>37377</v>
      </c>
      <c r="B666" s="2">
        <v>179.5</v>
      </c>
      <c r="C666" s="2">
        <v>89.963999999999999</v>
      </c>
      <c r="D666">
        <f t="shared" si="10"/>
        <v>2002</v>
      </c>
    </row>
    <row r="667" spans="1:4" x14ac:dyDescent="0.35">
      <c r="A667" s="1">
        <v>37408</v>
      </c>
      <c r="B667" s="2">
        <v>179.6</v>
      </c>
      <c r="C667" s="2">
        <v>90.706100000000006</v>
      </c>
      <c r="D667">
        <f t="shared" si="10"/>
        <v>2002</v>
      </c>
    </row>
    <row r="668" spans="1:4" x14ac:dyDescent="0.35">
      <c r="A668" s="1">
        <v>37438</v>
      </c>
      <c r="B668" s="2">
        <v>180</v>
      </c>
      <c r="C668" s="2">
        <v>90.676900000000003</v>
      </c>
      <c r="D668">
        <f t="shared" si="10"/>
        <v>2002</v>
      </c>
    </row>
    <row r="669" spans="1:4" x14ac:dyDescent="0.35">
      <c r="A669" s="1">
        <v>37469</v>
      </c>
      <c r="B669" s="2">
        <v>180.5</v>
      </c>
      <c r="C669" s="2">
        <v>90.5762</v>
      </c>
      <c r="D669">
        <f t="shared" si="10"/>
        <v>2002</v>
      </c>
    </row>
    <row r="670" spans="1:4" x14ac:dyDescent="0.35">
      <c r="A670" s="1">
        <v>37500</v>
      </c>
      <c r="B670" s="2">
        <v>180.8</v>
      </c>
      <c r="C670" s="2">
        <v>90.653099999999995</v>
      </c>
      <c r="D670">
        <f t="shared" si="10"/>
        <v>2002</v>
      </c>
    </row>
    <row r="671" spans="1:4" x14ac:dyDescent="0.35">
      <c r="A671" s="1">
        <v>37530</v>
      </c>
      <c r="B671" s="2">
        <v>181.2</v>
      </c>
      <c r="C671" s="2">
        <v>90.464299999999994</v>
      </c>
      <c r="D671">
        <f t="shared" si="10"/>
        <v>2002</v>
      </c>
    </row>
    <row r="672" spans="1:4" x14ac:dyDescent="0.35">
      <c r="A672" s="1">
        <v>37561</v>
      </c>
      <c r="B672" s="2">
        <v>181.5</v>
      </c>
      <c r="C672" s="2">
        <v>90.971100000000007</v>
      </c>
      <c r="D672">
        <f t="shared" si="10"/>
        <v>2002</v>
      </c>
    </row>
    <row r="673" spans="1:4" x14ac:dyDescent="0.35">
      <c r="A673" s="1">
        <v>37591</v>
      </c>
      <c r="B673" s="2">
        <v>181.8</v>
      </c>
      <c r="C673" s="2">
        <v>90.465199999999996</v>
      </c>
      <c r="D673">
        <f t="shared" si="10"/>
        <v>2002</v>
      </c>
    </row>
    <row r="674" spans="1:4" x14ac:dyDescent="0.35">
      <c r="A674" s="1">
        <v>37622</v>
      </c>
      <c r="B674" s="2">
        <v>182.6</v>
      </c>
      <c r="C674" s="2">
        <v>91.236099999999993</v>
      </c>
      <c r="D674">
        <f t="shared" si="10"/>
        <v>2003</v>
      </c>
    </row>
    <row r="675" spans="1:4" x14ac:dyDescent="0.35">
      <c r="A675" s="1">
        <v>37653</v>
      </c>
      <c r="B675" s="2">
        <v>183.6</v>
      </c>
      <c r="C675" s="2">
        <v>91.344499999999996</v>
      </c>
      <c r="D675">
        <f t="shared" si="10"/>
        <v>2003</v>
      </c>
    </row>
    <row r="676" spans="1:4" x14ac:dyDescent="0.35">
      <c r="A676" s="1">
        <v>37681</v>
      </c>
      <c r="B676" s="2">
        <v>183.9</v>
      </c>
      <c r="C676" s="2">
        <v>91.104399999999998</v>
      </c>
      <c r="D676">
        <f t="shared" si="10"/>
        <v>2003</v>
      </c>
    </row>
    <row r="677" spans="1:4" x14ac:dyDescent="0.35">
      <c r="A677" s="1">
        <v>37712</v>
      </c>
      <c r="B677" s="2">
        <v>183.2</v>
      </c>
      <c r="C677" s="2">
        <v>90.561700000000002</v>
      </c>
      <c r="D677">
        <f t="shared" si="10"/>
        <v>2003</v>
      </c>
    </row>
    <row r="678" spans="1:4" x14ac:dyDescent="0.35">
      <c r="A678" s="1">
        <v>37742</v>
      </c>
      <c r="B678" s="2">
        <v>182.9</v>
      </c>
      <c r="C678" s="2">
        <v>90.537000000000006</v>
      </c>
      <c r="D678">
        <f t="shared" si="10"/>
        <v>2003</v>
      </c>
    </row>
    <row r="679" spans="1:4" x14ac:dyDescent="0.35">
      <c r="A679" s="1">
        <v>37773</v>
      </c>
      <c r="B679" s="2">
        <v>183.1</v>
      </c>
      <c r="C679" s="2">
        <v>90.652699999999996</v>
      </c>
      <c r="D679">
        <f t="shared" si="10"/>
        <v>2003</v>
      </c>
    </row>
    <row r="680" spans="1:4" x14ac:dyDescent="0.35">
      <c r="A680" s="1">
        <v>37803</v>
      </c>
      <c r="B680" s="2">
        <v>183.7</v>
      </c>
      <c r="C680" s="2">
        <v>91.118499999999997</v>
      </c>
      <c r="D680">
        <f t="shared" si="10"/>
        <v>2003</v>
      </c>
    </row>
    <row r="681" spans="1:4" x14ac:dyDescent="0.35">
      <c r="A681" s="1">
        <v>37834</v>
      </c>
      <c r="B681" s="2">
        <v>184.5</v>
      </c>
      <c r="C681" s="2">
        <v>90.919700000000006</v>
      </c>
      <c r="D681">
        <f t="shared" si="10"/>
        <v>2003</v>
      </c>
    </row>
    <row r="682" spans="1:4" x14ac:dyDescent="0.35">
      <c r="A682" s="1">
        <v>37865</v>
      </c>
      <c r="B682" s="2">
        <v>185.1</v>
      </c>
      <c r="C682" s="2">
        <v>91.505899999999997</v>
      </c>
      <c r="D682">
        <f t="shared" si="10"/>
        <v>2003</v>
      </c>
    </row>
    <row r="683" spans="1:4" x14ac:dyDescent="0.35">
      <c r="A683" s="1">
        <v>37895</v>
      </c>
      <c r="B683" s="2">
        <v>184.9</v>
      </c>
      <c r="C683" s="2">
        <v>91.618600000000001</v>
      </c>
      <c r="D683">
        <f t="shared" si="10"/>
        <v>2003</v>
      </c>
    </row>
    <row r="684" spans="1:4" x14ac:dyDescent="0.35">
      <c r="A684" s="1">
        <v>37926</v>
      </c>
      <c r="B684" s="2">
        <v>185</v>
      </c>
      <c r="C684" s="2">
        <v>92.232900000000001</v>
      </c>
      <c r="D684">
        <f t="shared" si="10"/>
        <v>2003</v>
      </c>
    </row>
    <row r="685" spans="1:4" x14ac:dyDescent="0.35">
      <c r="A685" s="1">
        <v>37956</v>
      </c>
      <c r="B685" s="2">
        <v>185.5</v>
      </c>
      <c r="C685" s="2">
        <v>92.260199999999998</v>
      </c>
      <c r="D685">
        <f t="shared" si="10"/>
        <v>2003</v>
      </c>
    </row>
    <row r="686" spans="1:4" x14ac:dyDescent="0.35">
      <c r="A686" s="1">
        <v>37987</v>
      </c>
      <c r="B686" s="2">
        <v>186.3</v>
      </c>
      <c r="C686" s="2">
        <v>92.400599999999997</v>
      </c>
      <c r="D686">
        <f t="shared" si="10"/>
        <v>2004</v>
      </c>
    </row>
    <row r="687" spans="1:4" x14ac:dyDescent="0.35">
      <c r="A687" s="1">
        <v>38018</v>
      </c>
      <c r="B687" s="2">
        <v>186.7</v>
      </c>
      <c r="C687" s="2">
        <v>92.957999999999998</v>
      </c>
      <c r="D687">
        <f t="shared" si="10"/>
        <v>2004</v>
      </c>
    </row>
    <row r="688" spans="1:4" x14ac:dyDescent="0.35">
      <c r="A688" s="1">
        <v>38047</v>
      </c>
      <c r="B688" s="2">
        <v>187.1</v>
      </c>
      <c r="C688" s="2">
        <v>92.586100000000002</v>
      </c>
      <c r="D688">
        <f t="shared" si="10"/>
        <v>2004</v>
      </c>
    </row>
    <row r="689" spans="1:4" x14ac:dyDescent="0.35">
      <c r="A689" s="1">
        <v>38078</v>
      </c>
      <c r="B689" s="2">
        <v>187.4</v>
      </c>
      <c r="C689" s="2">
        <v>92.93</v>
      </c>
      <c r="D689">
        <f t="shared" si="10"/>
        <v>2004</v>
      </c>
    </row>
    <row r="690" spans="1:4" x14ac:dyDescent="0.35">
      <c r="A690" s="1">
        <v>38108</v>
      </c>
      <c r="B690" s="2">
        <v>188.2</v>
      </c>
      <c r="C690" s="2">
        <v>93.601299999999995</v>
      </c>
      <c r="D690">
        <f t="shared" si="10"/>
        <v>2004</v>
      </c>
    </row>
    <row r="691" spans="1:4" x14ac:dyDescent="0.35">
      <c r="A691" s="1">
        <v>38139</v>
      </c>
      <c r="B691" s="2">
        <v>188.9</v>
      </c>
      <c r="C691" s="2">
        <v>92.870999999999995</v>
      </c>
      <c r="D691">
        <f t="shared" si="10"/>
        <v>2004</v>
      </c>
    </row>
    <row r="692" spans="1:4" x14ac:dyDescent="0.35">
      <c r="A692" s="1">
        <v>38169</v>
      </c>
      <c r="B692" s="2">
        <v>189.1</v>
      </c>
      <c r="C692" s="2">
        <v>93.564899999999994</v>
      </c>
      <c r="D692">
        <f t="shared" si="10"/>
        <v>2004</v>
      </c>
    </row>
    <row r="693" spans="1:4" x14ac:dyDescent="0.35">
      <c r="A693" s="1">
        <v>38200</v>
      </c>
      <c r="B693" s="2">
        <v>189.2</v>
      </c>
      <c r="C693" s="2">
        <v>93.627700000000004</v>
      </c>
      <c r="D693">
        <f t="shared" si="10"/>
        <v>2004</v>
      </c>
    </row>
    <row r="694" spans="1:4" x14ac:dyDescent="0.35">
      <c r="A694" s="1">
        <v>38231</v>
      </c>
      <c r="B694" s="2">
        <v>189.8</v>
      </c>
      <c r="C694" s="2">
        <v>93.746700000000004</v>
      </c>
      <c r="D694">
        <f t="shared" si="10"/>
        <v>2004</v>
      </c>
    </row>
    <row r="695" spans="1:4" x14ac:dyDescent="0.35">
      <c r="A695" s="1">
        <v>38261</v>
      </c>
      <c r="B695" s="2">
        <v>190.8</v>
      </c>
      <c r="C695" s="2">
        <v>94.546499999999995</v>
      </c>
      <c r="D695">
        <f t="shared" si="10"/>
        <v>2004</v>
      </c>
    </row>
    <row r="696" spans="1:4" x14ac:dyDescent="0.35">
      <c r="A696" s="1">
        <v>38292</v>
      </c>
      <c r="B696" s="2">
        <v>191.7</v>
      </c>
      <c r="C696" s="2">
        <v>94.781300000000002</v>
      </c>
      <c r="D696">
        <f t="shared" si="10"/>
        <v>2004</v>
      </c>
    </row>
    <row r="697" spans="1:4" x14ac:dyDescent="0.35">
      <c r="A697" s="1">
        <v>38322</v>
      </c>
      <c r="B697" s="2">
        <v>191.7</v>
      </c>
      <c r="C697" s="2">
        <v>95.536500000000004</v>
      </c>
      <c r="D697">
        <f t="shared" si="10"/>
        <v>2004</v>
      </c>
    </row>
    <row r="698" spans="1:4" x14ac:dyDescent="0.35">
      <c r="A698" s="1">
        <v>38353</v>
      </c>
      <c r="B698" s="2">
        <v>191.6</v>
      </c>
      <c r="C698" s="2">
        <v>95.880099999999999</v>
      </c>
      <c r="D698">
        <f t="shared" si="10"/>
        <v>2005</v>
      </c>
    </row>
    <row r="699" spans="1:4" x14ac:dyDescent="0.35">
      <c r="A699" s="1">
        <v>38384</v>
      </c>
      <c r="B699" s="2">
        <v>192.4</v>
      </c>
      <c r="C699" s="2">
        <v>96.576099999999997</v>
      </c>
      <c r="D699">
        <f t="shared" si="10"/>
        <v>2005</v>
      </c>
    </row>
    <row r="700" spans="1:4" x14ac:dyDescent="0.35">
      <c r="A700" s="1">
        <v>38412</v>
      </c>
      <c r="B700" s="2">
        <v>193.1</v>
      </c>
      <c r="C700" s="2">
        <v>96.445599999999999</v>
      </c>
      <c r="D700">
        <f t="shared" si="10"/>
        <v>2005</v>
      </c>
    </row>
    <row r="701" spans="1:4" x14ac:dyDescent="0.35">
      <c r="A701" s="1">
        <v>38443</v>
      </c>
      <c r="B701" s="2">
        <v>193.7</v>
      </c>
      <c r="C701" s="2">
        <v>96.653199999999998</v>
      </c>
      <c r="D701">
        <f t="shared" si="10"/>
        <v>2005</v>
      </c>
    </row>
    <row r="702" spans="1:4" x14ac:dyDescent="0.35">
      <c r="A702" s="1">
        <v>38473</v>
      </c>
      <c r="B702" s="2">
        <v>193.6</v>
      </c>
      <c r="C702" s="2">
        <v>96.740200000000002</v>
      </c>
      <c r="D702">
        <f t="shared" si="10"/>
        <v>2005</v>
      </c>
    </row>
    <row r="703" spans="1:4" x14ac:dyDescent="0.35">
      <c r="A703" s="1">
        <v>38504</v>
      </c>
      <c r="B703" s="2">
        <v>193.7</v>
      </c>
      <c r="C703" s="2">
        <v>97.175299999999993</v>
      </c>
      <c r="D703">
        <f t="shared" si="10"/>
        <v>2005</v>
      </c>
    </row>
    <row r="704" spans="1:4" x14ac:dyDescent="0.35">
      <c r="A704" s="1">
        <v>38534</v>
      </c>
      <c r="B704" s="2">
        <v>194.9</v>
      </c>
      <c r="C704" s="2">
        <v>96.867599999999996</v>
      </c>
      <c r="D704">
        <f t="shared" si="10"/>
        <v>2005</v>
      </c>
    </row>
    <row r="705" spans="1:4" x14ac:dyDescent="0.35">
      <c r="A705" s="1">
        <v>38565</v>
      </c>
      <c r="B705" s="2">
        <v>196.1</v>
      </c>
      <c r="C705" s="2">
        <v>97.183300000000003</v>
      </c>
      <c r="D705">
        <f t="shared" si="10"/>
        <v>2005</v>
      </c>
    </row>
    <row r="706" spans="1:4" x14ac:dyDescent="0.35">
      <c r="A706" s="1">
        <v>38596</v>
      </c>
      <c r="B706" s="2">
        <v>198.8</v>
      </c>
      <c r="C706" s="2">
        <v>95.3005</v>
      </c>
      <c r="D706">
        <f t="shared" ref="D706:D769" si="11">YEAR(A706)</f>
        <v>2005</v>
      </c>
    </row>
    <row r="707" spans="1:4" x14ac:dyDescent="0.35">
      <c r="A707" s="1">
        <v>38626</v>
      </c>
      <c r="B707" s="2">
        <v>199.1</v>
      </c>
      <c r="C707" s="2">
        <v>96.4572</v>
      </c>
      <c r="D707">
        <f t="shared" si="11"/>
        <v>2005</v>
      </c>
    </row>
    <row r="708" spans="1:4" x14ac:dyDescent="0.35">
      <c r="A708" s="1">
        <v>38657</v>
      </c>
      <c r="B708" s="2">
        <v>198.1</v>
      </c>
      <c r="C708" s="2">
        <v>97.541399999999996</v>
      </c>
      <c r="D708">
        <f t="shared" si="11"/>
        <v>2005</v>
      </c>
    </row>
    <row r="709" spans="1:4" x14ac:dyDescent="0.35">
      <c r="A709" s="1">
        <v>38687</v>
      </c>
      <c r="B709" s="2">
        <v>198.1</v>
      </c>
      <c r="C709" s="2">
        <v>98.045199999999994</v>
      </c>
      <c r="D709">
        <f t="shared" si="11"/>
        <v>2005</v>
      </c>
    </row>
    <row r="710" spans="1:4" x14ac:dyDescent="0.35">
      <c r="A710" s="1">
        <v>38718</v>
      </c>
      <c r="B710" s="2">
        <v>199.3</v>
      </c>
      <c r="C710" s="2">
        <v>98.1999</v>
      </c>
      <c r="D710">
        <f t="shared" si="11"/>
        <v>2006</v>
      </c>
    </row>
    <row r="711" spans="1:4" x14ac:dyDescent="0.35">
      <c r="A711" s="1">
        <v>38749</v>
      </c>
      <c r="B711" s="2">
        <v>199.4</v>
      </c>
      <c r="C711" s="2">
        <v>98.241299999999995</v>
      </c>
      <c r="D711">
        <f t="shared" si="11"/>
        <v>2006</v>
      </c>
    </row>
    <row r="712" spans="1:4" x14ac:dyDescent="0.35">
      <c r="A712" s="1">
        <v>38777</v>
      </c>
      <c r="B712" s="2">
        <v>199.7</v>
      </c>
      <c r="C712" s="2">
        <v>98.462800000000001</v>
      </c>
      <c r="D712">
        <f t="shared" si="11"/>
        <v>2006</v>
      </c>
    </row>
    <row r="713" spans="1:4" x14ac:dyDescent="0.35">
      <c r="A713" s="1">
        <v>38808</v>
      </c>
      <c r="B713" s="2">
        <v>200.7</v>
      </c>
      <c r="C713" s="2">
        <v>98.761799999999994</v>
      </c>
      <c r="D713">
        <f t="shared" si="11"/>
        <v>2006</v>
      </c>
    </row>
    <row r="714" spans="1:4" x14ac:dyDescent="0.35">
      <c r="A714" s="1">
        <v>38838</v>
      </c>
      <c r="B714" s="2">
        <v>201.3</v>
      </c>
      <c r="C714" s="2">
        <v>98.786900000000003</v>
      </c>
      <c r="D714">
        <f t="shared" si="11"/>
        <v>2006</v>
      </c>
    </row>
    <row r="715" spans="1:4" x14ac:dyDescent="0.35">
      <c r="A715" s="1">
        <v>38869</v>
      </c>
      <c r="B715" s="2">
        <v>201.8</v>
      </c>
      <c r="C715" s="2">
        <v>99.099699999999999</v>
      </c>
      <c r="D715">
        <f t="shared" si="11"/>
        <v>2006</v>
      </c>
    </row>
    <row r="716" spans="1:4" x14ac:dyDescent="0.35">
      <c r="A716" s="1">
        <v>38899</v>
      </c>
      <c r="B716" s="2">
        <v>202.9</v>
      </c>
      <c r="C716" s="2">
        <v>99.048900000000003</v>
      </c>
      <c r="D716">
        <f t="shared" si="11"/>
        <v>2006</v>
      </c>
    </row>
    <row r="717" spans="1:4" x14ac:dyDescent="0.35">
      <c r="A717" s="1">
        <v>38930</v>
      </c>
      <c r="B717" s="2">
        <v>203.8</v>
      </c>
      <c r="C717" s="2">
        <v>99.483599999999996</v>
      </c>
      <c r="D717">
        <f t="shared" si="11"/>
        <v>2006</v>
      </c>
    </row>
    <row r="718" spans="1:4" x14ac:dyDescent="0.35">
      <c r="A718" s="1">
        <v>38961</v>
      </c>
      <c r="B718" s="2">
        <v>202.8</v>
      </c>
      <c r="C718" s="2">
        <v>99.318299999999994</v>
      </c>
      <c r="D718">
        <f t="shared" si="11"/>
        <v>2006</v>
      </c>
    </row>
    <row r="719" spans="1:4" x14ac:dyDescent="0.35">
      <c r="A719" s="1">
        <v>38991</v>
      </c>
      <c r="B719" s="2">
        <v>201.9</v>
      </c>
      <c r="C719" s="2">
        <v>99.204400000000007</v>
      </c>
      <c r="D719">
        <f t="shared" si="11"/>
        <v>2006</v>
      </c>
    </row>
    <row r="720" spans="1:4" x14ac:dyDescent="0.35">
      <c r="A720" s="1">
        <v>39022</v>
      </c>
      <c r="B720" s="2">
        <v>202</v>
      </c>
      <c r="C720" s="2">
        <v>99.162700000000001</v>
      </c>
      <c r="D720">
        <f t="shared" si="11"/>
        <v>2006</v>
      </c>
    </row>
    <row r="721" spans="1:4" x14ac:dyDescent="0.35">
      <c r="A721" s="1">
        <v>39052</v>
      </c>
      <c r="B721" s="2">
        <v>203.1</v>
      </c>
      <c r="C721" s="2">
        <v>100.1735</v>
      </c>
      <c r="D721">
        <f t="shared" si="11"/>
        <v>2006</v>
      </c>
    </row>
    <row r="722" spans="1:4" x14ac:dyDescent="0.35">
      <c r="A722" s="1">
        <v>39083</v>
      </c>
      <c r="B722" s="2">
        <v>203.43700000000001</v>
      </c>
      <c r="C722" s="2">
        <v>99.834599999999995</v>
      </c>
      <c r="D722">
        <f t="shared" si="11"/>
        <v>2007</v>
      </c>
    </row>
    <row r="723" spans="1:4" x14ac:dyDescent="0.35">
      <c r="A723" s="1">
        <v>39114</v>
      </c>
      <c r="B723" s="2">
        <v>204.226</v>
      </c>
      <c r="C723" s="2">
        <v>100.7753</v>
      </c>
      <c r="D723">
        <f t="shared" si="11"/>
        <v>2007</v>
      </c>
    </row>
    <row r="724" spans="1:4" x14ac:dyDescent="0.35">
      <c r="A724" s="1">
        <v>39142</v>
      </c>
      <c r="B724" s="2">
        <v>205.28800000000001</v>
      </c>
      <c r="C724" s="2">
        <v>100.9547</v>
      </c>
      <c r="D724">
        <f t="shared" si="11"/>
        <v>2007</v>
      </c>
    </row>
    <row r="725" spans="1:4" x14ac:dyDescent="0.35">
      <c r="A725" s="1">
        <v>39173</v>
      </c>
      <c r="B725" s="2">
        <v>205.904</v>
      </c>
      <c r="C725" s="2">
        <v>101.63339999999999</v>
      </c>
      <c r="D725">
        <f t="shared" si="11"/>
        <v>2007</v>
      </c>
    </row>
    <row r="726" spans="1:4" x14ac:dyDescent="0.35">
      <c r="A726" s="1">
        <v>39203</v>
      </c>
      <c r="B726" s="2">
        <v>206.755</v>
      </c>
      <c r="C726" s="2">
        <v>101.7306</v>
      </c>
      <c r="D726">
        <f t="shared" si="11"/>
        <v>2007</v>
      </c>
    </row>
    <row r="727" spans="1:4" x14ac:dyDescent="0.35">
      <c r="A727" s="1">
        <v>39234</v>
      </c>
      <c r="B727" s="2">
        <v>207.23400000000001</v>
      </c>
      <c r="C727" s="2">
        <v>101.7893</v>
      </c>
      <c r="D727">
        <f t="shared" si="11"/>
        <v>2007</v>
      </c>
    </row>
    <row r="728" spans="1:4" x14ac:dyDescent="0.35">
      <c r="A728" s="1">
        <v>39264</v>
      </c>
      <c r="B728" s="2">
        <v>207.60300000000001</v>
      </c>
      <c r="C728" s="2">
        <v>101.66719999999999</v>
      </c>
      <c r="D728">
        <f t="shared" si="11"/>
        <v>2007</v>
      </c>
    </row>
    <row r="729" spans="1:4" x14ac:dyDescent="0.35">
      <c r="A729" s="1">
        <v>39295</v>
      </c>
      <c r="B729" s="2">
        <v>207.667</v>
      </c>
      <c r="C729" s="2">
        <v>101.863</v>
      </c>
      <c r="D729">
        <f t="shared" si="11"/>
        <v>2007</v>
      </c>
    </row>
    <row r="730" spans="1:4" x14ac:dyDescent="0.35">
      <c r="A730" s="1">
        <v>39326</v>
      </c>
      <c r="B730" s="2">
        <v>208.547</v>
      </c>
      <c r="C730" s="2">
        <v>102.0894</v>
      </c>
      <c r="D730">
        <f t="shared" si="11"/>
        <v>2007</v>
      </c>
    </row>
    <row r="731" spans="1:4" x14ac:dyDescent="0.35">
      <c r="A731" s="1">
        <v>39356</v>
      </c>
      <c r="B731" s="2">
        <v>209.19</v>
      </c>
      <c r="C731" s="2">
        <v>101.8015</v>
      </c>
      <c r="D731">
        <f t="shared" si="11"/>
        <v>2007</v>
      </c>
    </row>
    <row r="732" spans="1:4" x14ac:dyDescent="0.35">
      <c r="A732" s="1">
        <v>39387</v>
      </c>
      <c r="B732" s="2">
        <v>210.834</v>
      </c>
      <c r="C732" s="2">
        <v>102.3446</v>
      </c>
      <c r="D732">
        <f t="shared" si="11"/>
        <v>2007</v>
      </c>
    </row>
    <row r="733" spans="1:4" x14ac:dyDescent="0.35">
      <c r="A733" s="1">
        <v>39417</v>
      </c>
      <c r="B733" s="2">
        <v>211.44499999999999</v>
      </c>
      <c r="C733" s="2">
        <v>102.38030000000001</v>
      </c>
      <c r="D733">
        <f t="shared" si="11"/>
        <v>2007</v>
      </c>
    </row>
    <row r="734" spans="1:4" x14ac:dyDescent="0.35">
      <c r="A734" s="1">
        <v>39448</v>
      </c>
      <c r="B734" s="2">
        <v>212.17400000000001</v>
      </c>
      <c r="C734" s="2">
        <v>102.2448</v>
      </c>
      <c r="D734">
        <f t="shared" si="11"/>
        <v>2008</v>
      </c>
    </row>
    <row r="735" spans="1:4" x14ac:dyDescent="0.35">
      <c r="A735" s="1">
        <v>39479</v>
      </c>
      <c r="B735" s="2">
        <v>212.68700000000001</v>
      </c>
      <c r="C735" s="2">
        <v>101.8438</v>
      </c>
      <c r="D735">
        <f t="shared" si="11"/>
        <v>2008</v>
      </c>
    </row>
    <row r="736" spans="1:4" x14ac:dyDescent="0.35">
      <c r="A736" s="1">
        <v>39508</v>
      </c>
      <c r="B736" s="2">
        <v>213.44800000000001</v>
      </c>
      <c r="C736" s="2">
        <v>101.53360000000001</v>
      </c>
      <c r="D736">
        <f t="shared" si="11"/>
        <v>2008</v>
      </c>
    </row>
    <row r="737" spans="1:4" x14ac:dyDescent="0.35">
      <c r="A737" s="1">
        <v>39539</v>
      </c>
      <c r="B737" s="2">
        <v>213.94200000000001</v>
      </c>
      <c r="C737" s="2">
        <v>100.8785</v>
      </c>
      <c r="D737">
        <f t="shared" si="11"/>
        <v>2008</v>
      </c>
    </row>
    <row r="738" spans="1:4" x14ac:dyDescent="0.35">
      <c r="A738" s="1">
        <v>39569</v>
      </c>
      <c r="B738" s="2">
        <v>215.208</v>
      </c>
      <c r="C738" s="2">
        <v>100.26739999999999</v>
      </c>
      <c r="D738">
        <f t="shared" si="11"/>
        <v>2008</v>
      </c>
    </row>
    <row r="739" spans="1:4" x14ac:dyDescent="0.35">
      <c r="A739" s="1">
        <v>39600</v>
      </c>
      <c r="B739" s="2">
        <v>217.46299999999999</v>
      </c>
      <c r="C739" s="2">
        <v>100.0335</v>
      </c>
      <c r="D739">
        <f t="shared" si="11"/>
        <v>2008</v>
      </c>
    </row>
    <row r="740" spans="1:4" x14ac:dyDescent="0.35">
      <c r="A740" s="1">
        <v>39630</v>
      </c>
      <c r="B740" s="2">
        <v>219.01599999999999</v>
      </c>
      <c r="C740" s="2">
        <v>99.676000000000002</v>
      </c>
      <c r="D740">
        <f t="shared" si="11"/>
        <v>2008</v>
      </c>
    </row>
    <row r="741" spans="1:4" x14ac:dyDescent="0.35">
      <c r="A741" s="1">
        <v>39661</v>
      </c>
      <c r="B741" s="2">
        <v>218.69</v>
      </c>
      <c r="C741" s="2">
        <v>98.111099999999993</v>
      </c>
      <c r="D741">
        <f t="shared" si="11"/>
        <v>2008</v>
      </c>
    </row>
    <row r="742" spans="1:4" x14ac:dyDescent="0.35">
      <c r="A742" s="1">
        <v>39692</v>
      </c>
      <c r="B742" s="2">
        <v>218.87700000000001</v>
      </c>
      <c r="C742" s="2">
        <v>93.789500000000004</v>
      </c>
      <c r="D742">
        <f t="shared" si="11"/>
        <v>2008</v>
      </c>
    </row>
    <row r="743" spans="1:4" x14ac:dyDescent="0.35">
      <c r="A743" s="1">
        <v>39722</v>
      </c>
      <c r="B743" s="2">
        <v>216.995</v>
      </c>
      <c r="C743" s="2">
        <v>94.721900000000005</v>
      </c>
      <c r="D743">
        <f t="shared" si="11"/>
        <v>2008</v>
      </c>
    </row>
    <row r="744" spans="1:4" x14ac:dyDescent="0.35">
      <c r="A744" s="1">
        <v>39753</v>
      </c>
      <c r="B744" s="2">
        <v>213.15299999999999</v>
      </c>
      <c r="C744" s="2">
        <v>93.471500000000006</v>
      </c>
      <c r="D744">
        <f t="shared" si="11"/>
        <v>2008</v>
      </c>
    </row>
    <row r="745" spans="1:4" x14ac:dyDescent="0.35">
      <c r="A745" s="1">
        <v>39783</v>
      </c>
      <c r="B745" s="2">
        <v>211.398</v>
      </c>
      <c r="C745" s="2">
        <v>90.835700000000003</v>
      </c>
      <c r="D745">
        <f t="shared" si="11"/>
        <v>2008</v>
      </c>
    </row>
    <row r="746" spans="1:4" x14ac:dyDescent="0.35">
      <c r="A746" s="1">
        <v>39814</v>
      </c>
      <c r="B746" s="2">
        <v>211.93299999999999</v>
      </c>
      <c r="C746" s="2">
        <v>88.57</v>
      </c>
      <c r="D746">
        <f t="shared" si="11"/>
        <v>2009</v>
      </c>
    </row>
    <row r="747" spans="1:4" x14ac:dyDescent="0.35">
      <c r="A747" s="1">
        <v>39845</v>
      </c>
      <c r="B747" s="2">
        <v>212.70500000000001</v>
      </c>
      <c r="C747" s="2">
        <v>88.031000000000006</v>
      </c>
      <c r="D747">
        <f t="shared" si="11"/>
        <v>2009</v>
      </c>
    </row>
    <row r="748" spans="1:4" x14ac:dyDescent="0.35">
      <c r="A748" s="1">
        <v>39873</v>
      </c>
      <c r="B748" s="2">
        <v>212.495</v>
      </c>
      <c r="C748" s="2">
        <v>86.652799999999999</v>
      </c>
      <c r="D748">
        <f t="shared" si="11"/>
        <v>2009</v>
      </c>
    </row>
    <row r="749" spans="1:4" x14ac:dyDescent="0.35">
      <c r="A749" s="1">
        <v>39904</v>
      </c>
      <c r="B749" s="2">
        <v>212.709</v>
      </c>
      <c r="C749" s="2">
        <v>85.934399999999997</v>
      </c>
      <c r="D749">
        <f t="shared" si="11"/>
        <v>2009</v>
      </c>
    </row>
    <row r="750" spans="1:4" x14ac:dyDescent="0.35">
      <c r="A750" s="1">
        <v>39934</v>
      </c>
      <c r="B750" s="2">
        <v>213.02199999999999</v>
      </c>
      <c r="C750" s="2">
        <v>85.066500000000005</v>
      </c>
      <c r="D750">
        <f t="shared" si="11"/>
        <v>2009</v>
      </c>
    </row>
    <row r="751" spans="1:4" x14ac:dyDescent="0.35">
      <c r="A751" s="1">
        <v>39965</v>
      </c>
      <c r="B751" s="2">
        <v>214.79</v>
      </c>
      <c r="C751" s="2">
        <v>84.745900000000006</v>
      </c>
      <c r="D751">
        <f t="shared" si="11"/>
        <v>2009</v>
      </c>
    </row>
    <row r="752" spans="1:4" x14ac:dyDescent="0.35">
      <c r="A752" s="1">
        <v>39995</v>
      </c>
      <c r="B752" s="2">
        <v>214.726</v>
      </c>
      <c r="C752" s="2">
        <v>85.702699999999993</v>
      </c>
      <c r="D752">
        <f t="shared" si="11"/>
        <v>2009</v>
      </c>
    </row>
    <row r="753" spans="1:4" x14ac:dyDescent="0.35">
      <c r="A753" s="1">
        <v>40026</v>
      </c>
      <c r="B753" s="2">
        <v>215.44499999999999</v>
      </c>
      <c r="C753" s="2">
        <v>86.642600000000002</v>
      </c>
      <c r="D753">
        <f t="shared" si="11"/>
        <v>2009</v>
      </c>
    </row>
    <row r="754" spans="1:4" x14ac:dyDescent="0.35">
      <c r="A754" s="1">
        <v>40057</v>
      </c>
      <c r="B754" s="2">
        <v>215.86099999999999</v>
      </c>
      <c r="C754" s="2">
        <v>87.406300000000002</v>
      </c>
      <c r="D754">
        <f t="shared" si="11"/>
        <v>2009</v>
      </c>
    </row>
    <row r="755" spans="1:4" x14ac:dyDescent="0.35">
      <c r="A755" s="1">
        <v>40087</v>
      </c>
      <c r="B755" s="2">
        <v>216.50899999999999</v>
      </c>
      <c r="C755" s="2">
        <v>87.641900000000007</v>
      </c>
      <c r="D755">
        <f t="shared" si="11"/>
        <v>2009</v>
      </c>
    </row>
    <row r="756" spans="1:4" x14ac:dyDescent="0.35">
      <c r="A756" s="1">
        <v>40118</v>
      </c>
      <c r="B756" s="2">
        <v>217.23400000000001</v>
      </c>
      <c r="C756" s="2">
        <v>88.022099999999995</v>
      </c>
      <c r="D756">
        <f t="shared" si="11"/>
        <v>2009</v>
      </c>
    </row>
    <row r="757" spans="1:4" x14ac:dyDescent="0.35">
      <c r="A757" s="1">
        <v>40148</v>
      </c>
      <c r="B757" s="2">
        <v>217.34700000000001</v>
      </c>
      <c r="C757" s="2">
        <v>88.379300000000001</v>
      </c>
      <c r="D757">
        <f t="shared" si="11"/>
        <v>2009</v>
      </c>
    </row>
    <row r="758" spans="1:4" x14ac:dyDescent="0.35">
      <c r="A758" s="1">
        <v>40179</v>
      </c>
      <c r="B758" s="2">
        <v>217.488</v>
      </c>
      <c r="C758" s="2">
        <v>89.342600000000004</v>
      </c>
      <c r="D758">
        <f t="shared" si="11"/>
        <v>2010</v>
      </c>
    </row>
    <row r="759" spans="1:4" x14ac:dyDescent="0.35">
      <c r="A759" s="1">
        <v>40210</v>
      </c>
      <c r="B759" s="2">
        <v>217.28100000000001</v>
      </c>
      <c r="C759" s="2">
        <v>89.677899999999994</v>
      </c>
      <c r="D759">
        <f t="shared" si="11"/>
        <v>2010</v>
      </c>
    </row>
    <row r="760" spans="1:4" x14ac:dyDescent="0.35">
      <c r="A760" s="1">
        <v>40238</v>
      </c>
      <c r="B760" s="2">
        <v>217.35300000000001</v>
      </c>
      <c r="C760" s="2">
        <v>90.2928</v>
      </c>
      <c r="D760">
        <f t="shared" si="11"/>
        <v>2010</v>
      </c>
    </row>
    <row r="761" spans="1:4" x14ac:dyDescent="0.35">
      <c r="A761" s="1">
        <v>40269</v>
      </c>
      <c r="B761" s="2">
        <v>217.40299999999999</v>
      </c>
      <c r="C761" s="2">
        <v>90.599100000000007</v>
      </c>
      <c r="D761">
        <f t="shared" si="11"/>
        <v>2010</v>
      </c>
    </row>
    <row r="762" spans="1:4" x14ac:dyDescent="0.35">
      <c r="A762" s="1">
        <v>40299</v>
      </c>
      <c r="B762" s="2">
        <v>217.29</v>
      </c>
      <c r="C762" s="2">
        <v>91.822999999999993</v>
      </c>
      <c r="D762">
        <f t="shared" si="11"/>
        <v>2010</v>
      </c>
    </row>
    <row r="763" spans="1:4" x14ac:dyDescent="0.35">
      <c r="A763" s="1">
        <v>40330</v>
      </c>
      <c r="B763" s="2">
        <v>217.19900000000001</v>
      </c>
      <c r="C763" s="2">
        <v>91.992800000000003</v>
      </c>
      <c r="D763">
        <f t="shared" si="11"/>
        <v>2010</v>
      </c>
    </row>
    <row r="764" spans="1:4" x14ac:dyDescent="0.35">
      <c r="A764" s="1">
        <v>40360</v>
      </c>
      <c r="B764" s="2">
        <v>217.60499999999999</v>
      </c>
      <c r="C764" s="2">
        <v>92.342100000000002</v>
      </c>
      <c r="D764">
        <f t="shared" si="11"/>
        <v>2010</v>
      </c>
    </row>
    <row r="765" spans="1:4" x14ac:dyDescent="0.35">
      <c r="A765" s="1">
        <v>40391</v>
      </c>
      <c r="B765" s="2">
        <v>217.923</v>
      </c>
      <c r="C765" s="2">
        <v>92.680499999999995</v>
      </c>
      <c r="D765">
        <f t="shared" si="11"/>
        <v>2010</v>
      </c>
    </row>
    <row r="766" spans="1:4" x14ac:dyDescent="0.35">
      <c r="A766" s="1">
        <v>40422</v>
      </c>
      <c r="B766" s="2">
        <v>218.27500000000001</v>
      </c>
      <c r="C766" s="2">
        <v>92.953699999999998</v>
      </c>
      <c r="D766">
        <f t="shared" si="11"/>
        <v>2010</v>
      </c>
    </row>
    <row r="767" spans="1:4" x14ac:dyDescent="0.35">
      <c r="A767" s="1">
        <v>40452</v>
      </c>
      <c r="B767" s="2">
        <v>219.035</v>
      </c>
      <c r="C767" s="2">
        <v>92.690299999999993</v>
      </c>
      <c r="D767">
        <f t="shared" si="11"/>
        <v>2010</v>
      </c>
    </row>
    <row r="768" spans="1:4" x14ac:dyDescent="0.35">
      <c r="A768" s="1">
        <v>40483</v>
      </c>
      <c r="B768" s="2">
        <v>219.59</v>
      </c>
      <c r="C768" s="2">
        <v>92.770899999999997</v>
      </c>
      <c r="D768">
        <f t="shared" si="11"/>
        <v>2010</v>
      </c>
    </row>
    <row r="769" spans="1:4" x14ac:dyDescent="0.35">
      <c r="A769" s="1">
        <v>40513</v>
      </c>
      <c r="B769" s="2">
        <v>220.47200000000001</v>
      </c>
      <c r="C769" s="2">
        <v>93.678700000000006</v>
      </c>
      <c r="D769">
        <f t="shared" si="11"/>
        <v>2010</v>
      </c>
    </row>
    <row r="770" spans="1:4" x14ac:dyDescent="0.35">
      <c r="A770" s="1">
        <v>40544</v>
      </c>
      <c r="B770" s="2">
        <v>221.18700000000001</v>
      </c>
      <c r="C770" s="2">
        <v>93.481399999999994</v>
      </c>
      <c r="D770">
        <f t="shared" ref="D770:D833" si="12">YEAR(A770)</f>
        <v>2011</v>
      </c>
    </row>
    <row r="771" spans="1:4" x14ac:dyDescent="0.35">
      <c r="A771" s="1">
        <v>40575</v>
      </c>
      <c r="B771" s="2">
        <v>221.898</v>
      </c>
      <c r="C771" s="2">
        <v>93.110200000000006</v>
      </c>
      <c r="D771">
        <f t="shared" si="12"/>
        <v>2011</v>
      </c>
    </row>
    <row r="772" spans="1:4" x14ac:dyDescent="0.35">
      <c r="A772" s="1">
        <v>40603</v>
      </c>
      <c r="B772" s="2">
        <v>223.04599999999999</v>
      </c>
      <c r="C772" s="2">
        <v>94.078800000000001</v>
      </c>
      <c r="D772">
        <f t="shared" si="12"/>
        <v>2011</v>
      </c>
    </row>
    <row r="773" spans="1:4" x14ac:dyDescent="0.35">
      <c r="A773" s="1">
        <v>40634</v>
      </c>
      <c r="B773" s="2">
        <v>224.09299999999999</v>
      </c>
      <c r="C773" s="2">
        <v>93.774900000000002</v>
      </c>
      <c r="D773">
        <f t="shared" si="12"/>
        <v>2011</v>
      </c>
    </row>
    <row r="774" spans="1:4" x14ac:dyDescent="0.35">
      <c r="A774" s="1">
        <v>40664</v>
      </c>
      <c r="B774" s="2">
        <v>224.80600000000001</v>
      </c>
      <c r="C774" s="2">
        <v>93.888000000000005</v>
      </c>
      <c r="D774">
        <f t="shared" si="12"/>
        <v>2011</v>
      </c>
    </row>
    <row r="775" spans="1:4" x14ac:dyDescent="0.35">
      <c r="A775" s="1">
        <v>40695</v>
      </c>
      <c r="B775" s="2">
        <v>224.80600000000001</v>
      </c>
      <c r="C775" s="2">
        <v>94.171999999999997</v>
      </c>
      <c r="D775">
        <f t="shared" si="12"/>
        <v>2011</v>
      </c>
    </row>
    <row r="776" spans="1:4" x14ac:dyDescent="0.35">
      <c r="A776" s="1">
        <v>40725</v>
      </c>
      <c r="B776" s="2">
        <v>225.39500000000001</v>
      </c>
      <c r="C776" s="2">
        <v>94.635999999999996</v>
      </c>
      <c r="D776">
        <f t="shared" si="12"/>
        <v>2011</v>
      </c>
    </row>
    <row r="777" spans="1:4" x14ac:dyDescent="0.35">
      <c r="A777" s="1">
        <v>40756</v>
      </c>
      <c r="B777" s="2">
        <v>226.10599999999999</v>
      </c>
      <c r="C777" s="2">
        <v>95.274900000000002</v>
      </c>
      <c r="D777">
        <f t="shared" si="12"/>
        <v>2011</v>
      </c>
    </row>
    <row r="778" spans="1:4" x14ac:dyDescent="0.35">
      <c r="A778" s="1">
        <v>40787</v>
      </c>
      <c r="B778" s="2">
        <v>226.59700000000001</v>
      </c>
      <c r="C778" s="2">
        <v>95.196100000000001</v>
      </c>
      <c r="D778">
        <f t="shared" si="12"/>
        <v>2011</v>
      </c>
    </row>
    <row r="779" spans="1:4" x14ac:dyDescent="0.35">
      <c r="A779" s="1">
        <v>40817</v>
      </c>
      <c r="B779" s="2">
        <v>226.75</v>
      </c>
      <c r="C779" s="2">
        <v>95.856800000000007</v>
      </c>
      <c r="D779">
        <f t="shared" si="12"/>
        <v>2011</v>
      </c>
    </row>
    <row r="780" spans="1:4" x14ac:dyDescent="0.35">
      <c r="A780" s="1">
        <v>40848</v>
      </c>
      <c r="B780" s="2">
        <v>227.16900000000001</v>
      </c>
      <c r="C780" s="2">
        <v>95.848500000000001</v>
      </c>
      <c r="D780">
        <f t="shared" si="12"/>
        <v>2011</v>
      </c>
    </row>
    <row r="781" spans="1:4" x14ac:dyDescent="0.35">
      <c r="A781" s="1">
        <v>40878</v>
      </c>
      <c r="B781" s="2">
        <v>227.22300000000001</v>
      </c>
      <c r="C781" s="2">
        <v>96.357100000000003</v>
      </c>
      <c r="D781">
        <f t="shared" si="12"/>
        <v>2011</v>
      </c>
    </row>
    <row r="782" spans="1:4" x14ac:dyDescent="0.35">
      <c r="A782" s="1">
        <v>40909</v>
      </c>
      <c r="B782" s="2">
        <v>227.84200000000001</v>
      </c>
      <c r="C782" s="2">
        <v>96.931799999999996</v>
      </c>
      <c r="D782">
        <f t="shared" si="12"/>
        <v>2012</v>
      </c>
    </row>
    <row r="783" spans="1:4" x14ac:dyDescent="0.35">
      <c r="A783" s="1">
        <v>40940</v>
      </c>
      <c r="B783" s="2">
        <v>228.32900000000001</v>
      </c>
      <c r="C783" s="2">
        <v>97.243499999999997</v>
      </c>
      <c r="D783">
        <f t="shared" si="12"/>
        <v>2012</v>
      </c>
    </row>
    <row r="784" spans="1:4" x14ac:dyDescent="0.35">
      <c r="A784" s="1">
        <v>40969</v>
      </c>
      <c r="B784" s="2">
        <v>228.80699999999999</v>
      </c>
      <c r="C784" s="2">
        <v>96.74</v>
      </c>
      <c r="D784">
        <f t="shared" si="12"/>
        <v>2012</v>
      </c>
    </row>
    <row r="785" spans="1:4" x14ac:dyDescent="0.35">
      <c r="A785" s="1">
        <v>41000</v>
      </c>
      <c r="B785" s="2">
        <v>229.18700000000001</v>
      </c>
      <c r="C785" s="2">
        <v>97.435900000000004</v>
      </c>
      <c r="D785">
        <f t="shared" si="12"/>
        <v>2012</v>
      </c>
    </row>
    <row r="786" spans="1:4" x14ac:dyDescent="0.35">
      <c r="A786" s="1">
        <v>41030</v>
      </c>
      <c r="B786" s="2">
        <v>228.71299999999999</v>
      </c>
      <c r="C786" s="2">
        <v>97.660899999999998</v>
      </c>
      <c r="D786">
        <f t="shared" si="12"/>
        <v>2012</v>
      </c>
    </row>
    <row r="787" spans="1:4" x14ac:dyDescent="0.35">
      <c r="A787" s="1">
        <v>41061</v>
      </c>
      <c r="B787" s="2">
        <v>228.524</v>
      </c>
      <c r="C787" s="2">
        <v>97.666300000000007</v>
      </c>
      <c r="D787">
        <f t="shared" si="12"/>
        <v>2012</v>
      </c>
    </row>
    <row r="788" spans="1:4" x14ac:dyDescent="0.35">
      <c r="A788" s="1">
        <v>41091</v>
      </c>
      <c r="B788" s="2">
        <v>228.59</v>
      </c>
      <c r="C788" s="2">
        <v>97.871300000000005</v>
      </c>
      <c r="D788">
        <f t="shared" si="12"/>
        <v>2012</v>
      </c>
    </row>
    <row r="789" spans="1:4" x14ac:dyDescent="0.35">
      <c r="A789" s="1">
        <v>41122</v>
      </c>
      <c r="B789" s="2">
        <v>229.91800000000001</v>
      </c>
      <c r="C789" s="2">
        <v>97.452500000000001</v>
      </c>
      <c r="D789">
        <f t="shared" si="12"/>
        <v>2012</v>
      </c>
    </row>
    <row r="790" spans="1:4" x14ac:dyDescent="0.35">
      <c r="A790" s="1">
        <v>41153</v>
      </c>
      <c r="B790" s="2">
        <v>231.01499999999999</v>
      </c>
      <c r="C790" s="2">
        <v>97.381</v>
      </c>
      <c r="D790">
        <f t="shared" si="12"/>
        <v>2012</v>
      </c>
    </row>
    <row r="791" spans="1:4" x14ac:dyDescent="0.35">
      <c r="A791" s="1">
        <v>41183</v>
      </c>
      <c r="B791" s="2">
        <v>231.63800000000001</v>
      </c>
      <c r="C791" s="2">
        <v>97.719300000000004</v>
      </c>
      <c r="D791">
        <f t="shared" si="12"/>
        <v>2012</v>
      </c>
    </row>
    <row r="792" spans="1:4" x14ac:dyDescent="0.35">
      <c r="A792" s="1">
        <v>41214</v>
      </c>
      <c r="B792" s="2">
        <v>231.249</v>
      </c>
      <c r="C792" s="2">
        <v>98.077699999999993</v>
      </c>
      <c r="D792">
        <f t="shared" si="12"/>
        <v>2012</v>
      </c>
    </row>
    <row r="793" spans="1:4" x14ac:dyDescent="0.35">
      <c r="A793" s="1">
        <v>41244</v>
      </c>
      <c r="B793" s="2">
        <v>231.221</v>
      </c>
      <c r="C793" s="2">
        <v>98.310100000000006</v>
      </c>
      <c r="D793">
        <f t="shared" si="12"/>
        <v>2012</v>
      </c>
    </row>
    <row r="794" spans="1:4" x14ac:dyDescent="0.35">
      <c r="A794" s="1">
        <v>41275</v>
      </c>
      <c r="B794" s="2">
        <v>231.679</v>
      </c>
      <c r="C794" s="2">
        <v>98.334199999999996</v>
      </c>
      <c r="D794">
        <f t="shared" si="12"/>
        <v>2013</v>
      </c>
    </row>
    <row r="795" spans="1:4" x14ac:dyDescent="0.35">
      <c r="A795" s="1">
        <v>41306</v>
      </c>
      <c r="B795" s="2">
        <v>232.93700000000001</v>
      </c>
      <c r="C795" s="2">
        <v>98.7941</v>
      </c>
      <c r="D795">
        <f t="shared" si="12"/>
        <v>2013</v>
      </c>
    </row>
    <row r="796" spans="1:4" x14ac:dyDescent="0.35">
      <c r="A796" s="1">
        <v>41334</v>
      </c>
      <c r="B796" s="2">
        <v>232.28200000000001</v>
      </c>
      <c r="C796" s="2">
        <v>99.192099999999996</v>
      </c>
      <c r="D796">
        <f t="shared" si="12"/>
        <v>2013</v>
      </c>
    </row>
    <row r="797" spans="1:4" x14ac:dyDescent="0.35">
      <c r="A797" s="1">
        <v>41365</v>
      </c>
      <c r="B797" s="2">
        <v>231.797</v>
      </c>
      <c r="C797" s="2">
        <v>99.106499999999997</v>
      </c>
      <c r="D797">
        <f t="shared" si="12"/>
        <v>2013</v>
      </c>
    </row>
    <row r="798" spans="1:4" x14ac:dyDescent="0.35">
      <c r="A798" s="1">
        <v>41395</v>
      </c>
      <c r="B798" s="2">
        <v>231.893</v>
      </c>
      <c r="C798" s="2">
        <v>99.183899999999994</v>
      </c>
      <c r="D798">
        <f t="shared" si="12"/>
        <v>2013</v>
      </c>
    </row>
    <row r="799" spans="1:4" x14ac:dyDescent="0.35">
      <c r="A799" s="1">
        <v>41426</v>
      </c>
      <c r="B799" s="2">
        <v>232.44499999999999</v>
      </c>
      <c r="C799" s="2">
        <v>99.389700000000005</v>
      </c>
      <c r="D799">
        <f t="shared" si="12"/>
        <v>2013</v>
      </c>
    </row>
    <row r="800" spans="1:4" x14ac:dyDescent="0.35">
      <c r="A800" s="1">
        <v>41456</v>
      </c>
      <c r="B800" s="2">
        <v>232.9</v>
      </c>
      <c r="C800" s="2">
        <v>99.081400000000002</v>
      </c>
      <c r="D800">
        <f t="shared" si="12"/>
        <v>2013</v>
      </c>
    </row>
    <row r="801" spans="1:4" x14ac:dyDescent="0.35">
      <c r="A801" s="1">
        <v>41487</v>
      </c>
      <c r="B801" s="2">
        <v>233.45599999999999</v>
      </c>
      <c r="C801" s="2">
        <v>99.654300000000006</v>
      </c>
      <c r="D801">
        <f t="shared" si="12"/>
        <v>2013</v>
      </c>
    </row>
    <row r="802" spans="1:4" x14ac:dyDescent="0.35">
      <c r="A802" s="1">
        <v>41518</v>
      </c>
      <c r="B802" s="2">
        <v>233.54400000000001</v>
      </c>
      <c r="C802" s="2">
        <v>100.161</v>
      </c>
      <c r="D802">
        <f t="shared" si="12"/>
        <v>2013</v>
      </c>
    </row>
    <row r="803" spans="1:4" x14ac:dyDescent="0.35">
      <c r="A803" s="1">
        <v>41548</v>
      </c>
      <c r="B803" s="2">
        <v>233.66900000000001</v>
      </c>
      <c r="C803" s="2">
        <v>100.08199999999999</v>
      </c>
      <c r="D803">
        <f t="shared" si="12"/>
        <v>2013</v>
      </c>
    </row>
    <row r="804" spans="1:4" x14ac:dyDescent="0.35">
      <c r="A804" s="1">
        <v>41579</v>
      </c>
      <c r="B804" s="2">
        <v>234.1</v>
      </c>
      <c r="C804" s="2">
        <v>100.3158</v>
      </c>
      <c r="D804">
        <f t="shared" si="12"/>
        <v>2013</v>
      </c>
    </row>
    <row r="805" spans="1:4" x14ac:dyDescent="0.35">
      <c r="A805" s="1">
        <v>41609</v>
      </c>
      <c r="B805" s="2">
        <v>234.71899999999999</v>
      </c>
      <c r="C805" s="2">
        <v>100.5175</v>
      </c>
      <c r="D805">
        <f t="shared" si="12"/>
        <v>2013</v>
      </c>
    </row>
    <row r="806" spans="1:4" x14ac:dyDescent="0.35">
      <c r="A806" s="1">
        <v>41640</v>
      </c>
      <c r="B806" s="2">
        <v>235.28800000000001</v>
      </c>
      <c r="C806" s="2">
        <v>100.15989999999999</v>
      </c>
      <c r="D806">
        <f t="shared" si="12"/>
        <v>2014</v>
      </c>
    </row>
    <row r="807" spans="1:4" x14ac:dyDescent="0.35">
      <c r="A807" s="1">
        <v>41671</v>
      </c>
      <c r="B807" s="2">
        <v>235.547</v>
      </c>
      <c r="C807" s="2">
        <v>100.91679999999999</v>
      </c>
      <c r="D807">
        <f t="shared" si="12"/>
        <v>2014</v>
      </c>
    </row>
    <row r="808" spans="1:4" x14ac:dyDescent="0.35">
      <c r="A808" s="1">
        <v>41699</v>
      </c>
      <c r="B808" s="2">
        <v>236.02799999999999</v>
      </c>
      <c r="C808" s="2">
        <v>101.8942</v>
      </c>
      <c r="D808">
        <f t="shared" si="12"/>
        <v>2014</v>
      </c>
    </row>
    <row r="809" spans="1:4" x14ac:dyDescent="0.35">
      <c r="A809" s="1">
        <v>41730</v>
      </c>
      <c r="B809" s="2">
        <v>236.46799999999999</v>
      </c>
      <c r="C809" s="2">
        <v>101.9928</v>
      </c>
      <c r="D809">
        <f t="shared" si="12"/>
        <v>2014</v>
      </c>
    </row>
    <row r="810" spans="1:4" x14ac:dyDescent="0.35">
      <c r="A810" s="1">
        <v>41760</v>
      </c>
      <c r="B810" s="2">
        <v>236.91800000000001</v>
      </c>
      <c r="C810" s="2">
        <v>102.3836</v>
      </c>
      <c r="D810">
        <f t="shared" si="12"/>
        <v>2014</v>
      </c>
    </row>
    <row r="811" spans="1:4" x14ac:dyDescent="0.35">
      <c r="A811" s="1">
        <v>41791</v>
      </c>
      <c r="B811" s="2">
        <v>237.23099999999999</v>
      </c>
      <c r="C811" s="2">
        <v>102.735</v>
      </c>
      <c r="D811">
        <f t="shared" si="12"/>
        <v>2014</v>
      </c>
    </row>
    <row r="812" spans="1:4" x14ac:dyDescent="0.35">
      <c r="A812" s="1">
        <v>41821</v>
      </c>
      <c r="B812" s="2">
        <v>237.49799999999999</v>
      </c>
      <c r="C812" s="2">
        <v>102.9632</v>
      </c>
      <c r="D812">
        <f t="shared" si="12"/>
        <v>2014</v>
      </c>
    </row>
    <row r="813" spans="1:4" x14ac:dyDescent="0.35">
      <c r="A813" s="1">
        <v>41852</v>
      </c>
      <c r="B813" s="2">
        <v>237.46</v>
      </c>
      <c r="C813" s="2">
        <v>102.7688</v>
      </c>
      <c r="D813">
        <f t="shared" si="12"/>
        <v>2014</v>
      </c>
    </row>
    <row r="814" spans="1:4" x14ac:dyDescent="0.35">
      <c r="A814" s="1">
        <v>41883</v>
      </c>
      <c r="B814" s="2">
        <v>237.477</v>
      </c>
      <c r="C814" s="2">
        <v>103.0641</v>
      </c>
      <c r="D814">
        <f t="shared" si="12"/>
        <v>2014</v>
      </c>
    </row>
    <row r="815" spans="1:4" x14ac:dyDescent="0.35">
      <c r="A815" s="1">
        <v>41913</v>
      </c>
      <c r="B815" s="2">
        <v>237.43</v>
      </c>
      <c r="C815" s="2">
        <v>103.07640000000001</v>
      </c>
      <c r="D815">
        <f t="shared" si="12"/>
        <v>2014</v>
      </c>
    </row>
    <row r="816" spans="1:4" x14ac:dyDescent="0.35">
      <c r="A816" s="1">
        <v>41944</v>
      </c>
      <c r="B816" s="2">
        <v>236.983</v>
      </c>
      <c r="C816" s="2">
        <v>103.71259999999999</v>
      </c>
      <c r="D816">
        <f t="shared" si="12"/>
        <v>2014</v>
      </c>
    </row>
    <row r="817" spans="1:4" x14ac:dyDescent="0.35">
      <c r="A817" s="1">
        <v>41974</v>
      </c>
      <c r="B817" s="2">
        <v>236.25200000000001</v>
      </c>
      <c r="C817" s="2">
        <v>103.70440000000001</v>
      </c>
      <c r="D817">
        <f t="shared" si="12"/>
        <v>2014</v>
      </c>
    </row>
    <row r="818" spans="1:4" x14ac:dyDescent="0.35">
      <c r="A818" s="1">
        <v>42005</v>
      </c>
      <c r="B818" s="2">
        <v>234.74700000000001</v>
      </c>
      <c r="C818" s="2">
        <v>102.8905</v>
      </c>
      <c r="D818">
        <f t="shared" si="12"/>
        <v>2015</v>
      </c>
    </row>
    <row r="819" spans="1:4" x14ac:dyDescent="0.35">
      <c r="A819" s="1">
        <v>42036</v>
      </c>
      <c r="B819" s="2">
        <v>235.34200000000001</v>
      </c>
      <c r="C819" s="2">
        <v>102.23350000000001</v>
      </c>
      <c r="D819">
        <f t="shared" si="12"/>
        <v>2015</v>
      </c>
    </row>
    <row r="820" spans="1:4" x14ac:dyDescent="0.35">
      <c r="A820" s="1">
        <v>42064</v>
      </c>
      <c r="B820" s="2">
        <v>235.976</v>
      </c>
      <c r="C820" s="2">
        <v>101.8914</v>
      </c>
      <c r="D820">
        <f t="shared" si="12"/>
        <v>2015</v>
      </c>
    </row>
    <row r="821" spans="1:4" x14ac:dyDescent="0.35">
      <c r="A821" s="1">
        <v>42095</v>
      </c>
      <c r="B821" s="2">
        <v>236.22200000000001</v>
      </c>
      <c r="C821" s="2">
        <v>101.3355</v>
      </c>
      <c r="D821">
        <f t="shared" si="12"/>
        <v>2015</v>
      </c>
    </row>
    <row r="822" spans="1:4" x14ac:dyDescent="0.35">
      <c r="A822" s="1">
        <v>42125</v>
      </c>
      <c r="B822" s="2">
        <v>237.001</v>
      </c>
      <c r="C822" s="2">
        <v>100.8883</v>
      </c>
      <c r="D822">
        <f t="shared" si="12"/>
        <v>2015</v>
      </c>
    </row>
    <row r="823" spans="1:4" x14ac:dyDescent="0.35">
      <c r="A823" s="1">
        <v>42156</v>
      </c>
      <c r="B823" s="2">
        <v>237.65700000000001</v>
      </c>
      <c r="C823" s="2">
        <v>100.571</v>
      </c>
      <c r="D823">
        <f t="shared" si="12"/>
        <v>2015</v>
      </c>
    </row>
    <row r="824" spans="1:4" x14ac:dyDescent="0.35">
      <c r="A824" s="1">
        <v>42186</v>
      </c>
      <c r="B824" s="2">
        <v>238.03399999999999</v>
      </c>
      <c r="C824" s="2">
        <v>101.22280000000001</v>
      </c>
      <c r="D824">
        <f t="shared" si="12"/>
        <v>2015</v>
      </c>
    </row>
    <row r="825" spans="1:4" x14ac:dyDescent="0.35">
      <c r="A825" s="1">
        <v>42217</v>
      </c>
      <c r="B825" s="2">
        <v>238.03299999999999</v>
      </c>
      <c r="C825" s="2">
        <v>101.0367</v>
      </c>
      <c r="D825">
        <f t="shared" si="12"/>
        <v>2015</v>
      </c>
    </row>
    <row r="826" spans="1:4" x14ac:dyDescent="0.35">
      <c r="A826" s="1">
        <v>42248</v>
      </c>
      <c r="B826" s="2">
        <v>237.49799999999999</v>
      </c>
      <c r="C826" s="2">
        <v>100.7547</v>
      </c>
      <c r="D826">
        <f t="shared" si="12"/>
        <v>2015</v>
      </c>
    </row>
    <row r="827" spans="1:4" x14ac:dyDescent="0.35">
      <c r="A827" s="1">
        <v>42278</v>
      </c>
      <c r="B827" s="2">
        <v>237.733</v>
      </c>
      <c r="C827" s="2">
        <v>100.2675</v>
      </c>
      <c r="D827">
        <f t="shared" si="12"/>
        <v>2015</v>
      </c>
    </row>
    <row r="828" spans="1:4" x14ac:dyDescent="0.35">
      <c r="A828" s="1">
        <v>42309</v>
      </c>
      <c r="B828" s="2">
        <v>238.017</v>
      </c>
      <c r="C828" s="2">
        <v>99.529799999999994</v>
      </c>
      <c r="D828">
        <f t="shared" si="12"/>
        <v>2015</v>
      </c>
    </row>
    <row r="829" spans="1:4" x14ac:dyDescent="0.35">
      <c r="A829" s="1">
        <v>42339</v>
      </c>
      <c r="B829" s="2">
        <v>237.761</v>
      </c>
      <c r="C829" s="2">
        <v>99.041700000000006</v>
      </c>
      <c r="D829">
        <f t="shared" si="12"/>
        <v>2015</v>
      </c>
    </row>
    <row r="830" spans="1:4" x14ac:dyDescent="0.35">
      <c r="A830" s="1">
        <v>42370</v>
      </c>
      <c r="B830" s="2">
        <v>237.65199999999999</v>
      </c>
      <c r="C830" s="2">
        <v>99.560699999999997</v>
      </c>
      <c r="D830">
        <f t="shared" si="12"/>
        <v>2016</v>
      </c>
    </row>
    <row r="831" spans="1:4" x14ac:dyDescent="0.35">
      <c r="A831" s="1">
        <v>42401</v>
      </c>
      <c r="B831" s="2">
        <v>237.33600000000001</v>
      </c>
      <c r="C831" s="2">
        <v>99.044499999999999</v>
      </c>
      <c r="D831">
        <f t="shared" si="12"/>
        <v>2016</v>
      </c>
    </row>
    <row r="832" spans="1:4" x14ac:dyDescent="0.35">
      <c r="A832" s="1">
        <v>42430</v>
      </c>
      <c r="B832" s="2">
        <v>238.08</v>
      </c>
      <c r="C832" s="2">
        <v>98.309600000000003</v>
      </c>
      <c r="D832">
        <f t="shared" si="12"/>
        <v>2016</v>
      </c>
    </row>
    <row r="833" spans="1:4" x14ac:dyDescent="0.35">
      <c r="A833" s="1">
        <v>42461</v>
      </c>
      <c r="B833" s="2">
        <v>238.99199999999999</v>
      </c>
      <c r="C833" s="2">
        <v>98.642099999999999</v>
      </c>
      <c r="D833">
        <f t="shared" si="12"/>
        <v>2016</v>
      </c>
    </row>
    <row r="834" spans="1:4" x14ac:dyDescent="0.35">
      <c r="A834" s="1">
        <v>42491</v>
      </c>
      <c r="B834" s="2">
        <v>239.55699999999999</v>
      </c>
      <c r="C834" s="2">
        <v>98.418400000000005</v>
      </c>
      <c r="D834">
        <f t="shared" ref="D834:D897" si="13">YEAR(A834)</f>
        <v>2016</v>
      </c>
    </row>
    <row r="835" spans="1:4" x14ac:dyDescent="0.35">
      <c r="A835" s="1">
        <v>42522</v>
      </c>
      <c r="B835" s="2">
        <v>240.22200000000001</v>
      </c>
      <c r="C835" s="2">
        <v>98.883300000000006</v>
      </c>
      <c r="D835">
        <f t="shared" si="13"/>
        <v>2016</v>
      </c>
    </row>
    <row r="836" spans="1:4" x14ac:dyDescent="0.35">
      <c r="A836" s="1">
        <v>42552</v>
      </c>
      <c r="B836" s="2">
        <v>240.101</v>
      </c>
      <c r="C836" s="2">
        <v>98.999200000000002</v>
      </c>
      <c r="D836">
        <f t="shared" si="13"/>
        <v>2016</v>
      </c>
    </row>
    <row r="837" spans="1:4" x14ac:dyDescent="0.35">
      <c r="A837" s="1">
        <v>42583</v>
      </c>
      <c r="B837" s="2">
        <v>240.54499999999999</v>
      </c>
      <c r="C837" s="2">
        <v>98.85</v>
      </c>
      <c r="D837">
        <f t="shared" si="13"/>
        <v>2016</v>
      </c>
    </row>
    <row r="838" spans="1:4" x14ac:dyDescent="0.35">
      <c r="A838" s="1">
        <v>42614</v>
      </c>
      <c r="B838" s="2">
        <v>241.17599999999999</v>
      </c>
      <c r="C838" s="2">
        <v>98.745699999999999</v>
      </c>
      <c r="D838">
        <f t="shared" si="13"/>
        <v>2016</v>
      </c>
    </row>
    <row r="839" spans="1:4" x14ac:dyDescent="0.35">
      <c r="A839" s="1">
        <v>42644</v>
      </c>
      <c r="B839" s="2">
        <v>241.74100000000001</v>
      </c>
      <c r="C839" s="2">
        <v>98.761099999999999</v>
      </c>
      <c r="D839">
        <f t="shared" si="13"/>
        <v>2016</v>
      </c>
    </row>
    <row r="840" spans="1:4" x14ac:dyDescent="0.35">
      <c r="A840" s="1">
        <v>42675</v>
      </c>
      <c r="B840" s="2">
        <v>242.02600000000001</v>
      </c>
      <c r="C840" s="2">
        <v>98.349100000000007</v>
      </c>
      <c r="D840">
        <f t="shared" si="13"/>
        <v>2016</v>
      </c>
    </row>
    <row r="841" spans="1:4" x14ac:dyDescent="0.35">
      <c r="A841" s="1">
        <v>42705</v>
      </c>
      <c r="B841" s="2">
        <v>242.637</v>
      </c>
      <c r="C841" s="2">
        <v>99.0214</v>
      </c>
      <c r="D841">
        <f t="shared" si="13"/>
        <v>2016</v>
      </c>
    </row>
    <row r="842" spans="1:4" x14ac:dyDescent="0.35">
      <c r="A842" s="1">
        <v>42736</v>
      </c>
      <c r="B842" s="2">
        <v>243.61799999999999</v>
      </c>
      <c r="C842" s="2">
        <v>98.761099999999999</v>
      </c>
      <c r="D842">
        <f t="shared" si="13"/>
        <v>2017</v>
      </c>
    </row>
    <row r="843" spans="1:4" x14ac:dyDescent="0.35">
      <c r="A843" s="1">
        <v>42767</v>
      </c>
      <c r="B843" s="2">
        <v>244.006</v>
      </c>
      <c r="C843" s="2">
        <v>98.364599999999996</v>
      </c>
      <c r="D843">
        <f t="shared" si="13"/>
        <v>2017</v>
      </c>
    </row>
    <row r="844" spans="1:4" x14ac:dyDescent="0.35">
      <c r="A844" s="1">
        <v>42795</v>
      </c>
      <c r="B844" s="2">
        <v>243.892</v>
      </c>
      <c r="C844" s="2">
        <v>99.0137</v>
      </c>
      <c r="D844">
        <f t="shared" si="13"/>
        <v>2017</v>
      </c>
    </row>
    <row r="845" spans="1:4" x14ac:dyDescent="0.35">
      <c r="A845" s="1">
        <v>42826</v>
      </c>
      <c r="B845" s="2">
        <v>244.19300000000001</v>
      </c>
      <c r="C845" s="2">
        <v>100.0224</v>
      </c>
      <c r="D845">
        <f t="shared" si="13"/>
        <v>2017</v>
      </c>
    </row>
    <row r="846" spans="1:4" x14ac:dyDescent="0.35">
      <c r="A846" s="1">
        <v>42856</v>
      </c>
      <c r="B846" s="2">
        <v>244.00399999999999</v>
      </c>
      <c r="C846" s="2">
        <v>100.1408</v>
      </c>
      <c r="D846">
        <f t="shared" si="13"/>
        <v>2017</v>
      </c>
    </row>
    <row r="847" spans="1:4" x14ac:dyDescent="0.35">
      <c r="A847" s="1">
        <v>42887</v>
      </c>
      <c r="B847" s="2">
        <v>244.16300000000001</v>
      </c>
      <c r="C847" s="2">
        <v>100.3471</v>
      </c>
      <c r="D847">
        <f t="shared" si="13"/>
        <v>2017</v>
      </c>
    </row>
    <row r="848" spans="1:4" x14ac:dyDescent="0.35">
      <c r="A848" s="1">
        <v>42917</v>
      </c>
      <c r="B848" s="2">
        <v>244.24299999999999</v>
      </c>
      <c r="C848" s="2">
        <v>100.10680000000001</v>
      </c>
      <c r="D848">
        <f t="shared" si="13"/>
        <v>2017</v>
      </c>
    </row>
    <row r="849" spans="1:4" x14ac:dyDescent="0.35">
      <c r="A849" s="1">
        <v>42948</v>
      </c>
      <c r="B849" s="2">
        <v>245.18299999999999</v>
      </c>
      <c r="C849" s="2">
        <v>99.692499999999995</v>
      </c>
      <c r="D849">
        <f t="shared" si="13"/>
        <v>2017</v>
      </c>
    </row>
    <row r="850" spans="1:4" x14ac:dyDescent="0.35">
      <c r="A850" s="1">
        <v>42979</v>
      </c>
      <c r="B850" s="2">
        <v>246.435</v>
      </c>
      <c r="C850" s="2">
        <v>99.795400000000001</v>
      </c>
      <c r="D850">
        <f t="shared" si="13"/>
        <v>2017</v>
      </c>
    </row>
    <row r="851" spans="1:4" x14ac:dyDescent="0.35">
      <c r="A851" s="1">
        <v>43009</v>
      </c>
      <c r="B851" s="2">
        <v>246.626</v>
      </c>
      <c r="C851" s="2">
        <v>101.0247</v>
      </c>
      <c r="D851">
        <f t="shared" si="13"/>
        <v>2017</v>
      </c>
    </row>
    <row r="852" spans="1:4" x14ac:dyDescent="0.35">
      <c r="A852" s="1">
        <v>43040</v>
      </c>
      <c r="B852" s="2">
        <v>247.28399999999999</v>
      </c>
      <c r="C852" s="2">
        <v>101.2664</v>
      </c>
      <c r="D852">
        <f t="shared" si="13"/>
        <v>2017</v>
      </c>
    </row>
    <row r="853" spans="1:4" x14ac:dyDescent="0.35">
      <c r="A853" s="1">
        <v>43070</v>
      </c>
      <c r="B853" s="2">
        <v>247.80500000000001</v>
      </c>
      <c r="C853" s="2">
        <v>101.4644</v>
      </c>
      <c r="D853">
        <f t="shared" si="13"/>
        <v>2017</v>
      </c>
    </row>
    <row r="854" spans="1:4" x14ac:dyDescent="0.35">
      <c r="A854" s="1">
        <v>43101</v>
      </c>
      <c r="B854" s="2">
        <v>248.85900000000001</v>
      </c>
      <c r="C854" s="2">
        <v>101.46250000000001</v>
      </c>
      <c r="D854">
        <f t="shared" si="13"/>
        <v>2018</v>
      </c>
    </row>
    <row r="855" spans="1:4" x14ac:dyDescent="0.35">
      <c r="A855" s="1">
        <v>43132</v>
      </c>
      <c r="B855" s="2">
        <v>249.529</v>
      </c>
      <c r="C855" s="2">
        <v>101.7085</v>
      </c>
      <c r="D855">
        <f t="shared" si="13"/>
        <v>2018</v>
      </c>
    </row>
    <row r="856" spans="1:4" x14ac:dyDescent="0.35">
      <c r="A856" s="1">
        <v>43160</v>
      </c>
      <c r="B856" s="2">
        <v>249.577</v>
      </c>
      <c r="C856" s="2">
        <v>102.2067</v>
      </c>
      <c r="D856">
        <f t="shared" si="13"/>
        <v>2018</v>
      </c>
    </row>
    <row r="857" spans="1:4" x14ac:dyDescent="0.35">
      <c r="A857" s="1">
        <v>43191</v>
      </c>
      <c r="B857" s="2">
        <v>250.227</v>
      </c>
      <c r="C857" s="2">
        <v>103.3329</v>
      </c>
      <c r="D857">
        <f t="shared" si="13"/>
        <v>2018</v>
      </c>
    </row>
    <row r="858" spans="1:4" x14ac:dyDescent="0.35">
      <c r="A858" s="1">
        <v>43221</v>
      </c>
      <c r="B858" s="2">
        <v>250.792</v>
      </c>
      <c r="C858" s="2">
        <v>102.4024</v>
      </c>
      <c r="D858">
        <f t="shared" si="13"/>
        <v>2018</v>
      </c>
    </row>
    <row r="859" spans="1:4" x14ac:dyDescent="0.35">
      <c r="A859" s="1">
        <v>43252</v>
      </c>
      <c r="B859" s="2">
        <v>251.018</v>
      </c>
      <c r="C859" s="2">
        <v>103.19799999999999</v>
      </c>
      <c r="D859">
        <f t="shared" si="13"/>
        <v>2018</v>
      </c>
    </row>
    <row r="860" spans="1:4" x14ac:dyDescent="0.35">
      <c r="A860" s="1">
        <v>43282</v>
      </c>
      <c r="B860" s="2">
        <v>251.214</v>
      </c>
      <c r="C860" s="2">
        <v>103.3646</v>
      </c>
      <c r="D860">
        <f t="shared" si="13"/>
        <v>2018</v>
      </c>
    </row>
    <row r="861" spans="1:4" x14ac:dyDescent="0.35">
      <c r="A861" s="1">
        <v>43313</v>
      </c>
      <c r="B861" s="2">
        <v>251.66300000000001</v>
      </c>
      <c r="C861" s="2">
        <v>104.03270000000001</v>
      </c>
      <c r="D861">
        <f t="shared" si="13"/>
        <v>2018</v>
      </c>
    </row>
    <row r="862" spans="1:4" x14ac:dyDescent="0.35">
      <c r="A862" s="1">
        <v>43344</v>
      </c>
      <c r="B862" s="2">
        <v>252.18199999999999</v>
      </c>
      <c r="C862" s="2">
        <v>104.10039999999999</v>
      </c>
      <c r="D862">
        <f t="shared" si="13"/>
        <v>2018</v>
      </c>
    </row>
    <row r="863" spans="1:4" x14ac:dyDescent="0.35">
      <c r="A863" s="1">
        <v>43374</v>
      </c>
      <c r="B863" s="2">
        <v>252.77199999999999</v>
      </c>
      <c r="C863" s="2">
        <v>103.98560000000001</v>
      </c>
      <c r="D863">
        <f t="shared" si="13"/>
        <v>2018</v>
      </c>
    </row>
    <row r="864" spans="1:4" x14ac:dyDescent="0.35">
      <c r="A864" s="1">
        <v>43405</v>
      </c>
      <c r="B864" s="2">
        <v>252.59399999999999</v>
      </c>
      <c r="C864" s="2">
        <v>104.0681</v>
      </c>
      <c r="D864">
        <f t="shared" si="13"/>
        <v>2018</v>
      </c>
    </row>
    <row r="865" spans="1:4" x14ac:dyDescent="0.35">
      <c r="A865" s="1">
        <v>43435</v>
      </c>
      <c r="B865" s="2">
        <v>252.767</v>
      </c>
      <c r="C865" s="2">
        <v>104.0936</v>
      </c>
      <c r="D865">
        <f t="shared" si="13"/>
        <v>2018</v>
      </c>
    </row>
    <row r="866" spans="1:4" x14ac:dyDescent="0.35">
      <c r="A866" s="1">
        <v>43466</v>
      </c>
      <c r="B866" s="2">
        <v>252.56100000000001</v>
      </c>
      <c r="C866" s="2">
        <v>103.4021</v>
      </c>
      <c r="D866">
        <f t="shared" si="13"/>
        <v>2019</v>
      </c>
    </row>
    <row r="867" spans="1:4" x14ac:dyDescent="0.35">
      <c r="A867" s="1">
        <v>43497</v>
      </c>
      <c r="B867" s="2">
        <v>253.31899999999999</v>
      </c>
      <c r="C867" s="2">
        <v>102.83710000000001</v>
      </c>
      <c r="D867">
        <f t="shared" si="13"/>
        <v>2019</v>
      </c>
    </row>
    <row r="868" spans="1:4" x14ac:dyDescent="0.35">
      <c r="A868" s="1">
        <v>43525</v>
      </c>
      <c r="B868" s="2">
        <v>254.27699999999999</v>
      </c>
      <c r="C868" s="2">
        <v>102.87569999999999</v>
      </c>
      <c r="D868">
        <f t="shared" si="13"/>
        <v>2019</v>
      </c>
    </row>
    <row r="869" spans="1:4" x14ac:dyDescent="0.35">
      <c r="A869" s="1">
        <v>43556</v>
      </c>
      <c r="B869" s="2">
        <v>255.233</v>
      </c>
      <c r="C869" s="2">
        <v>102.274</v>
      </c>
      <c r="D869">
        <f t="shared" si="13"/>
        <v>2019</v>
      </c>
    </row>
    <row r="870" spans="1:4" x14ac:dyDescent="0.35">
      <c r="A870" s="1">
        <v>43586</v>
      </c>
      <c r="B870" s="2">
        <v>255.29599999999999</v>
      </c>
      <c r="C870" s="2">
        <v>102.392</v>
      </c>
      <c r="D870">
        <f t="shared" si="13"/>
        <v>2019</v>
      </c>
    </row>
    <row r="871" spans="1:4" x14ac:dyDescent="0.35">
      <c r="A871" s="1">
        <v>43617</v>
      </c>
      <c r="B871" s="2">
        <v>255.21299999999999</v>
      </c>
      <c r="C871" s="2">
        <v>102.4375</v>
      </c>
      <c r="D871">
        <f t="shared" si="13"/>
        <v>2019</v>
      </c>
    </row>
    <row r="872" spans="1:4" x14ac:dyDescent="0.35">
      <c r="A872" s="1">
        <v>43647</v>
      </c>
      <c r="B872" s="2">
        <v>255.80199999999999</v>
      </c>
      <c r="C872" s="2">
        <v>101.9408</v>
      </c>
      <c r="D872">
        <f t="shared" si="13"/>
        <v>2019</v>
      </c>
    </row>
    <row r="873" spans="1:4" x14ac:dyDescent="0.35">
      <c r="A873" s="1">
        <v>43678</v>
      </c>
      <c r="B873" s="2">
        <v>256.036</v>
      </c>
      <c r="C873" s="2">
        <v>102.639</v>
      </c>
      <c r="D873">
        <f t="shared" si="13"/>
        <v>2019</v>
      </c>
    </row>
    <row r="874" spans="1:4" x14ac:dyDescent="0.35">
      <c r="A874" s="1">
        <v>43709</v>
      </c>
      <c r="B874" s="2">
        <v>256.43</v>
      </c>
      <c r="C874" s="2">
        <v>102.29170000000001</v>
      </c>
      <c r="D874">
        <f t="shared" si="13"/>
        <v>2019</v>
      </c>
    </row>
    <row r="875" spans="1:4" x14ac:dyDescent="0.35">
      <c r="A875" s="1">
        <v>43739</v>
      </c>
      <c r="B875" s="2">
        <v>257.15499999999997</v>
      </c>
      <c r="C875" s="2">
        <v>101.4281</v>
      </c>
      <c r="D875">
        <f t="shared" si="13"/>
        <v>2019</v>
      </c>
    </row>
    <row r="876" spans="1:4" x14ac:dyDescent="0.35">
      <c r="A876" s="1">
        <v>43770</v>
      </c>
      <c r="B876" s="2">
        <v>257.87900000000002</v>
      </c>
      <c r="C876" s="2">
        <v>101.9372</v>
      </c>
      <c r="D876">
        <f t="shared" si="13"/>
        <v>2019</v>
      </c>
    </row>
    <row r="877" spans="1:4" x14ac:dyDescent="0.35">
      <c r="A877" s="1">
        <v>43800</v>
      </c>
      <c r="B877" s="2">
        <v>258.63</v>
      </c>
      <c r="C877" s="2">
        <v>101.7003</v>
      </c>
      <c r="D877">
        <f t="shared" si="13"/>
        <v>2019</v>
      </c>
    </row>
    <row r="878" spans="1:4" x14ac:dyDescent="0.35">
      <c r="A878" s="1">
        <v>43831</v>
      </c>
      <c r="B878" s="2">
        <v>259.12700000000001</v>
      </c>
      <c r="C878" s="2">
        <v>101.0338</v>
      </c>
      <c r="D878">
        <f t="shared" si="13"/>
        <v>2020</v>
      </c>
    </row>
    <row r="879" spans="1:4" x14ac:dyDescent="0.35">
      <c r="A879" s="1">
        <v>43862</v>
      </c>
      <c r="B879" s="2">
        <v>259.25</v>
      </c>
      <c r="C879" s="2">
        <v>101.37350000000001</v>
      </c>
      <c r="D879">
        <f t="shared" si="13"/>
        <v>2020</v>
      </c>
    </row>
    <row r="880" spans="1:4" x14ac:dyDescent="0.35">
      <c r="A880" s="1">
        <v>43891</v>
      </c>
      <c r="B880" s="2">
        <v>258.07600000000002</v>
      </c>
      <c r="C880" s="2">
        <v>97.407799999999995</v>
      </c>
      <c r="D880">
        <f t="shared" si="13"/>
        <v>2020</v>
      </c>
    </row>
    <row r="881" spans="1:4" x14ac:dyDescent="0.35">
      <c r="A881" s="1">
        <v>43922</v>
      </c>
      <c r="B881" s="2">
        <v>256.03199999999998</v>
      </c>
      <c r="C881" s="2">
        <v>84.561899999999994</v>
      </c>
      <c r="D881">
        <f t="shared" si="13"/>
        <v>2020</v>
      </c>
    </row>
    <row r="882" spans="1:4" x14ac:dyDescent="0.35">
      <c r="A882" s="1">
        <v>43952</v>
      </c>
      <c r="B882" s="2">
        <v>255.80199999999999</v>
      </c>
      <c r="C882" s="2">
        <v>85.960400000000007</v>
      </c>
      <c r="D882">
        <f t="shared" si="13"/>
        <v>2020</v>
      </c>
    </row>
    <row r="883" spans="1:4" x14ac:dyDescent="0.35">
      <c r="A883" s="1">
        <v>43983</v>
      </c>
      <c r="B883" s="2">
        <v>257.04199999999997</v>
      </c>
      <c r="C883" s="2">
        <v>91.593400000000003</v>
      </c>
      <c r="D883">
        <f t="shared" si="13"/>
        <v>2020</v>
      </c>
    </row>
    <row r="884" spans="1:4" x14ac:dyDescent="0.35">
      <c r="A884" s="1">
        <v>44013</v>
      </c>
      <c r="B884" s="2">
        <v>258.35199999999998</v>
      </c>
      <c r="C884" s="2">
        <v>95.025599999999997</v>
      </c>
      <c r="D884">
        <f t="shared" si="13"/>
        <v>2020</v>
      </c>
    </row>
    <row r="885" spans="1:4" x14ac:dyDescent="0.35">
      <c r="A885" s="1">
        <v>44044</v>
      </c>
      <c r="B885" s="2">
        <v>259.31599999999997</v>
      </c>
      <c r="C885" s="2">
        <v>95.954899999999995</v>
      </c>
      <c r="D885">
        <f t="shared" si="13"/>
        <v>2020</v>
      </c>
    </row>
    <row r="886" spans="1:4" x14ac:dyDescent="0.35">
      <c r="A886" s="1">
        <v>44075</v>
      </c>
      <c r="B886" s="2">
        <v>259.99700000000001</v>
      </c>
      <c r="C886" s="2">
        <v>95.966899999999995</v>
      </c>
      <c r="D886">
        <f t="shared" si="13"/>
        <v>2020</v>
      </c>
    </row>
    <row r="887" spans="1:4" x14ac:dyDescent="0.35">
      <c r="A887" s="1">
        <v>44105</v>
      </c>
      <c r="B887" s="2">
        <v>260.31900000000002</v>
      </c>
      <c r="C887" s="2">
        <v>96.739400000000003</v>
      </c>
      <c r="D887">
        <f t="shared" si="13"/>
        <v>2020</v>
      </c>
    </row>
    <row r="888" spans="1:4" x14ac:dyDescent="0.35">
      <c r="A888" s="1">
        <v>44136</v>
      </c>
      <c r="B888" s="2">
        <v>260.911</v>
      </c>
      <c r="C888" s="2">
        <v>97.081599999999995</v>
      </c>
      <c r="D888">
        <f t="shared" si="13"/>
        <v>2020</v>
      </c>
    </row>
    <row r="889" spans="1:4" x14ac:dyDescent="0.35">
      <c r="A889" s="1">
        <v>44166</v>
      </c>
      <c r="B889" s="2">
        <v>262.04500000000002</v>
      </c>
      <c r="C889" s="2">
        <v>98.363</v>
      </c>
      <c r="D889">
        <f t="shared" si="13"/>
        <v>2020</v>
      </c>
    </row>
    <row r="890" spans="1:4" x14ac:dyDescent="0.35">
      <c r="A890" s="1">
        <v>44197</v>
      </c>
      <c r="B890" s="2">
        <v>262.68700000000001</v>
      </c>
      <c r="C890" s="2">
        <v>98.882199999999997</v>
      </c>
      <c r="D890">
        <f t="shared" si="13"/>
        <v>2021</v>
      </c>
    </row>
    <row r="891" spans="1:4" x14ac:dyDescent="0.35">
      <c r="A891" s="1">
        <v>44228</v>
      </c>
      <c r="B891" s="2">
        <v>263.57900000000001</v>
      </c>
      <c r="C891" s="2">
        <v>95.614900000000006</v>
      </c>
      <c r="D891">
        <f t="shared" si="13"/>
        <v>2021</v>
      </c>
    </row>
    <row r="892" spans="1:4" x14ac:dyDescent="0.35">
      <c r="A892" s="1">
        <v>44256</v>
      </c>
      <c r="B892" s="2">
        <v>264.96100000000001</v>
      </c>
      <c r="C892" s="2">
        <v>98.385599999999997</v>
      </c>
      <c r="D892">
        <f t="shared" si="13"/>
        <v>2021</v>
      </c>
    </row>
    <row r="893" spans="1:4" x14ac:dyDescent="0.35">
      <c r="A893" s="1">
        <v>44287</v>
      </c>
      <c r="B893" s="2">
        <v>266.61399999999998</v>
      </c>
      <c r="C893" s="2">
        <v>98.558700000000002</v>
      </c>
      <c r="D893">
        <f t="shared" si="13"/>
        <v>2021</v>
      </c>
    </row>
    <row r="894" spans="1:4" x14ac:dyDescent="0.35">
      <c r="A894" s="1">
        <v>44317</v>
      </c>
      <c r="B894" s="2">
        <v>268.38299999999998</v>
      </c>
      <c r="C894" s="2">
        <v>99.433300000000003</v>
      </c>
      <c r="D894">
        <f t="shared" si="13"/>
        <v>2021</v>
      </c>
    </row>
    <row r="895" spans="1:4" x14ac:dyDescent="0.35">
      <c r="A895" s="1">
        <v>44348</v>
      </c>
      <c r="B895" s="2">
        <v>270.654</v>
      </c>
      <c r="C895" s="2">
        <v>99.798699999999997</v>
      </c>
      <c r="D895">
        <f t="shared" si="13"/>
        <v>2021</v>
      </c>
    </row>
    <row r="896" spans="1:4" x14ac:dyDescent="0.35">
      <c r="A896" s="1">
        <v>44378</v>
      </c>
      <c r="B896" s="2">
        <v>271.90300000000002</v>
      </c>
      <c r="C896" s="2">
        <v>100.25190000000001</v>
      </c>
      <c r="D896">
        <f t="shared" si="13"/>
        <v>2021</v>
      </c>
    </row>
    <row r="897" spans="1:4" x14ac:dyDescent="0.35">
      <c r="A897" s="1">
        <v>44409</v>
      </c>
      <c r="B897" s="2">
        <v>272.67599999999999</v>
      </c>
      <c r="C897" s="2">
        <v>100.0437</v>
      </c>
      <c r="D897">
        <f t="shared" si="13"/>
        <v>2021</v>
      </c>
    </row>
    <row r="898" spans="1:4" x14ac:dyDescent="0.35">
      <c r="A898" s="1">
        <v>44440</v>
      </c>
      <c r="B898" s="2">
        <v>273.91000000000003</v>
      </c>
      <c r="C898" s="2">
        <v>98.857900000000001</v>
      </c>
      <c r="D898">
        <f t="shared" ref="D898:D951" si="14">YEAR(A898)</f>
        <v>2021</v>
      </c>
    </row>
    <row r="899" spans="1:4" x14ac:dyDescent="0.35">
      <c r="A899" s="1">
        <v>44470</v>
      </c>
      <c r="B899" s="2">
        <v>276.55</v>
      </c>
      <c r="C899" s="2">
        <v>100.1861</v>
      </c>
      <c r="D899">
        <f t="shared" si="14"/>
        <v>2021</v>
      </c>
    </row>
    <row r="900" spans="1:4" x14ac:dyDescent="0.35">
      <c r="A900" s="1">
        <v>44501</v>
      </c>
      <c r="B900" s="2">
        <v>278.91899999999998</v>
      </c>
      <c r="C900" s="2">
        <v>100.86539999999999</v>
      </c>
      <c r="D900">
        <f t="shared" si="14"/>
        <v>2021</v>
      </c>
    </row>
    <row r="901" spans="1:4" x14ac:dyDescent="0.35">
      <c r="A901" s="1">
        <v>44531</v>
      </c>
      <c r="B901" s="2">
        <v>280.84500000000003</v>
      </c>
      <c r="C901" s="2">
        <v>100.57259999999999</v>
      </c>
      <c r="D901">
        <f t="shared" si="14"/>
        <v>2021</v>
      </c>
    </row>
    <row r="902" spans="1:4" x14ac:dyDescent="0.35">
      <c r="A902" s="1">
        <v>44562</v>
      </c>
      <c r="B902" s="2">
        <v>282.54300000000001</v>
      </c>
      <c r="C902" s="2">
        <v>100.18559999999999</v>
      </c>
      <c r="D902">
        <f t="shared" si="14"/>
        <v>2022</v>
      </c>
    </row>
    <row r="903" spans="1:4" x14ac:dyDescent="0.35">
      <c r="A903" s="1">
        <v>44593</v>
      </c>
      <c r="B903" s="2">
        <v>284.5</v>
      </c>
      <c r="C903" s="2">
        <v>100.8064</v>
      </c>
      <c r="D903">
        <f t="shared" si="14"/>
        <v>2022</v>
      </c>
    </row>
    <row r="904" spans="1:4" x14ac:dyDescent="0.35">
      <c r="A904" s="1">
        <v>44621</v>
      </c>
      <c r="B904" s="2">
        <v>287.67399999999998</v>
      </c>
      <c r="C904" s="2">
        <v>101.3907</v>
      </c>
      <c r="D904">
        <f t="shared" si="14"/>
        <v>2022</v>
      </c>
    </row>
    <row r="905" spans="1:4" x14ac:dyDescent="0.35">
      <c r="A905" s="1">
        <v>44652</v>
      </c>
      <c r="B905" s="2">
        <v>288.56099999999998</v>
      </c>
      <c r="C905" s="2">
        <v>101.44</v>
      </c>
      <c r="D905">
        <f t="shared" si="14"/>
        <v>2022</v>
      </c>
    </row>
    <row r="906" spans="1:4" x14ac:dyDescent="0.35">
      <c r="A906" s="1">
        <v>44682</v>
      </c>
      <c r="B906" s="2">
        <v>291.298</v>
      </c>
      <c r="C906" s="2">
        <v>101.3335</v>
      </c>
      <c r="D906">
        <f t="shared" si="14"/>
        <v>2022</v>
      </c>
    </row>
    <row r="907" spans="1:4" x14ac:dyDescent="0.35">
      <c r="A907" s="1">
        <v>44713</v>
      </c>
      <c r="B907" s="2">
        <v>294.95699999999999</v>
      </c>
      <c r="C907" s="2">
        <v>101.018</v>
      </c>
      <c r="D907">
        <f t="shared" si="14"/>
        <v>2022</v>
      </c>
    </row>
    <row r="908" spans="1:4" x14ac:dyDescent="0.35">
      <c r="A908" s="1">
        <v>44743</v>
      </c>
      <c r="B908" s="2">
        <v>294.91300000000001</v>
      </c>
      <c r="C908" s="2">
        <v>101.223</v>
      </c>
      <c r="D908">
        <f t="shared" si="14"/>
        <v>2022</v>
      </c>
    </row>
    <row r="909" spans="1:4" x14ac:dyDescent="0.35">
      <c r="A909" s="1">
        <v>44774</v>
      </c>
      <c r="B909" s="2">
        <v>295.09699999999998</v>
      </c>
      <c r="C909" s="2">
        <v>101.0963</v>
      </c>
      <c r="D909">
        <f t="shared" si="14"/>
        <v>2022</v>
      </c>
    </row>
    <row r="910" spans="1:4" x14ac:dyDescent="0.35">
      <c r="A910" s="1">
        <v>44805</v>
      </c>
      <c r="B910" s="2">
        <v>296.34899999999999</v>
      </c>
      <c r="C910" s="2">
        <v>101.29179999999999</v>
      </c>
      <c r="D910">
        <f t="shared" si="14"/>
        <v>2022</v>
      </c>
    </row>
    <row r="911" spans="1:4" x14ac:dyDescent="0.35">
      <c r="A911" s="1">
        <v>44835</v>
      </c>
      <c r="B911" s="2">
        <v>298.00700000000001</v>
      </c>
      <c r="C911" s="2">
        <v>101.2529</v>
      </c>
      <c r="D911">
        <f t="shared" si="14"/>
        <v>2022</v>
      </c>
    </row>
    <row r="912" spans="1:4" x14ac:dyDescent="0.35">
      <c r="A912" s="1">
        <v>44866</v>
      </c>
      <c r="B912" s="2">
        <v>298.786</v>
      </c>
      <c r="C912" s="2">
        <v>100.9552</v>
      </c>
      <c r="D912">
        <f t="shared" si="14"/>
        <v>2022</v>
      </c>
    </row>
    <row r="913" spans="1:4" x14ac:dyDescent="0.35">
      <c r="A913" s="1">
        <v>44896</v>
      </c>
      <c r="B913" s="2">
        <v>298.83199999999999</v>
      </c>
      <c r="C913" s="2">
        <v>99.766400000000004</v>
      </c>
      <c r="D913">
        <f t="shared" si="14"/>
        <v>2022</v>
      </c>
    </row>
    <row r="914" spans="1:4" x14ac:dyDescent="0.35">
      <c r="A914" s="1">
        <v>44927</v>
      </c>
      <c r="B914" s="2">
        <v>300.42</v>
      </c>
      <c r="C914" s="2">
        <v>100.505</v>
      </c>
      <c r="D914">
        <f t="shared" si="14"/>
        <v>2023</v>
      </c>
    </row>
    <row r="915" spans="1:4" x14ac:dyDescent="0.35">
      <c r="A915" s="1">
        <v>44958</v>
      </c>
      <c r="B915" s="2">
        <v>301.45</v>
      </c>
      <c r="C915" s="2">
        <v>100.6416</v>
      </c>
      <c r="D915">
        <f t="shared" si="14"/>
        <v>2023</v>
      </c>
    </row>
    <row r="916" spans="1:4" x14ac:dyDescent="0.35">
      <c r="A916" s="1">
        <v>44986</v>
      </c>
      <c r="B916" s="2">
        <v>301.82100000000003</v>
      </c>
      <c r="C916" s="2">
        <v>101.0205</v>
      </c>
      <c r="D916">
        <f t="shared" si="14"/>
        <v>2023</v>
      </c>
    </row>
    <row r="917" spans="1:4" x14ac:dyDescent="0.35">
      <c r="A917" s="1">
        <v>45017</v>
      </c>
      <c r="B917" s="2">
        <v>302.84500000000003</v>
      </c>
      <c r="C917" s="2">
        <v>101.253</v>
      </c>
      <c r="D917">
        <f t="shared" si="14"/>
        <v>2023</v>
      </c>
    </row>
    <row r="918" spans="1:4" x14ac:dyDescent="0.35">
      <c r="A918" s="1">
        <v>45047</v>
      </c>
      <c r="B918" s="2">
        <v>303.334</v>
      </c>
      <c r="C918" s="2">
        <v>100.9286</v>
      </c>
      <c r="D918">
        <f t="shared" si="14"/>
        <v>2023</v>
      </c>
    </row>
    <row r="919" spans="1:4" x14ac:dyDescent="0.35">
      <c r="A919" s="1">
        <v>45078</v>
      </c>
      <c r="B919" s="2">
        <v>304.01400000000001</v>
      </c>
      <c r="C919" s="2">
        <v>100.11960000000001</v>
      </c>
      <c r="D919">
        <f t="shared" si="14"/>
        <v>2023</v>
      </c>
    </row>
    <row r="920" spans="1:4" x14ac:dyDescent="0.35">
      <c r="A920" s="1">
        <v>45108</v>
      </c>
      <c r="B920" s="2">
        <v>304.60899999999998</v>
      </c>
      <c r="C920" s="2">
        <v>100.9067</v>
      </c>
      <c r="D920">
        <f t="shared" si="14"/>
        <v>2023</v>
      </c>
    </row>
    <row r="921" spans="1:4" x14ac:dyDescent="0.35">
      <c r="A921" s="1">
        <v>45139</v>
      </c>
      <c r="B921" s="2">
        <v>306.08199999999999</v>
      </c>
      <c r="C921" s="2">
        <v>100.83929999999999</v>
      </c>
      <c r="D921">
        <f t="shared" si="14"/>
        <v>2023</v>
      </c>
    </row>
    <row r="922" spans="1:4" x14ac:dyDescent="0.35">
      <c r="A922" s="1">
        <v>45170</v>
      </c>
      <c r="B922" s="2">
        <v>307.27600000000001</v>
      </c>
      <c r="C922" s="2">
        <v>101.0211</v>
      </c>
      <c r="D922">
        <f t="shared" si="14"/>
        <v>2023</v>
      </c>
    </row>
    <row r="923" spans="1:4" x14ac:dyDescent="0.35">
      <c r="A923" s="1">
        <v>45200</v>
      </c>
      <c r="B923" s="2">
        <v>307.69600000000003</v>
      </c>
      <c r="C923" s="2">
        <v>100.4689</v>
      </c>
      <c r="D923">
        <f t="shared" si="14"/>
        <v>2023</v>
      </c>
    </row>
    <row r="924" spans="1:4" x14ac:dyDescent="0.35">
      <c r="A924" s="1">
        <v>45231</v>
      </c>
      <c r="B924" s="2">
        <v>308.14800000000002</v>
      </c>
      <c r="C924" s="2">
        <v>100.8639</v>
      </c>
      <c r="D924">
        <f t="shared" si="14"/>
        <v>2023</v>
      </c>
    </row>
    <row r="925" spans="1:4" x14ac:dyDescent="0.35">
      <c r="A925" s="1">
        <v>45261</v>
      </c>
      <c r="B925" s="2">
        <v>308.74099999999999</v>
      </c>
      <c r="C925" s="2">
        <v>100.6031</v>
      </c>
      <c r="D925">
        <f t="shared" si="14"/>
        <v>2023</v>
      </c>
    </row>
    <row r="926" spans="1:4" x14ac:dyDescent="0.35">
      <c r="A926" s="1">
        <v>45292</v>
      </c>
      <c r="B926" s="2">
        <v>309.69799999999998</v>
      </c>
      <c r="C926" s="2">
        <v>99.222300000000004</v>
      </c>
      <c r="D926">
        <f t="shared" si="14"/>
        <v>2024</v>
      </c>
    </row>
    <row r="927" spans="1:4" x14ac:dyDescent="0.35">
      <c r="A927" s="1">
        <v>45323</v>
      </c>
      <c r="B927" s="2">
        <v>310.96699999999998</v>
      </c>
      <c r="C927" s="2">
        <v>100.285</v>
      </c>
      <c r="D927">
        <f t="shared" si="14"/>
        <v>2024</v>
      </c>
    </row>
    <row r="928" spans="1:4" x14ac:dyDescent="0.35">
      <c r="A928" s="1">
        <v>45352</v>
      </c>
      <c r="B928" s="2">
        <v>312.34500000000003</v>
      </c>
      <c r="C928" s="2">
        <v>100.4575</v>
      </c>
      <c r="D928">
        <f t="shared" si="14"/>
        <v>2024</v>
      </c>
    </row>
    <row r="929" spans="1:4" x14ac:dyDescent="0.35">
      <c r="A929" s="1">
        <v>45383</v>
      </c>
      <c r="B929" s="2">
        <v>313.02300000000002</v>
      </c>
      <c r="C929" s="2">
        <v>100.24339999999999</v>
      </c>
      <c r="D929">
        <f t="shared" si="14"/>
        <v>2024</v>
      </c>
    </row>
    <row r="930" spans="1:4" x14ac:dyDescent="0.35">
      <c r="A930" s="1">
        <v>45413</v>
      </c>
      <c r="B930" s="2">
        <v>313.17500000000001</v>
      </c>
      <c r="C930" s="2">
        <v>100.863</v>
      </c>
      <c r="D930">
        <f t="shared" si="14"/>
        <v>2024</v>
      </c>
    </row>
    <row r="931" spans="1:4" x14ac:dyDescent="0.35">
      <c r="A931" s="1">
        <v>45444</v>
      </c>
      <c r="B931" s="2">
        <v>313.04399999999998</v>
      </c>
      <c r="C931" s="2">
        <v>100.89400000000001</v>
      </c>
      <c r="D931">
        <f t="shared" si="14"/>
        <v>2024</v>
      </c>
    </row>
    <row r="932" spans="1:4" x14ac:dyDescent="0.35">
      <c r="A932" s="1">
        <v>45474</v>
      </c>
      <c r="B932" s="2">
        <v>313.56900000000002</v>
      </c>
      <c r="C932" s="2">
        <v>99.975700000000003</v>
      </c>
      <c r="D932">
        <f t="shared" si="14"/>
        <v>2024</v>
      </c>
    </row>
    <row r="933" spans="1:4" x14ac:dyDescent="0.35">
      <c r="A933" s="1">
        <v>45505</v>
      </c>
      <c r="B933" s="2">
        <v>314.06200000000001</v>
      </c>
      <c r="C933" s="2">
        <v>100.43089999999999</v>
      </c>
      <c r="D933">
        <f t="shared" si="14"/>
        <v>2024</v>
      </c>
    </row>
    <row r="934" spans="1:4" x14ac:dyDescent="0.35">
      <c r="A934" s="1">
        <v>45536</v>
      </c>
      <c r="B934" s="2">
        <v>314.73200000000003</v>
      </c>
      <c r="C934" s="2">
        <v>99.808400000000006</v>
      </c>
      <c r="D934">
        <f t="shared" si="14"/>
        <v>2024</v>
      </c>
    </row>
    <row r="935" spans="1:4" x14ac:dyDescent="0.35">
      <c r="A935" s="1">
        <v>45566</v>
      </c>
      <c r="B935" s="2">
        <v>315.63099999999997</v>
      </c>
      <c r="C935" s="2">
        <v>99.469499999999996</v>
      </c>
      <c r="D935">
        <f t="shared" si="14"/>
        <v>2024</v>
      </c>
    </row>
    <row r="936" spans="1:4" x14ac:dyDescent="0.35">
      <c r="A936" s="1">
        <v>45597</v>
      </c>
      <c r="B936" s="2">
        <v>316.52800000000002</v>
      </c>
      <c r="C936" s="2">
        <v>99.292500000000004</v>
      </c>
      <c r="D936">
        <f t="shared" si="14"/>
        <v>2024</v>
      </c>
    </row>
    <row r="937" spans="1:4" x14ac:dyDescent="0.35">
      <c r="A937" s="1">
        <v>45627</v>
      </c>
      <c r="B937" s="2">
        <v>317.60399999999998</v>
      </c>
      <c r="C937" s="2">
        <v>100.32729999999999</v>
      </c>
      <c r="D937">
        <f t="shared" si="14"/>
        <v>2024</v>
      </c>
    </row>
    <row r="938" spans="1:4" x14ac:dyDescent="0.35">
      <c r="A938" s="1">
        <v>45658</v>
      </c>
      <c r="B938" s="2">
        <v>318.96100000000001</v>
      </c>
      <c r="C938" s="2">
        <v>100.0647</v>
      </c>
      <c r="D938">
        <f t="shared" si="14"/>
        <v>2025</v>
      </c>
    </row>
    <row r="939" spans="1:4" x14ac:dyDescent="0.35">
      <c r="A939" s="1">
        <v>45689</v>
      </c>
      <c r="B939" s="2">
        <v>319.67899999999997</v>
      </c>
      <c r="C939" s="2">
        <v>101.0993</v>
      </c>
      <c r="D939">
        <f t="shared" si="14"/>
        <v>2025</v>
      </c>
    </row>
    <row r="940" spans="1:4" x14ac:dyDescent="0.35">
      <c r="A940" s="1">
        <v>45717</v>
      </c>
      <c r="B940" s="2">
        <v>319.78500000000003</v>
      </c>
      <c r="C940" s="2">
        <v>101.04040000000001</v>
      </c>
      <c r="D940">
        <f t="shared" si="14"/>
        <v>2025</v>
      </c>
    </row>
    <row r="941" spans="1:4" x14ac:dyDescent="0.35">
      <c r="A941" s="1">
        <v>45748</v>
      </c>
      <c r="B941" s="2">
        <v>320.30200000000002</v>
      </c>
      <c r="C941" s="2">
        <v>101.1279</v>
      </c>
      <c r="D941">
        <f t="shared" si="14"/>
        <v>2025</v>
      </c>
    </row>
    <row r="942" spans="1:4" x14ac:dyDescent="0.35">
      <c r="A942" s="1">
        <v>45778</v>
      </c>
      <c r="B942" s="2">
        <v>320.62</v>
      </c>
      <c r="C942" s="2">
        <v>100.96550000000001</v>
      </c>
      <c r="D942">
        <f t="shared" si="14"/>
        <v>2025</v>
      </c>
    </row>
    <row r="943" spans="1:4" x14ac:dyDescent="0.35">
      <c r="A943" s="1">
        <v>45809</v>
      </c>
      <c r="B943" s="2">
        <v>321.435</v>
      </c>
      <c r="C943" s="2">
        <v>101.4785</v>
      </c>
      <c r="D943">
        <f t="shared" si="14"/>
        <v>2025</v>
      </c>
    </row>
    <row r="944" spans="1:4" x14ac:dyDescent="0.35">
      <c r="A944" s="1">
        <v>45839</v>
      </c>
      <c r="B944" s="2">
        <v>322.16899999999998</v>
      </c>
      <c r="C944" s="2">
        <v>101.89400000000001</v>
      </c>
      <c r="D944">
        <f t="shared" si="14"/>
        <v>2025</v>
      </c>
    </row>
    <row r="945" spans="1:4" x14ac:dyDescent="0.35">
      <c r="A945" s="1">
        <v>45870</v>
      </c>
      <c r="B945" s="2">
        <v>323.291</v>
      </c>
      <c r="C945" s="2">
        <v>101.6247</v>
      </c>
      <c r="D945">
        <f t="shared" si="14"/>
        <v>2025</v>
      </c>
    </row>
    <row r="946" spans="1:4" x14ac:dyDescent="0.35">
      <c r="A946" s="1">
        <v>45901</v>
      </c>
      <c r="B946" s="2">
        <v>324.245</v>
      </c>
      <c r="C946" s="2">
        <v>101.66800000000001</v>
      </c>
      <c r="D946">
        <f t="shared" si="14"/>
        <v>2025</v>
      </c>
    </row>
    <row r="947" spans="1:4" x14ac:dyDescent="0.35">
      <c r="A947" s="1">
        <v>45931</v>
      </c>
      <c r="B947" s="2"/>
      <c r="C947" s="2">
        <v>101.2075</v>
      </c>
      <c r="D947">
        <f t="shared" si="14"/>
        <v>2025</v>
      </c>
    </row>
    <row r="948" spans="1:4" x14ac:dyDescent="0.35">
      <c r="A948" s="1">
        <v>45962</v>
      </c>
      <c r="B948" s="2">
        <v>325.06299999999999</v>
      </c>
      <c r="C948" s="2">
        <v>101.3605</v>
      </c>
      <c r="D948">
        <f t="shared" si="14"/>
        <v>2025</v>
      </c>
    </row>
    <row r="949" spans="1:4" x14ac:dyDescent="0.35">
      <c r="A949" s="1">
        <v>45992</v>
      </c>
      <c r="B949" s="2">
        <v>326.03100000000001</v>
      </c>
      <c r="C949" s="2">
        <v>101.6781</v>
      </c>
      <c r="D949">
        <f t="shared" si="14"/>
        <v>2025</v>
      </c>
    </row>
    <row r="950" spans="1:4" x14ac:dyDescent="0.35">
      <c r="A950" s="1">
        <v>46023</v>
      </c>
      <c r="B950" s="2">
        <v>326.58800000000002</v>
      </c>
      <c r="C950" s="2">
        <v>102.3963</v>
      </c>
      <c r="D950">
        <f t="shared" si="14"/>
        <v>2026</v>
      </c>
    </row>
    <row r="951" spans="1:4" x14ac:dyDescent="0.35">
      <c r="A951" s="1">
        <v>46054</v>
      </c>
      <c r="B951" s="2">
        <v>327.45999999999998</v>
      </c>
      <c r="C951" s="2">
        <v>102.551</v>
      </c>
      <c r="D951">
        <f t="shared" si="14"/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28" customWidth="1"/>
    <col min="2" max="2" width="46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2017</v>
      </c>
    </row>
    <row r="3" spans="1:2" x14ac:dyDescent="0.35">
      <c r="A3" t="s">
        <v>7</v>
      </c>
      <c r="B3" t="s">
        <v>8</v>
      </c>
    </row>
    <row r="4" spans="1:2" x14ac:dyDescent="0.35">
      <c r="A4" t="s">
        <v>9</v>
      </c>
      <c r="B4">
        <f>AVERAGEIFS(Data!B:B,Data!D:D,Parametrar!B2)</f>
        <v>245.12100000000001</v>
      </c>
    </row>
    <row r="5" spans="1:2" x14ac:dyDescent="0.35">
      <c r="A5" t="s">
        <v>10</v>
      </c>
      <c r="B5">
        <f>AVERAGEIFS(Data!C:C,Data!D:D,Parametrar!B2)</f>
        <v>99.999991666666673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51"/>
  <sheetViews>
    <sheetView workbookViewId="0">
      <selection activeCell="B32" sqref="B32"/>
    </sheetView>
  </sheetViews>
  <sheetFormatPr defaultRowHeight="14.5" x14ac:dyDescent="0.35"/>
  <cols>
    <col min="1" max="1" width="12" customWidth="1"/>
    <col min="2" max="3" width="50" customWidth="1"/>
  </cols>
  <sheetData>
    <row r="1" spans="1:3" x14ac:dyDescent="0.35">
      <c r="A1" t="s">
        <v>0</v>
      </c>
      <c r="B1" t="s">
        <v>11</v>
      </c>
      <c r="C1" t="s">
        <v>12</v>
      </c>
    </row>
    <row r="2" spans="1:3" x14ac:dyDescent="0.35">
      <c r="A2" s="1">
        <f>Data!A2</f>
        <v>17168</v>
      </c>
      <c r="B2" s="2">
        <f>IF(Data!B2="","",Data!B2*100/Parametrar!B4)</f>
        <v>8.7630190803725512</v>
      </c>
      <c r="C2" s="2">
        <f>IF(Data!C2="","",Data!C2*100/Parametrar!B5)</f>
        <v>13.679201139933427</v>
      </c>
    </row>
    <row r="3" spans="1:3" x14ac:dyDescent="0.35">
      <c r="A3" s="1">
        <f>Data!A3</f>
        <v>17199</v>
      </c>
      <c r="B3" s="2">
        <f>IF(Data!B3="","",Data!B3*100/Parametrar!B4)</f>
        <v>8.820133729872186</v>
      </c>
      <c r="C3" s="2">
        <f>IF(Data!C3="","",Data!C3*100/Parametrar!B5)</f>
        <v>13.760001146666761</v>
      </c>
    </row>
    <row r="4" spans="1:3" x14ac:dyDescent="0.35">
      <c r="A4" s="1">
        <f>Data!A4</f>
        <v>17227</v>
      </c>
      <c r="B4" s="2">
        <f>IF(Data!B4="","",Data!B4*100/Parametrar!B4)</f>
        <v>8.9751592070854791</v>
      </c>
      <c r="C4" s="2">
        <f>IF(Data!C4="","",Data!C4*100/Parametrar!B5)</f>
        <v>13.840701153391761</v>
      </c>
    </row>
    <row r="5" spans="1:3" x14ac:dyDescent="0.35">
      <c r="A5" s="1">
        <f>Data!A5</f>
        <v>17258</v>
      </c>
      <c r="B5" s="2">
        <f>IF(Data!B5="","",Data!B5*100/Parametrar!B4)</f>
        <v>8.9751592070854791</v>
      </c>
      <c r="C5" s="2">
        <f>IF(Data!C5="","",Data!C5*100/Parametrar!B5)</f>
        <v>13.733001144416761</v>
      </c>
    </row>
    <row r="6" spans="1:3" x14ac:dyDescent="0.35">
      <c r="A6" s="1">
        <f>Data!A6</f>
        <v>17288</v>
      </c>
      <c r="B6" s="2">
        <f>IF(Data!B6="","",Data!B6*100/Parametrar!B4)</f>
        <v>8.9547611179784674</v>
      </c>
      <c r="C6" s="2">
        <f>IF(Data!C6="","",Data!C6*100/Parametrar!B5)</f>
        <v>13.786901148908427</v>
      </c>
    </row>
    <row r="7" spans="1:3" x14ac:dyDescent="0.35">
      <c r="A7" s="1">
        <f>Data!A7</f>
        <v>17319</v>
      </c>
      <c r="B7" s="2">
        <f>IF(Data!B7="","",Data!B7*100/Parametrar!B4)</f>
        <v>9.0077961496567003</v>
      </c>
      <c r="C7" s="2">
        <f>IF(Data!C7="","",Data!C7*100/Parametrar!B5)</f>
        <v>13.786901148908427</v>
      </c>
    </row>
    <row r="8" spans="1:3" x14ac:dyDescent="0.35">
      <c r="A8" s="1">
        <f>Data!A8</f>
        <v>17349</v>
      </c>
      <c r="B8" s="2">
        <f>IF(Data!B8="","",Data!B8*100/Parametrar!B4)</f>
        <v>9.0689904169777371</v>
      </c>
      <c r="C8" s="2">
        <f>IF(Data!C8="","",Data!C8*100/Parametrar!B5)</f>
        <v>13.706101142175093</v>
      </c>
    </row>
    <row r="9" spans="1:3" x14ac:dyDescent="0.35">
      <c r="A9" s="1">
        <f>Data!A9</f>
        <v>17380</v>
      </c>
      <c r="B9" s="2">
        <f>IF(Data!B9="","",Data!B9*100/Parametrar!B4)</f>
        <v>9.1383439199415797</v>
      </c>
      <c r="C9" s="2">
        <f>IF(Data!C9="","",Data!C9*100/Parametrar!B5)</f>
        <v>13.786901148908427</v>
      </c>
    </row>
    <row r="10" spans="1:3" x14ac:dyDescent="0.35">
      <c r="A10" s="1">
        <f>Data!A10</f>
        <v>17411</v>
      </c>
      <c r="B10" s="2">
        <f>IF(Data!B10="","",Data!B10*100/Parametrar!B4)</f>
        <v>9.31784710408329</v>
      </c>
      <c r="C10" s="2">
        <f>IF(Data!C10="","",Data!C10*100/Parametrar!B5)</f>
        <v>13.894601157883429</v>
      </c>
    </row>
    <row r="11" spans="1:3" x14ac:dyDescent="0.35">
      <c r="A11" s="1">
        <f>Data!A11</f>
        <v>17441</v>
      </c>
      <c r="B11" s="2">
        <f>IF(Data!B11="","",Data!B11*100/Parametrar!B4)</f>
        <v>9.3464044288331074</v>
      </c>
      <c r="C11" s="2">
        <f>IF(Data!C11="","",Data!C11*100/Parametrar!B5)</f>
        <v>14.029201169100094</v>
      </c>
    </row>
    <row r="12" spans="1:3" x14ac:dyDescent="0.35">
      <c r="A12" s="1">
        <f>Data!A12</f>
        <v>17472</v>
      </c>
      <c r="B12" s="2">
        <f>IF(Data!B12="","",Data!B12*100/Parametrar!B4)</f>
        <v>9.4075986961541442</v>
      </c>
      <c r="C12" s="2">
        <f>IF(Data!C12="","",Data!C12*100/Parametrar!B5)</f>
        <v>14.217701184808432</v>
      </c>
    </row>
    <row r="13" spans="1:3" x14ac:dyDescent="0.35">
      <c r="A13" s="1">
        <f>Data!A13</f>
        <v>17502</v>
      </c>
      <c r="B13" s="2">
        <f>IF(Data!B13="","",Data!B13*100/Parametrar!B4)</f>
        <v>9.5503853199032314</v>
      </c>
      <c r="C13" s="2">
        <f>IF(Data!C13="","",Data!C13*100/Parametrar!B5)</f>
        <v>14.271601189300096</v>
      </c>
    </row>
    <row r="14" spans="1:3" x14ac:dyDescent="0.35">
      <c r="A14" s="1">
        <f>Data!A14</f>
        <v>17533</v>
      </c>
      <c r="B14" s="2">
        <f>IF(Data!B14="","",Data!B14*100/Parametrar!B4)</f>
        <v>9.6605350010810991</v>
      </c>
      <c r="C14" s="2">
        <f>IF(Data!C14="","",Data!C14*100/Parametrar!B5)</f>
        <v>14.352401196033432</v>
      </c>
    </row>
    <row r="15" spans="1:3" x14ac:dyDescent="0.35">
      <c r="A15" s="1">
        <f>Data!A15</f>
        <v>17564</v>
      </c>
      <c r="B15" s="2">
        <f>IF(Data!B15="","",Data!B15*100/Parametrar!B4)</f>
        <v>9.6564553832596953</v>
      </c>
      <c r="C15" s="2">
        <f>IF(Data!C15="","",Data!C15*100/Parametrar!B5)</f>
        <v>14.379301198275099</v>
      </c>
    </row>
    <row r="16" spans="1:3" x14ac:dyDescent="0.35">
      <c r="A16" s="1">
        <f>Data!A16</f>
        <v>17593</v>
      </c>
      <c r="B16" s="2">
        <f>IF(Data!B16="","",Data!B16*100/Parametrar!B4)</f>
        <v>9.5871018802958528</v>
      </c>
      <c r="C16" s="2">
        <f>IF(Data!C16="","",Data!C16*100/Parametrar!B5)</f>
        <v>14.217701184808432</v>
      </c>
    </row>
    <row r="17" spans="1:3" x14ac:dyDescent="0.35">
      <c r="A17" s="1">
        <f>Data!A17</f>
        <v>17624</v>
      </c>
      <c r="B17" s="2">
        <f>IF(Data!B17="","",Data!B17*100/Parametrar!B4)</f>
        <v>9.7176496505807339</v>
      </c>
      <c r="C17" s="2">
        <f>IF(Data!C17="","",Data!C17*100/Parametrar!B5)</f>
        <v>14.244701187058432</v>
      </c>
    </row>
    <row r="18" spans="1:3" x14ac:dyDescent="0.35">
      <c r="A18" s="1">
        <f>Data!A18</f>
        <v>17654</v>
      </c>
      <c r="B18" s="2">
        <f>IF(Data!B18="","",Data!B18*100/Parametrar!B4)</f>
        <v>9.7951623891873805</v>
      </c>
      <c r="C18" s="2">
        <f>IF(Data!C18="","",Data!C18*100/Parametrar!B5)</f>
        <v>14.487001207250101</v>
      </c>
    </row>
    <row r="19" spans="1:3" x14ac:dyDescent="0.35">
      <c r="A19" s="1">
        <f>Data!A19</f>
        <v>17685</v>
      </c>
      <c r="B19" s="2">
        <f>IF(Data!B19="","",Data!B19*100/Parametrar!B4)</f>
        <v>9.8522770386870153</v>
      </c>
      <c r="C19" s="2">
        <f>IF(Data!C19="","",Data!C19*100/Parametrar!B5)</f>
        <v>14.675501222958435</v>
      </c>
    </row>
    <row r="20" spans="1:3" x14ac:dyDescent="0.35">
      <c r="A20" s="1">
        <f>Data!A20</f>
        <v>17715</v>
      </c>
      <c r="B20" s="2">
        <f>IF(Data!B20="","",Data!B20*100/Parametrar!B4)</f>
        <v>9.9542674842220773</v>
      </c>
      <c r="C20" s="2">
        <f>IF(Data!C20="","",Data!C20*100/Parametrar!B5)</f>
        <v>14.675501222958435</v>
      </c>
    </row>
    <row r="21" spans="1:3" x14ac:dyDescent="0.35">
      <c r="A21" s="1">
        <f>Data!A21</f>
        <v>17746</v>
      </c>
      <c r="B21" s="2">
        <f>IF(Data!B21="","",Data!B21*100/Parametrar!B4)</f>
        <v>9.966506337686285</v>
      </c>
      <c r="C21" s="2">
        <f>IF(Data!C21="","",Data!C21*100/Parametrar!B5)</f>
        <v>14.621601218466768</v>
      </c>
    </row>
    <row r="22" spans="1:3" x14ac:dyDescent="0.35">
      <c r="A22" s="1">
        <f>Data!A22</f>
        <v>17777</v>
      </c>
      <c r="B22" s="2">
        <f>IF(Data!B22="","",Data!B22*100/Parametrar!B4)</f>
        <v>9.9379490129364676</v>
      </c>
      <c r="C22" s="2">
        <f>IF(Data!C22="","",Data!C22*100/Parametrar!B5)</f>
        <v>14.513901209491765</v>
      </c>
    </row>
    <row r="23" spans="1:3" x14ac:dyDescent="0.35">
      <c r="A23" s="1">
        <f>Data!A23</f>
        <v>17807</v>
      </c>
      <c r="B23" s="2">
        <f>IF(Data!B23="","",Data!B23*100/Parametrar!B4)</f>
        <v>9.9175509238294559</v>
      </c>
      <c r="C23" s="2">
        <f>IF(Data!C23="","",Data!C23*100/Parametrar!B5)</f>
        <v>14.621701218475101</v>
      </c>
    </row>
    <row r="24" spans="1:3" x14ac:dyDescent="0.35">
      <c r="A24" s="1">
        <f>Data!A24</f>
        <v>17838</v>
      </c>
      <c r="B24" s="2">
        <f>IF(Data!B24="","",Data!B24*100/Parametrar!B4)</f>
        <v>9.8563566565084173</v>
      </c>
      <c r="C24" s="2">
        <f>IF(Data!C24="","",Data!C24*100/Parametrar!B5)</f>
        <v>14.433201202766766</v>
      </c>
    </row>
    <row r="25" spans="1:3" x14ac:dyDescent="0.35">
      <c r="A25" s="1">
        <f>Data!A25</f>
        <v>17868</v>
      </c>
      <c r="B25" s="2">
        <f>IF(Data!B25="","",Data!B25*100/Parametrar!B4)</f>
        <v>9.8114808604729902</v>
      </c>
      <c r="C25" s="2">
        <f>IF(Data!C25="","",Data!C25*100/Parametrar!B5)</f>
        <v>14.298501191541765</v>
      </c>
    </row>
    <row r="26" spans="1:3" x14ac:dyDescent="0.35">
      <c r="A26" s="1">
        <f>Data!A26</f>
        <v>17899</v>
      </c>
      <c r="B26" s="2">
        <f>IF(Data!B26="","",Data!B26*100/Parametrar!B4)</f>
        <v>9.7951623891873805</v>
      </c>
      <c r="C26" s="2">
        <f>IF(Data!C26="","",Data!C26*100/Parametrar!B5)</f>
        <v>14.163901180325098</v>
      </c>
    </row>
    <row r="27" spans="1:3" x14ac:dyDescent="0.35">
      <c r="A27" s="1">
        <f>Data!A27</f>
        <v>17930</v>
      </c>
      <c r="B27" s="2">
        <f>IF(Data!B27="","",Data!B27*100/Parametrar!B4)</f>
        <v>9.7543662109733553</v>
      </c>
      <c r="C27" s="2">
        <f>IF(Data!C27="","",Data!C27*100/Parametrar!B5)</f>
        <v>14.029201169100094</v>
      </c>
    </row>
    <row r="28" spans="1:3" x14ac:dyDescent="0.35">
      <c r="A28" s="1">
        <f>Data!A28</f>
        <v>17958</v>
      </c>
      <c r="B28" s="2">
        <f>IF(Data!B28="","",Data!B28*100/Parametrar!B4)</f>
        <v>9.7543662109733553</v>
      </c>
      <c r="C28" s="2">
        <f>IF(Data!C28="","",Data!C28*100/Parametrar!B5)</f>
        <v>13.760001146666761</v>
      </c>
    </row>
    <row r="29" spans="1:3" x14ac:dyDescent="0.35">
      <c r="A29" s="1">
        <f>Data!A29</f>
        <v>17989</v>
      </c>
      <c r="B29" s="2">
        <f>IF(Data!B29="","",Data!B29*100/Parametrar!B4)</f>
        <v>9.7584458287947573</v>
      </c>
      <c r="C29" s="2">
        <f>IF(Data!C29="","",Data!C29*100/Parametrar!B5)</f>
        <v>13.679201139933427</v>
      </c>
    </row>
    <row r="30" spans="1:3" x14ac:dyDescent="0.35">
      <c r="A30" s="1">
        <f>Data!A30</f>
        <v>18019</v>
      </c>
      <c r="B30" s="2">
        <f>IF(Data!B30="","",Data!B30*100/Parametrar!B4)</f>
        <v>9.7543662109733553</v>
      </c>
      <c r="C30" s="2">
        <f>IF(Data!C30="","",Data!C30*100/Parametrar!B5)</f>
        <v>13.490701124225092</v>
      </c>
    </row>
    <row r="31" spans="1:3" x14ac:dyDescent="0.35">
      <c r="A31" s="1">
        <f>Data!A31</f>
        <v>18050</v>
      </c>
      <c r="B31" s="2">
        <f>IF(Data!B31="","",Data!B31*100/Parametrar!B4)</f>
        <v>9.7584458287947573</v>
      </c>
      <c r="C31" s="2">
        <f>IF(Data!C31="","",Data!C31*100/Parametrar!B5)</f>
        <v>13.463801121983426</v>
      </c>
    </row>
    <row r="32" spans="1:3" x14ac:dyDescent="0.35">
      <c r="A32" s="1">
        <f>Data!A32</f>
        <v>18080</v>
      </c>
      <c r="B32" s="2">
        <f>IF(Data!B32="","",Data!B32*100/Parametrar!B4)</f>
        <v>9.668694236723903</v>
      </c>
      <c r="C32" s="2">
        <f>IF(Data!C32="","",Data!C32*100/Parametrar!B5)</f>
        <v>13.436801119733426</v>
      </c>
    </row>
    <row r="33" spans="1:3" x14ac:dyDescent="0.35">
      <c r="A33" s="1">
        <f>Data!A33</f>
        <v>18111</v>
      </c>
      <c r="B33" s="2">
        <f>IF(Data!B33="","",Data!B33*100/Parametrar!B4)</f>
        <v>9.668694236723903</v>
      </c>
      <c r="C33" s="2">
        <f>IF(Data!C33="","",Data!C33*100/Parametrar!B5)</f>
        <v>13.571501130958428</v>
      </c>
    </row>
    <row r="34" spans="1:3" x14ac:dyDescent="0.35">
      <c r="A34" s="1">
        <f>Data!A34</f>
        <v>18142</v>
      </c>
      <c r="B34" s="2">
        <f>IF(Data!B34="","",Data!B34*100/Parametrar!B4)</f>
        <v>9.6890923258309165</v>
      </c>
      <c r="C34" s="2">
        <f>IF(Data!C34="","",Data!C34*100/Parametrar!B5)</f>
        <v>13.706101142175093</v>
      </c>
    </row>
    <row r="35" spans="1:3" x14ac:dyDescent="0.35">
      <c r="A35" s="1">
        <f>Data!A35</f>
        <v>18172</v>
      </c>
      <c r="B35" s="2">
        <f>IF(Data!B35="","",Data!B35*100/Parametrar!B4)</f>
        <v>9.6564553832596953</v>
      </c>
      <c r="C35" s="2">
        <f>IF(Data!C35="","",Data!C35*100/Parametrar!B5)</f>
        <v>13.194501099541759</v>
      </c>
    </row>
    <row r="36" spans="1:3" x14ac:dyDescent="0.35">
      <c r="A36" s="1">
        <f>Data!A36</f>
        <v>18203</v>
      </c>
      <c r="B36" s="2">
        <f>IF(Data!B36="","",Data!B36*100/Parametrar!B4)</f>
        <v>9.668694236723903</v>
      </c>
      <c r="C36" s="2">
        <f>IF(Data!C36="","",Data!C36*100/Parametrar!B5)</f>
        <v>13.54460112871676</v>
      </c>
    </row>
    <row r="37" spans="1:3" x14ac:dyDescent="0.35">
      <c r="A37" s="1">
        <f>Data!A37</f>
        <v>18233</v>
      </c>
      <c r="B37" s="2">
        <f>IF(Data!B37="","",Data!B37*100/Parametrar!B4)</f>
        <v>9.6319776763312817</v>
      </c>
      <c r="C37" s="2">
        <f>IF(Data!C37="","",Data!C37*100/Parametrar!B5)</f>
        <v>13.786901148908427</v>
      </c>
    </row>
    <row r="38" spans="1:3" x14ac:dyDescent="0.35">
      <c r="A38" s="1">
        <f>Data!A38</f>
        <v>18264</v>
      </c>
      <c r="B38" s="2">
        <f>IF(Data!B38="","",Data!B38*100/Parametrar!B4)</f>
        <v>9.5911814981172565</v>
      </c>
      <c r="C38" s="2">
        <f>IF(Data!C38="","",Data!C38*100/Parametrar!B5)</f>
        <v>14.029201169100094</v>
      </c>
    </row>
    <row r="39" spans="1:3" x14ac:dyDescent="0.35">
      <c r="A39" s="1">
        <f>Data!A39</f>
        <v>18295</v>
      </c>
      <c r="B39" s="2">
        <f>IF(Data!B39="","",Data!B39*100/Parametrar!B4)</f>
        <v>9.6319776763312817</v>
      </c>
      <c r="C39" s="2">
        <f>IF(Data!C39="","",Data!C39*100/Parametrar!B5)</f>
        <v>14.083101173591762</v>
      </c>
    </row>
    <row r="40" spans="1:3" x14ac:dyDescent="0.35">
      <c r="A40" s="1">
        <f>Data!A40</f>
        <v>18323</v>
      </c>
      <c r="B40" s="2">
        <f>IF(Data!B40="","",Data!B40*100/Parametrar!B4)</f>
        <v>9.6442165297954876</v>
      </c>
      <c r="C40" s="2">
        <f>IF(Data!C40="","",Data!C40*100/Parametrar!B5)</f>
        <v>14.540901211741769</v>
      </c>
    </row>
    <row r="41" spans="1:3" x14ac:dyDescent="0.35">
      <c r="A41" s="1">
        <f>Data!A41</f>
        <v>18354</v>
      </c>
      <c r="B41" s="2">
        <f>IF(Data!B41="","",Data!B41*100/Parametrar!B4)</f>
        <v>9.6482961476168914</v>
      </c>
      <c r="C41" s="2">
        <f>IF(Data!C41="","",Data!C41*100/Parametrar!B5)</f>
        <v>15.025501252125103</v>
      </c>
    </row>
    <row r="42" spans="1:3" x14ac:dyDescent="0.35">
      <c r="A42" s="1">
        <f>Data!A42</f>
        <v>18384</v>
      </c>
      <c r="B42" s="2">
        <f>IF(Data!B42="","",Data!B42*100/Parametrar!B4)</f>
        <v>9.6972515614737205</v>
      </c>
      <c r="C42" s="2">
        <f>IF(Data!C42="","",Data!C42*100/Parametrar!B5)</f>
        <v>15.375601281300105</v>
      </c>
    </row>
    <row r="43" spans="1:3" x14ac:dyDescent="0.35">
      <c r="A43" s="1">
        <f>Data!A43</f>
        <v>18415</v>
      </c>
      <c r="B43" s="2">
        <f>IF(Data!B43="","",Data!B43*100/Parametrar!B4)</f>
        <v>9.7421273575091476</v>
      </c>
      <c r="C43" s="2">
        <f>IF(Data!C43="","",Data!C43*100/Parametrar!B5)</f>
        <v>15.833401319450108</v>
      </c>
    </row>
    <row r="44" spans="1:3" x14ac:dyDescent="0.35">
      <c r="A44" s="1">
        <f>Data!A44</f>
        <v>18445</v>
      </c>
      <c r="B44" s="2">
        <f>IF(Data!B44="","",Data!B44*100/Parametrar!B4)</f>
        <v>9.8196400961157959</v>
      </c>
      <c r="C44" s="2">
        <f>IF(Data!C44="","",Data!C44*100/Parametrar!B5)</f>
        <v>16.345001362083444</v>
      </c>
    </row>
    <row r="45" spans="1:3" x14ac:dyDescent="0.35">
      <c r="A45" s="1">
        <f>Data!A45</f>
        <v>18476</v>
      </c>
      <c r="B45" s="2">
        <f>IF(Data!B45="","",Data!B45*100/Parametrar!B4)</f>
        <v>9.872675127794027</v>
      </c>
      <c r="C45" s="2">
        <f>IF(Data!C45="","",Data!C45*100/Parametrar!B5)</f>
        <v>16.856601404716784</v>
      </c>
    </row>
    <row r="46" spans="1:3" x14ac:dyDescent="0.35">
      <c r="A46" s="1">
        <f>Data!A46</f>
        <v>18507</v>
      </c>
      <c r="B46" s="2">
        <f>IF(Data!B46="","",Data!B46*100/Parametrar!B4)</f>
        <v>9.9297897772936636</v>
      </c>
      <c r="C46" s="2">
        <f>IF(Data!C46="","",Data!C46*100/Parametrar!B5)</f>
        <v>16.748901395741779</v>
      </c>
    </row>
    <row r="47" spans="1:3" x14ac:dyDescent="0.35">
      <c r="A47" s="1">
        <f>Data!A47</f>
        <v>18537</v>
      </c>
      <c r="B47" s="2">
        <f>IF(Data!B47="","",Data!B47*100/Parametrar!B4)</f>
        <v>9.9950636624361024</v>
      </c>
      <c r="C47" s="2">
        <f>IF(Data!C47="","",Data!C47*100/Parametrar!B5)</f>
        <v>16.856601404716784</v>
      </c>
    </row>
    <row r="48" spans="1:3" x14ac:dyDescent="0.35">
      <c r="A48" s="1">
        <f>Data!A48</f>
        <v>18568</v>
      </c>
      <c r="B48" s="2">
        <f>IF(Data!B48="","",Data!B48*100/Parametrar!B4)</f>
        <v>10.035859840650128</v>
      </c>
      <c r="C48" s="2">
        <f>IF(Data!C48="","",Data!C48*100/Parametrar!B5)</f>
        <v>16.829701402475113</v>
      </c>
    </row>
    <row r="49" spans="1:3" x14ac:dyDescent="0.35">
      <c r="A49" s="1">
        <f>Data!A49</f>
        <v>18598</v>
      </c>
      <c r="B49" s="2">
        <f>IF(Data!B49="","",Data!B49*100/Parametrar!B4)</f>
        <v>10.190885317863422</v>
      </c>
      <c r="C49" s="2">
        <f>IF(Data!C49="","",Data!C49*100/Parametrar!B5)</f>
        <v>17.125901427158453</v>
      </c>
    </row>
    <row r="50" spans="1:3" x14ac:dyDescent="0.35">
      <c r="A50" s="1">
        <f>Data!A50</f>
        <v>18629</v>
      </c>
      <c r="B50" s="2">
        <f>IF(Data!B50="","",Data!B50*100/Parametrar!B4)</f>
        <v>10.354070030719521</v>
      </c>
      <c r="C50" s="2">
        <f>IF(Data!C50="","",Data!C50*100/Parametrar!B5)</f>
        <v>17.179701431641785</v>
      </c>
    </row>
    <row r="51" spans="1:3" x14ac:dyDescent="0.35">
      <c r="A51" s="1">
        <f>Data!A51</f>
        <v>18660</v>
      </c>
      <c r="B51" s="2">
        <f>IF(Data!B51="","",Data!B51*100/Parametrar!B4)</f>
        <v>10.537652832682634</v>
      </c>
      <c r="C51" s="2">
        <f>IF(Data!C51="","",Data!C51*100/Parametrar!B5)</f>
        <v>17.287501440625121</v>
      </c>
    </row>
    <row r="52" spans="1:3" x14ac:dyDescent="0.35">
      <c r="A52" s="1">
        <f>Data!A52</f>
        <v>18688</v>
      </c>
      <c r="B52" s="2">
        <f>IF(Data!B52="","",Data!B52*100/Parametrar!B4)</f>
        <v>10.558050921789647</v>
      </c>
      <c r="C52" s="2">
        <f>IF(Data!C52="","",Data!C52*100/Parametrar!B5)</f>
        <v>17.368201447350121</v>
      </c>
    </row>
    <row r="53" spans="1:3" x14ac:dyDescent="0.35">
      <c r="A53" s="1">
        <f>Data!A53</f>
        <v>18719</v>
      </c>
      <c r="B53" s="2">
        <f>IF(Data!B53="","",Data!B53*100/Parametrar!B4)</f>
        <v>10.574369393075257</v>
      </c>
      <c r="C53" s="2">
        <f>IF(Data!C53="","",Data!C53*100/Parametrar!B5)</f>
        <v>17.395201449600119</v>
      </c>
    </row>
    <row r="54" spans="1:3" x14ac:dyDescent="0.35">
      <c r="A54" s="1">
        <f>Data!A54</f>
        <v>18749</v>
      </c>
      <c r="B54" s="2">
        <f>IF(Data!B54="","",Data!B54*100/Parametrar!B4)</f>
        <v>10.602926717825074</v>
      </c>
      <c r="C54" s="2">
        <f>IF(Data!C54="","",Data!C54*100/Parametrar!B5)</f>
        <v>17.341301445108453</v>
      </c>
    </row>
    <row r="55" spans="1:3" x14ac:dyDescent="0.35">
      <c r="A55" s="1">
        <f>Data!A55</f>
        <v>18780</v>
      </c>
      <c r="B55" s="2">
        <f>IF(Data!B55="","",Data!B55*100/Parametrar!B4)</f>
        <v>10.578449010896659</v>
      </c>
      <c r="C55" s="2">
        <f>IF(Data!C55="","",Data!C55*100/Parametrar!B5)</f>
        <v>17.260501438375119</v>
      </c>
    </row>
    <row r="56" spans="1:3" x14ac:dyDescent="0.35">
      <c r="A56" s="1">
        <f>Data!A56</f>
        <v>18810</v>
      </c>
      <c r="B56" s="2">
        <f>IF(Data!B56="","",Data!B56*100/Parametrar!B4)</f>
        <v>10.570289775253853</v>
      </c>
      <c r="C56" s="2">
        <f>IF(Data!C56="","",Data!C56*100/Parametrar!B5)</f>
        <v>16.991301415941781</v>
      </c>
    </row>
    <row r="57" spans="1:3" x14ac:dyDescent="0.35">
      <c r="A57" s="1">
        <f>Data!A57</f>
        <v>18841</v>
      </c>
      <c r="B57" s="2">
        <f>IF(Data!B57="","",Data!B57*100/Parametrar!B4)</f>
        <v>10.549891686146841</v>
      </c>
      <c r="C57" s="2">
        <f>IF(Data!C57="","",Data!C57*100/Parametrar!B5)</f>
        <v>16.829701402475113</v>
      </c>
    </row>
    <row r="58" spans="1:3" x14ac:dyDescent="0.35">
      <c r="A58" s="1">
        <f>Data!A58</f>
        <v>18872</v>
      </c>
      <c r="B58" s="2">
        <f>IF(Data!B58="","",Data!B58*100/Parametrar!B4)</f>
        <v>10.619245189110684</v>
      </c>
      <c r="C58" s="2">
        <f>IF(Data!C58="","",Data!C58*100/Parametrar!B5)</f>
        <v>16.937401411450118</v>
      </c>
    </row>
    <row r="59" spans="1:3" x14ac:dyDescent="0.35">
      <c r="A59" s="1">
        <f>Data!A59</f>
        <v>18902</v>
      </c>
      <c r="B59" s="2">
        <f>IF(Data!B59="","",Data!B59*100/Parametrar!B4)</f>
        <v>10.672280220788917</v>
      </c>
      <c r="C59" s="2">
        <f>IF(Data!C59="","",Data!C59*100/Parametrar!B5)</f>
        <v>16.91050140920845</v>
      </c>
    </row>
    <row r="60" spans="1:3" x14ac:dyDescent="0.35">
      <c r="A60" s="1">
        <f>Data!A60</f>
        <v>18933</v>
      </c>
      <c r="B60" s="2">
        <f>IF(Data!B60="","",Data!B60*100/Parametrar!B4)</f>
        <v>10.737554105931356</v>
      </c>
      <c r="C60" s="2">
        <f>IF(Data!C60="","",Data!C60*100/Parametrar!B5)</f>
        <v>17.045101420425119</v>
      </c>
    </row>
    <row r="61" spans="1:3" x14ac:dyDescent="0.35">
      <c r="A61" s="1">
        <f>Data!A61</f>
        <v>18963</v>
      </c>
      <c r="B61" s="2">
        <f>IF(Data!B61="","",Data!B61*100/Parametrar!B4)</f>
        <v>10.798748373252394</v>
      </c>
      <c r="C61" s="2">
        <f>IF(Data!C61="","",Data!C61*100/Parametrar!B5)</f>
        <v>17.152801429400117</v>
      </c>
    </row>
    <row r="62" spans="1:3" x14ac:dyDescent="0.35">
      <c r="A62" s="1">
        <f>Data!A62</f>
        <v>18994</v>
      </c>
      <c r="B62" s="2">
        <f>IF(Data!B62="","",Data!B62*100/Parametrar!B4)</f>
        <v>10.790589137609588</v>
      </c>
      <c r="C62" s="2">
        <f>IF(Data!C62="","",Data!C62*100/Parametrar!B5)</f>
        <v>17.341301445108453</v>
      </c>
    </row>
    <row r="63" spans="1:3" x14ac:dyDescent="0.35">
      <c r="A63" s="1">
        <f>Data!A63</f>
        <v>19025</v>
      </c>
      <c r="B63" s="2">
        <f>IF(Data!B63="","",Data!B63*100/Parametrar!B4)</f>
        <v>10.774270666323979</v>
      </c>
      <c r="C63" s="2">
        <f>IF(Data!C63="","",Data!C63*100/Parametrar!B5)</f>
        <v>17.449001454083454</v>
      </c>
    </row>
    <row r="64" spans="1:3" x14ac:dyDescent="0.35">
      <c r="A64" s="1">
        <f>Data!A64</f>
        <v>19054</v>
      </c>
      <c r="B64" s="2">
        <f>IF(Data!B64="","",Data!B64*100/Parametrar!B4)</f>
        <v>10.766111430681173</v>
      </c>
      <c r="C64" s="2">
        <f>IF(Data!C64="","",Data!C64*100/Parametrar!B5)</f>
        <v>17.502901458575121</v>
      </c>
    </row>
    <row r="65" spans="1:3" x14ac:dyDescent="0.35">
      <c r="A65" s="1">
        <f>Data!A65</f>
        <v>19085</v>
      </c>
      <c r="B65" s="2">
        <f>IF(Data!B65="","",Data!B65*100/Parametrar!B4)</f>
        <v>10.79466875543099</v>
      </c>
      <c r="C65" s="2">
        <f>IF(Data!C65="","",Data!C65*100/Parametrar!B5)</f>
        <v>17.341301445108453</v>
      </c>
    </row>
    <row r="66" spans="1:3" x14ac:dyDescent="0.35">
      <c r="A66" s="1">
        <f>Data!A66</f>
        <v>19115</v>
      </c>
      <c r="B66" s="2">
        <f>IF(Data!B66="","",Data!B66*100/Parametrar!B4)</f>
        <v>10.798748373252394</v>
      </c>
      <c r="C66" s="2">
        <f>IF(Data!C66="","",Data!C66*100/Parametrar!B5)</f>
        <v>17.17980143165012</v>
      </c>
    </row>
    <row r="67" spans="1:3" x14ac:dyDescent="0.35">
      <c r="A67" s="1">
        <f>Data!A67</f>
        <v>19146</v>
      </c>
      <c r="B67" s="2">
        <f>IF(Data!B67="","",Data!B67*100/Parametrar!B4)</f>
        <v>10.823226080180808</v>
      </c>
      <c r="C67" s="2">
        <f>IF(Data!C67="","",Data!C67*100/Parametrar!B5)</f>
        <v>17.018201418183448</v>
      </c>
    </row>
    <row r="68" spans="1:3" x14ac:dyDescent="0.35">
      <c r="A68" s="1">
        <f>Data!A68</f>
        <v>19176</v>
      </c>
      <c r="B68" s="2">
        <f>IF(Data!B68="","",Data!B68*100/Parametrar!B4)</f>
        <v>10.884420347501846</v>
      </c>
      <c r="C68" s="2">
        <f>IF(Data!C68="","",Data!C68*100/Parametrar!B5)</f>
        <v>16.748901395741779</v>
      </c>
    </row>
    <row r="69" spans="1:3" x14ac:dyDescent="0.35">
      <c r="A69" s="1">
        <f>Data!A69</f>
        <v>19207</v>
      </c>
      <c r="B69" s="2">
        <f>IF(Data!B69="","",Data!B69*100/Parametrar!B4)</f>
        <v>10.888499965323248</v>
      </c>
      <c r="C69" s="2">
        <f>IF(Data!C69="","",Data!C69*100/Parametrar!B5)</f>
        <v>17.826001485500125</v>
      </c>
    </row>
    <row r="70" spans="1:3" x14ac:dyDescent="0.35">
      <c r="A70" s="1">
        <f>Data!A70</f>
        <v>19238</v>
      </c>
      <c r="B70" s="2">
        <f>IF(Data!B70="","",Data!B70*100/Parametrar!B4)</f>
        <v>10.864022258394833</v>
      </c>
      <c r="C70" s="2">
        <f>IF(Data!C70="","",Data!C70*100/Parametrar!B5)</f>
        <v>18.472301539358462</v>
      </c>
    </row>
    <row r="71" spans="1:3" x14ac:dyDescent="0.35">
      <c r="A71" s="1">
        <f>Data!A71</f>
        <v>19268</v>
      </c>
      <c r="B71" s="2">
        <f>IF(Data!B71="","",Data!B71*100/Parametrar!B4)</f>
        <v>10.888499965323248</v>
      </c>
      <c r="C71" s="2">
        <f>IF(Data!C71="","",Data!C71*100/Parametrar!B5)</f>
        <v>18.660801555066794</v>
      </c>
    </row>
    <row r="72" spans="1:3" x14ac:dyDescent="0.35">
      <c r="A72" s="1">
        <f>Data!A72</f>
        <v>19299</v>
      </c>
      <c r="B72" s="2">
        <f>IF(Data!B72="","",Data!B72*100/Parametrar!B4)</f>
        <v>10.888499965323248</v>
      </c>
      <c r="C72" s="2">
        <f>IF(Data!C72="","",Data!C72*100/Parametrar!B5)</f>
        <v>19.037801586483464</v>
      </c>
    </row>
    <row r="73" spans="1:3" x14ac:dyDescent="0.35">
      <c r="A73" s="1">
        <f>Data!A73</f>
        <v>19329</v>
      </c>
      <c r="B73" s="2">
        <f>IF(Data!B73="","",Data!B73*100/Parametrar!B4)</f>
        <v>10.896659200966052</v>
      </c>
      <c r="C73" s="2">
        <f>IF(Data!C73="","",Data!C73*100/Parametrar!B5)</f>
        <v>19.145501595458462</v>
      </c>
    </row>
    <row r="74" spans="1:3" x14ac:dyDescent="0.35">
      <c r="A74" s="1">
        <f>Data!A74</f>
        <v>19360</v>
      </c>
      <c r="B74" s="2">
        <f>IF(Data!B74="","",Data!B74*100/Parametrar!B4)</f>
        <v>10.868101876216235</v>
      </c>
      <c r="C74" s="2">
        <f>IF(Data!C74="","",Data!C74*100/Parametrar!B5)</f>
        <v>19.199301599941798</v>
      </c>
    </row>
    <row r="75" spans="1:3" x14ac:dyDescent="0.35">
      <c r="A75" s="1">
        <f>Data!A75</f>
        <v>19391</v>
      </c>
      <c r="B75" s="2">
        <f>IF(Data!B75="","",Data!B75*100/Parametrar!B4)</f>
        <v>10.847703787109223</v>
      </c>
      <c r="C75" s="2">
        <f>IF(Data!C75="","",Data!C75*100/Parametrar!B5)</f>
        <v>19.307001608916799</v>
      </c>
    </row>
    <row r="76" spans="1:3" x14ac:dyDescent="0.35">
      <c r="A76" s="1">
        <f>Data!A76</f>
        <v>19419</v>
      </c>
      <c r="B76" s="2">
        <f>IF(Data!B76="","",Data!B76*100/Parametrar!B4)</f>
        <v>10.864022258394833</v>
      </c>
      <c r="C76" s="2">
        <f>IF(Data!C76="","",Data!C76*100/Parametrar!B5)</f>
        <v>19.468601622383467</v>
      </c>
    </row>
    <row r="77" spans="1:3" x14ac:dyDescent="0.35">
      <c r="A77" s="1">
        <f>Data!A77</f>
        <v>19450</v>
      </c>
      <c r="B77" s="2">
        <f>IF(Data!B77="","",Data!B77*100/Parametrar!B4)</f>
        <v>10.888499965323248</v>
      </c>
      <c r="C77" s="2">
        <f>IF(Data!C77="","",Data!C77*100/Parametrar!B5)</f>
        <v>19.549401629116801</v>
      </c>
    </row>
    <row r="78" spans="1:3" x14ac:dyDescent="0.35">
      <c r="A78" s="1">
        <f>Data!A78</f>
        <v>19480</v>
      </c>
      <c r="B78" s="2">
        <f>IF(Data!B78="","",Data!B78*100/Parametrar!B4)</f>
        <v>10.89257958314465</v>
      </c>
      <c r="C78" s="2">
        <f>IF(Data!C78="","",Data!C78*100/Parametrar!B5)</f>
        <v>19.657101638091802</v>
      </c>
    </row>
    <row r="79" spans="1:3" x14ac:dyDescent="0.35">
      <c r="A79" s="1">
        <f>Data!A79</f>
        <v>19511</v>
      </c>
      <c r="B79" s="2">
        <f>IF(Data!B79="","",Data!B79*100/Parametrar!B4)</f>
        <v>10.921136907894468</v>
      </c>
      <c r="C79" s="2">
        <f>IF(Data!C79="","",Data!C79*100/Parametrar!B5)</f>
        <v>19.576301631358465</v>
      </c>
    </row>
    <row r="80" spans="1:3" x14ac:dyDescent="0.35">
      <c r="A80" s="1">
        <f>Data!A80</f>
        <v>19541</v>
      </c>
      <c r="B80" s="2">
        <f>IF(Data!B80="","",Data!B80*100/Parametrar!B4)</f>
        <v>10.929296143537274</v>
      </c>
      <c r="C80" s="2">
        <f>IF(Data!C80="","",Data!C80*100/Parametrar!B5)</f>
        <v>19.81870165155847</v>
      </c>
    </row>
    <row r="81" spans="1:3" x14ac:dyDescent="0.35">
      <c r="A81" s="1">
        <f>Data!A81</f>
        <v>19572</v>
      </c>
      <c r="B81" s="2">
        <f>IF(Data!B81="","",Data!B81*100/Parametrar!B4)</f>
        <v>10.953773850465687</v>
      </c>
      <c r="C81" s="2">
        <f>IF(Data!C81="","",Data!C81*100/Parametrar!B5)</f>
        <v>19.710901642575134</v>
      </c>
    </row>
    <row r="82" spans="1:3" x14ac:dyDescent="0.35">
      <c r="A82" s="1">
        <f>Data!A82</f>
        <v>19603</v>
      </c>
      <c r="B82" s="2">
        <f>IF(Data!B82="","",Data!B82*100/Parametrar!B4)</f>
        <v>10.970092321751299</v>
      </c>
      <c r="C82" s="2">
        <f>IF(Data!C82="","",Data!C82*100/Parametrar!B5)</f>
        <v>19.307001608916799</v>
      </c>
    </row>
    <row r="83" spans="1:3" x14ac:dyDescent="0.35">
      <c r="A83" s="1">
        <f>Data!A83</f>
        <v>19633</v>
      </c>
      <c r="B83" s="2">
        <f>IF(Data!B83="","",Data!B83*100/Parametrar!B4)</f>
        <v>10.994570028679712</v>
      </c>
      <c r="C83" s="2">
        <f>IF(Data!C83="","",Data!C83*100/Parametrar!B5)</f>
        <v>19.145501595458462</v>
      </c>
    </row>
    <row r="84" spans="1:3" x14ac:dyDescent="0.35">
      <c r="A84" s="1">
        <f>Data!A84</f>
        <v>19664</v>
      </c>
      <c r="B84" s="2">
        <f>IF(Data!B84="","",Data!B84*100/Parametrar!B4)</f>
        <v>10.953773850465687</v>
      </c>
      <c r="C84" s="2">
        <f>IF(Data!C84="","",Data!C84*100/Parametrar!B5)</f>
        <v>18.687701557308461</v>
      </c>
    </row>
    <row r="85" spans="1:3" x14ac:dyDescent="0.35">
      <c r="A85" s="1">
        <f>Data!A85</f>
        <v>19694</v>
      </c>
      <c r="B85" s="2">
        <f>IF(Data!B85="","",Data!B85*100/Parametrar!B4)</f>
        <v>10.961933086108493</v>
      </c>
      <c r="C85" s="2">
        <f>IF(Data!C85="","",Data!C85*100/Parametrar!B5)</f>
        <v>18.22990151915846</v>
      </c>
    </row>
    <row r="86" spans="1:3" x14ac:dyDescent="0.35">
      <c r="A86" s="1">
        <f>Data!A86</f>
        <v>19725</v>
      </c>
      <c r="B86" s="2">
        <f>IF(Data!B86="","",Data!B86*100/Parametrar!B4)</f>
        <v>10.99049041085831</v>
      </c>
      <c r="C86" s="2">
        <f>IF(Data!C86="","",Data!C86*100/Parametrar!B5)</f>
        <v>18.095301507941794</v>
      </c>
    </row>
    <row r="87" spans="1:3" x14ac:dyDescent="0.35">
      <c r="A87" s="1">
        <f>Data!A87</f>
        <v>19756</v>
      </c>
      <c r="B87" s="2">
        <f>IF(Data!B87="","",Data!B87*100/Parametrar!B4)</f>
        <v>11.010888499965322</v>
      </c>
      <c r="C87" s="2">
        <f>IF(Data!C87="","",Data!C87*100/Parametrar!B5)</f>
        <v>18.149201512433457</v>
      </c>
    </row>
    <row r="88" spans="1:3" x14ac:dyDescent="0.35">
      <c r="A88" s="1">
        <f>Data!A88</f>
        <v>19784</v>
      </c>
      <c r="B88" s="2">
        <f>IF(Data!B88="","",Data!B88*100/Parametrar!B4)</f>
        <v>10.986410793036908</v>
      </c>
      <c r="C88" s="2">
        <f>IF(Data!C88="","",Data!C88*100/Parametrar!B5)</f>
        <v>18.041401503450121</v>
      </c>
    </row>
    <row r="89" spans="1:3" x14ac:dyDescent="0.35">
      <c r="A89" s="1">
        <f>Data!A89</f>
        <v>19815</v>
      </c>
      <c r="B89" s="2">
        <f>IF(Data!B89="","",Data!B89*100/Parametrar!B4)</f>
        <v>10.957853468287091</v>
      </c>
      <c r="C89" s="2">
        <f>IF(Data!C89="","",Data!C89*100/Parametrar!B5)</f>
        <v>17.933701494475123</v>
      </c>
    </row>
    <row r="90" spans="1:3" x14ac:dyDescent="0.35">
      <c r="A90" s="1">
        <f>Data!A90</f>
        <v>19845</v>
      </c>
      <c r="B90" s="2">
        <f>IF(Data!B90="","",Data!B90*100/Parametrar!B4)</f>
        <v>10.986410793036908</v>
      </c>
      <c r="C90" s="2">
        <f>IF(Data!C90="","",Data!C90*100/Parametrar!B5)</f>
        <v>18.041401503450121</v>
      </c>
    </row>
    <row r="91" spans="1:3" x14ac:dyDescent="0.35">
      <c r="A91" s="1">
        <f>Data!A91</f>
        <v>19876</v>
      </c>
      <c r="B91" s="2">
        <f>IF(Data!B91="","",Data!B91*100/Parametrar!B4)</f>
        <v>10.99049041085831</v>
      </c>
      <c r="C91" s="2">
        <f>IF(Data!C91="","",Data!C91*100/Parametrar!B5)</f>
        <v>18.095301507941794</v>
      </c>
    </row>
    <row r="92" spans="1:3" x14ac:dyDescent="0.35">
      <c r="A92" s="1">
        <f>Data!A92</f>
        <v>19906</v>
      </c>
      <c r="B92" s="2">
        <f>IF(Data!B92="","",Data!B92*100/Parametrar!B4)</f>
        <v>10.957853468287091</v>
      </c>
      <c r="C92" s="2">
        <f>IF(Data!C92="","",Data!C92*100/Parametrar!B5)</f>
        <v>18.122201510183459</v>
      </c>
    </row>
    <row r="93" spans="1:3" x14ac:dyDescent="0.35">
      <c r="A93" s="1">
        <f>Data!A93</f>
        <v>19937</v>
      </c>
      <c r="B93" s="2">
        <f>IF(Data!B93="","",Data!B93*100/Parametrar!B4)</f>
        <v>10.953773850465687</v>
      </c>
      <c r="C93" s="2">
        <f>IF(Data!C93="","",Data!C93*100/Parametrar!B5)</f>
        <v>18.095301507941794</v>
      </c>
    </row>
    <row r="94" spans="1:3" x14ac:dyDescent="0.35">
      <c r="A94" s="1">
        <f>Data!A94</f>
        <v>19968</v>
      </c>
      <c r="B94" s="2">
        <f>IF(Data!B94="","",Data!B94*100/Parametrar!B4)</f>
        <v>10.937455379180077</v>
      </c>
      <c r="C94" s="2">
        <f>IF(Data!C94="","",Data!C94*100/Parametrar!B5)</f>
        <v>18.122201510183459</v>
      </c>
    </row>
    <row r="95" spans="1:3" x14ac:dyDescent="0.35">
      <c r="A95" s="1">
        <f>Data!A95</f>
        <v>19998</v>
      </c>
      <c r="B95" s="2">
        <f>IF(Data!B95="","",Data!B95*100/Parametrar!B4)</f>
        <v>10.900738818787456</v>
      </c>
      <c r="C95" s="2">
        <f>IF(Data!C95="","",Data!C95*100/Parametrar!B5)</f>
        <v>18.337701528141796</v>
      </c>
    </row>
    <row r="96" spans="1:3" x14ac:dyDescent="0.35">
      <c r="A96" s="1">
        <f>Data!A96</f>
        <v>20029</v>
      </c>
      <c r="B96" s="2">
        <f>IF(Data!B96="","",Data!B96*100/Parametrar!B4)</f>
        <v>10.92521652571587</v>
      </c>
      <c r="C96" s="2">
        <f>IF(Data!C96="","",Data!C96*100/Parametrar!B5)</f>
        <v>18.633801552816795</v>
      </c>
    </row>
    <row r="97" spans="1:3" x14ac:dyDescent="0.35">
      <c r="A97" s="1">
        <f>Data!A97</f>
        <v>20059</v>
      </c>
      <c r="B97" s="2">
        <f>IF(Data!B97="","",Data!B97*100/Parametrar!B4)</f>
        <v>10.921136907894468</v>
      </c>
      <c r="C97" s="2">
        <f>IF(Data!C97="","",Data!C97*100/Parametrar!B5)</f>
        <v>18.876201573016797</v>
      </c>
    </row>
    <row r="98" spans="1:3" x14ac:dyDescent="0.35">
      <c r="A98" s="1">
        <f>Data!A98</f>
        <v>20090</v>
      </c>
      <c r="B98" s="2">
        <f>IF(Data!B98="","",Data!B98*100/Parametrar!B4)</f>
        <v>10.921136907894468</v>
      </c>
      <c r="C98" s="2">
        <f>IF(Data!C98="","",Data!C98*100/Parametrar!B5)</f>
        <v>19.307001608916799</v>
      </c>
    </row>
    <row r="99" spans="1:3" x14ac:dyDescent="0.35">
      <c r="A99" s="1">
        <f>Data!A99</f>
        <v>20121</v>
      </c>
      <c r="B99" s="2">
        <f>IF(Data!B99="","",Data!B99*100/Parametrar!B4)</f>
        <v>10.941534997001481</v>
      </c>
      <c r="C99" s="2">
        <f>IF(Data!C99="","",Data!C99*100/Parametrar!B5)</f>
        <v>19.549401629116801</v>
      </c>
    </row>
    <row r="100" spans="1:3" x14ac:dyDescent="0.35">
      <c r="A100" s="1">
        <f>Data!A100</f>
        <v>20149</v>
      </c>
      <c r="B100" s="2">
        <f>IF(Data!B100="","",Data!B100*100/Parametrar!B4)</f>
        <v>10.929296143537274</v>
      </c>
      <c r="C100" s="2">
        <f>IF(Data!C100="","",Data!C100*100/Parametrar!B5)</f>
        <v>20.007101667258471</v>
      </c>
    </row>
    <row r="101" spans="1:3" x14ac:dyDescent="0.35">
      <c r="A101" s="1">
        <f>Data!A101</f>
        <v>20180</v>
      </c>
      <c r="B101" s="2">
        <f>IF(Data!B101="","",Data!B101*100/Parametrar!B4)</f>
        <v>10.929296143537274</v>
      </c>
      <c r="C101" s="2">
        <f>IF(Data!C101="","",Data!C101*100/Parametrar!B5)</f>
        <v>20.249501687458473</v>
      </c>
    </row>
    <row r="102" spans="1:3" x14ac:dyDescent="0.35">
      <c r="A102" s="1">
        <f>Data!A102</f>
        <v>20210</v>
      </c>
      <c r="B102" s="2">
        <f>IF(Data!B102="","",Data!B102*100/Parametrar!B4)</f>
        <v>10.921136907894468</v>
      </c>
      <c r="C102" s="2">
        <f>IF(Data!C102="","",Data!C102*100/Parametrar!B5)</f>
        <v>20.572601714383477</v>
      </c>
    </row>
    <row r="103" spans="1:3" x14ac:dyDescent="0.35">
      <c r="A103" s="1">
        <f>Data!A103</f>
        <v>20241</v>
      </c>
      <c r="B103" s="2">
        <f>IF(Data!B103="","",Data!B103*100/Parametrar!B4)</f>
        <v>10.896659200966052</v>
      </c>
      <c r="C103" s="2">
        <f>IF(Data!C103="","",Data!C103*100/Parametrar!B5)</f>
        <v>20.599601716633476</v>
      </c>
    </row>
    <row r="104" spans="1:3" x14ac:dyDescent="0.35">
      <c r="A104" s="1">
        <f>Data!A104</f>
        <v>20271</v>
      </c>
      <c r="B104" s="2">
        <f>IF(Data!B104="","",Data!B104*100/Parametrar!B4)</f>
        <v>10.917057290073066</v>
      </c>
      <c r="C104" s="2">
        <f>IF(Data!C104="","",Data!C104*100/Parametrar!B5)</f>
        <v>20.761101730091806</v>
      </c>
    </row>
    <row r="105" spans="1:3" x14ac:dyDescent="0.35">
      <c r="A105" s="1">
        <f>Data!A105</f>
        <v>20302</v>
      </c>
      <c r="B105" s="2">
        <f>IF(Data!B105="","",Data!B105*100/Parametrar!B4)</f>
        <v>10.900738818787456</v>
      </c>
      <c r="C105" s="2">
        <f>IF(Data!C105="","",Data!C105*100/Parametrar!B5)</f>
        <v>20.734201727850142</v>
      </c>
    </row>
    <row r="106" spans="1:3" x14ac:dyDescent="0.35">
      <c r="A106" s="1">
        <f>Data!A106</f>
        <v>20333</v>
      </c>
      <c r="B106" s="2">
        <f>IF(Data!B106="","",Data!B106*100/Parametrar!B4)</f>
        <v>10.953773850465687</v>
      </c>
      <c r="C106" s="2">
        <f>IF(Data!C106="","",Data!C106*100/Parametrar!B5)</f>
        <v>20.868801739066811</v>
      </c>
    </row>
    <row r="107" spans="1:3" x14ac:dyDescent="0.35">
      <c r="A107" s="1">
        <f>Data!A107</f>
        <v>20363</v>
      </c>
      <c r="B107" s="2">
        <f>IF(Data!B107="","",Data!B107*100/Parametrar!B4)</f>
        <v>10.941534997001481</v>
      </c>
      <c r="C107" s="2">
        <f>IF(Data!C107="","",Data!C107*100/Parametrar!B5)</f>
        <v>21.218901768241818</v>
      </c>
    </row>
    <row r="108" spans="1:3" x14ac:dyDescent="0.35">
      <c r="A108" s="1">
        <f>Data!A108</f>
        <v>20394</v>
      </c>
      <c r="B108" s="2">
        <f>IF(Data!B108="","",Data!B108*100/Parametrar!B4)</f>
        <v>10.966012703929895</v>
      </c>
      <c r="C108" s="2">
        <f>IF(Data!C108="","",Data!C108*100/Parametrar!B5)</f>
        <v>21.272701772725146</v>
      </c>
    </row>
    <row r="109" spans="1:3" x14ac:dyDescent="0.35">
      <c r="A109" s="1">
        <f>Data!A109</f>
        <v>20424</v>
      </c>
      <c r="B109" s="2">
        <f>IF(Data!B109="","",Data!B109*100/Parametrar!B4)</f>
        <v>10.961933086108493</v>
      </c>
      <c r="C109" s="2">
        <f>IF(Data!C109="","",Data!C109*100/Parametrar!B5)</f>
        <v>21.35350177945848</v>
      </c>
    </row>
    <row r="110" spans="1:3" x14ac:dyDescent="0.35">
      <c r="A110" s="1">
        <f>Data!A110</f>
        <v>20455</v>
      </c>
      <c r="B110" s="2">
        <f>IF(Data!B110="","",Data!B110*100/Parametrar!B4)</f>
        <v>10.945614614822883</v>
      </c>
      <c r="C110" s="2">
        <f>IF(Data!C110="","",Data!C110*100/Parametrar!B5)</f>
        <v>21.48820179068348</v>
      </c>
    </row>
    <row r="111" spans="1:3" x14ac:dyDescent="0.35">
      <c r="A111" s="1">
        <f>Data!A111</f>
        <v>20486</v>
      </c>
      <c r="B111" s="2">
        <f>IF(Data!B111="","",Data!B111*100/Parametrar!B4)</f>
        <v>10.957853468287091</v>
      </c>
      <c r="C111" s="2">
        <f>IF(Data!C111="","",Data!C111*100/Parametrar!B5)</f>
        <v>21.299701774975148</v>
      </c>
    </row>
    <row r="112" spans="1:3" x14ac:dyDescent="0.35">
      <c r="A112" s="1">
        <f>Data!A112</f>
        <v>20515</v>
      </c>
      <c r="B112" s="2">
        <f>IF(Data!B112="","",Data!B112*100/Parametrar!B4)</f>
        <v>10.970092321751299</v>
      </c>
      <c r="C112" s="2">
        <f>IF(Data!C112="","",Data!C112*100/Parametrar!B5)</f>
        <v>21.299701774975148</v>
      </c>
    </row>
    <row r="113" spans="1:3" x14ac:dyDescent="0.35">
      <c r="A113" s="1">
        <f>Data!A113</f>
        <v>20546</v>
      </c>
      <c r="B113" s="2">
        <f>IF(Data!B113="","",Data!B113*100/Parametrar!B4)</f>
        <v>10.986410793036908</v>
      </c>
      <c r="C113" s="2">
        <f>IF(Data!C113="","",Data!C113*100/Parametrar!B5)</f>
        <v>21.461201788433485</v>
      </c>
    </row>
    <row r="114" spans="1:3" x14ac:dyDescent="0.35">
      <c r="A114" s="1">
        <f>Data!A114</f>
        <v>20576</v>
      </c>
      <c r="B114" s="2">
        <f>IF(Data!B114="","",Data!B114*100/Parametrar!B4)</f>
        <v>11.027206971250934</v>
      </c>
      <c r="C114" s="2">
        <f>IF(Data!C114="","",Data!C114*100/Parametrar!B5)</f>
        <v>21.27280177273348</v>
      </c>
    </row>
    <row r="115" spans="1:3" x14ac:dyDescent="0.35">
      <c r="A115" s="1">
        <f>Data!A115</f>
        <v>20607</v>
      </c>
      <c r="B115" s="2">
        <f>IF(Data!B115="","",Data!B115*100/Parametrar!B4)</f>
        <v>11.076162385107763</v>
      </c>
      <c r="C115" s="2">
        <f>IF(Data!C115="","",Data!C115*100/Parametrar!B5)</f>
        <v>21.084301757025145</v>
      </c>
    </row>
    <row r="116" spans="1:3" x14ac:dyDescent="0.35">
      <c r="A116" s="1">
        <f>Data!A116</f>
        <v>20637</v>
      </c>
      <c r="B116" s="2">
        <f>IF(Data!B116="","",Data!B116*100/Parametrar!B4)</f>
        <v>11.133277034607397</v>
      </c>
      <c r="C116" s="2">
        <f>IF(Data!C116="","",Data!C116*100/Parametrar!B5)</f>
        <v>20.438001703166808</v>
      </c>
    </row>
    <row r="117" spans="1:3" x14ac:dyDescent="0.35">
      <c r="A117" s="1">
        <f>Data!A117</f>
        <v>20668</v>
      </c>
      <c r="B117" s="2">
        <f>IF(Data!B117="","",Data!B117*100/Parametrar!B4)</f>
        <v>11.141436270250203</v>
      </c>
      <c r="C117" s="2">
        <f>IF(Data!C117="","",Data!C117*100/Parametrar!B5)</f>
        <v>21.272701772725146</v>
      </c>
    </row>
    <row r="118" spans="1:3" x14ac:dyDescent="0.35">
      <c r="A118" s="1">
        <f>Data!A118</f>
        <v>20699</v>
      </c>
      <c r="B118" s="2">
        <f>IF(Data!B118="","",Data!B118*100/Parametrar!B4)</f>
        <v>11.157754741535813</v>
      </c>
      <c r="C118" s="2">
        <f>IF(Data!C118="","",Data!C118*100/Parametrar!B5)</f>
        <v>21.757401813116818</v>
      </c>
    </row>
    <row r="119" spans="1:3" x14ac:dyDescent="0.35">
      <c r="A119" s="1">
        <f>Data!A119</f>
        <v>20729</v>
      </c>
      <c r="B119" s="2">
        <f>IF(Data!B119="","",Data!B119*100/Parametrar!B4)</f>
        <v>11.223028626678252</v>
      </c>
      <c r="C119" s="2">
        <f>IF(Data!C119="","",Data!C119*100/Parametrar!B5)</f>
        <v>21.945901828825154</v>
      </c>
    </row>
    <row r="120" spans="1:3" x14ac:dyDescent="0.35">
      <c r="A120" s="1">
        <f>Data!A120</f>
        <v>20760</v>
      </c>
      <c r="B120" s="2">
        <f>IF(Data!B120="","",Data!B120*100/Parametrar!B4)</f>
        <v>11.223028626678252</v>
      </c>
      <c r="C120" s="2">
        <f>IF(Data!C120="","",Data!C120*100/Parametrar!B5)</f>
        <v>21.757401813116818</v>
      </c>
    </row>
    <row r="121" spans="1:3" x14ac:dyDescent="0.35">
      <c r="A121" s="1">
        <f>Data!A121</f>
        <v>20790</v>
      </c>
      <c r="B121" s="2">
        <f>IF(Data!B121="","",Data!B121*100/Parametrar!B4)</f>
        <v>11.271984040535083</v>
      </c>
      <c r="C121" s="2">
        <f>IF(Data!C121="","",Data!C121*100/Parametrar!B5)</f>
        <v>22.08060184005015</v>
      </c>
    </row>
    <row r="122" spans="1:3" x14ac:dyDescent="0.35">
      <c r="A122" s="1">
        <f>Data!A122</f>
        <v>20821</v>
      </c>
      <c r="B122" s="2">
        <f>IF(Data!B122="","",Data!B122*100/Parametrar!B4)</f>
        <v>11.288302511820692</v>
      </c>
      <c r="C122" s="2">
        <f>IF(Data!C122="","",Data!C122*100/Parametrar!B5)</f>
        <v>21.99980183331682</v>
      </c>
    </row>
    <row r="123" spans="1:3" x14ac:dyDescent="0.35">
      <c r="A123" s="1">
        <f>Data!A123</f>
        <v>20852</v>
      </c>
      <c r="B123" s="2">
        <f>IF(Data!B123="","",Data!B123*100/Parametrar!B4)</f>
        <v>11.341337543498925</v>
      </c>
      <c r="C123" s="2">
        <f>IF(Data!C123="","",Data!C123*100/Parametrar!B5)</f>
        <v>22.215201851266819</v>
      </c>
    </row>
    <row r="124" spans="1:3" x14ac:dyDescent="0.35">
      <c r="A124" s="1">
        <f>Data!A124</f>
        <v>20880</v>
      </c>
      <c r="B124" s="2">
        <f>IF(Data!B124="","",Data!B124*100/Parametrar!B4)</f>
        <v>11.365815250427339</v>
      </c>
      <c r="C124" s="2">
        <f>IF(Data!C124="","",Data!C124*100/Parametrar!B5)</f>
        <v>22.188301849025155</v>
      </c>
    </row>
    <row r="125" spans="1:3" x14ac:dyDescent="0.35">
      <c r="A125" s="1">
        <f>Data!A125</f>
        <v>20911</v>
      </c>
      <c r="B125" s="2">
        <f>IF(Data!B125="","",Data!B125*100/Parametrar!B4)</f>
        <v>11.394372575177156</v>
      </c>
      <c r="C125" s="2">
        <f>IF(Data!C125="","",Data!C125*100/Parametrar!B5)</f>
        <v>21.892101824341818</v>
      </c>
    </row>
    <row r="126" spans="1:3" x14ac:dyDescent="0.35">
      <c r="A126" s="1">
        <f>Data!A126</f>
        <v>20941</v>
      </c>
      <c r="B126" s="2">
        <f>IF(Data!B126="","",Data!B126*100/Parametrar!B4)</f>
        <v>11.422929899926974</v>
      </c>
      <c r="C126" s="2">
        <f>IF(Data!C126="","",Data!C126*100/Parametrar!B5)</f>
        <v>21.811301817608484</v>
      </c>
    </row>
    <row r="127" spans="1:3" x14ac:dyDescent="0.35">
      <c r="A127" s="1">
        <f>Data!A127</f>
        <v>20972</v>
      </c>
      <c r="B127" s="2">
        <f>IF(Data!B127="","",Data!B127*100/Parametrar!B4)</f>
        <v>11.467805695962403</v>
      </c>
      <c r="C127" s="2">
        <f>IF(Data!C127="","",Data!C127*100/Parametrar!B5)</f>
        <v>21.865201822100151</v>
      </c>
    </row>
    <row r="128" spans="1:3" x14ac:dyDescent="0.35">
      <c r="A128" s="1">
        <f>Data!A128</f>
        <v>21002</v>
      </c>
      <c r="B128" s="2">
        <f>IF(Data!B128="","",Data!B128*100/Parametrar!B4)</f>
        <v>11.500442638533622</v>
      </c>
      <c r="C128" s="2">
        <f>IF(Data!C128="","",Data!C128*100/Parametrar!B5)</f>
        <v>21.99980183331682</v>
      </c>
    </row>
    <row r="129" spans="1:3" x14ac:dyDescent="0.35">
      <c r="A129" s="1">
        <f>Data!A129</f>
        <v>21033</v>
      </c>
      <c r="B129" s="2">
        <f>IF(Data!B129="","",Data!B129*100/Parametrar!B4)</f>
        <v>11.537159198926243</v>
      </c>
      <c r="C129" s="2">
        <f>IF(Data!C129="","",Data!C129*100/Parametrar!B5)</f>
        <v>21.99980183331682</v>
      </c>
    </row>
    <row r="130" spans="1:3" x14ac:dyDescent="0.35">
      <c r="A130" s="1">
        <f>Data!A130</f>
        <v>21064</v>
      </c>
      <c r="B130" s="2">
        <f>IF(Data!B130="","",Data!B130*100/Parametrar!B4)</f>
        <v>11.553477670211855</v>
      </c>
      <c r="C130" s="2">
        <f>IF(Data!C130="","",Data!C130*100/Parametrar!B5)</f>
        <v>21.811301817608484</v>
      </c>
    </row>
    <row r="131" spans="1:3" x14ac:dyDescent="0.35">
      <c r="A131" s="1">
        <f>Data!A131</f>
        <v>21094</v>
      </c>
      <c r="B131" s="2">
        <f>IF(Data!B131="","",Data!B131*100/Parametrar!B4)</f>
        <v>11.553477670211855</v>
      </c>
      <c r="C131" s="2">
        <f>IF(Data!C131="","",Data!C131*100/Parametrar!B5)</f>
        <v>21.48820179068348</v>
      </c>
    </row>
    <row r="132" spans="1:3" x14ac:dyDescent="0.35">
      <c r="A132" s="1">
        <f>Data!A132</f>
        <v>21125</v>
      </c>
      <c r="B132" s="2">
        <f>IF(Data!B132="","",Data!B132*100/Parametrar!B4)</f>
        <v>11.590194230604476</v>
      </c>
      <c r="C132" s="2">
        <f>IF(Data!C132="","",Data!C132*100/Parametrar!B5)</f>
        <v>20.976501748041812</v>
      </c>
    </row>
    <row r="133" spans="1:3" x14ac:dyDescent="0.35">
      <c r="A133" s="1">
        <f>Data!A133</f>
        <v>21155</v>
      </c>
      <c r="B133" s="2">
        <f>IF(Data!B133="","",Data!B133*100/Parametrar!B4)</f>
        <v>11.614671937532892</v>
      </c>
      <c r="C133" s="2">
        <f>IF(Data!C133="","",Data!C133*100/Parametrar!B5)</f>
        <v>20.572601714383477</v>
      </c>
    </row>
    <row r="134" spans="1:3" x14ac:dyDescent="0.35">
      <c r="A134" s="1">
        <f>Data!A134</f>
        <v>21186</v>
      </c>
      <c r="B134" s="2">
        <f>IF(Data!B134="","",Data!B134*100/Parametrar!B4)</f>
        <v>11.684025440496734</v>
      </c>
      <c r="C134" s="2">
        <f>IF(Data!C134="","",Data!C134*100/Parametrar!B5)</f>
        <v>20.195601682966807</v>
      </c>
    </row>
    <row r="135" spans="1:3" x14ac:dyDescent="0.35">
      <c r="A135" s="1">
        <f>Data!A135</f>
        <v>21217</v>
      </c>
      <c r="B135" s="2">
        <f>IF(Data!B135="","",Data!B135*100/Parametrar!B4)</f>
        <v>11.708503147425148</v>
      </c>
      <c r="C135" s="2">
        <f>IF(Data!C135="","",Data!C135*100/Parametrar!B5)</f>
        <v>19.764801647066804</v>
      </c>
    </row>
    <row r="136" spans="1:3" x14ac:dyDescent="0.35">
      <c r="A136" s="1">
        <f>Data!A136</f>
        <v>21245</v>
      </c>
      <c r="B136" s="2">
        <f>IF(Data!B136="","",Data!B136*100/Parametrar!B4)</f>
        <v>11.777856650388991</v>
      </c>
      <c r="C136" s="2">
        <f>IF(Data!C136="","",Data!C136*100/Parametrar!B5)</f>
        <v>19.522501626875133</v>
      </c>
    </row>
    <row r="137" spans="1:3" x14ac:dyDescent="0.35">
      <c r="A137" s="1">
        <f>Data!A137</f>
        <v>21276</v>
      </c>
      <c r="B137" s="2">
        <f>IF(Data!B137="","",Data!B137*100/Parametrar!B4)</f>
        <v>11.806413975138808</v>
      </c>
      <c r="C137" s="2">
        <f>IF(Data!C137="","",Data!C137*100/Parametrar!B5)</f>
        <v>19.199301599941798</v>
      </c>
    </row>
    <row r="138" spans="1:3" x14ac:dyDescent="0.35">
      <c r="A138" s="1">
        <f>Data!A138</f>
        <v>21306</v>
      </c>
      <c r="B138" s="2">
        <f>IF(Data!B138="","",Data!B138*100/Parametrar!B4)</f>
        <v>11.806413975138808</v>
      </c>
      <c r="C138" s="2">
        <f>IF(Data!C138="","",Data!C138*100/Parametrar!B5)</f>
        <v>19.38780161565013</v>
      </c>
    </row>
    <row r="139" spans="1:3" x14ac:dyDescent="0.35">
      <c r="A139" s="1">
        <f>Data!A139</f>
        <v>21337</v>
      </c>
      <c r="B139" s="2">
        <f>IF(Data!B139="","",Data!B139*100/Parametrar!B4)</f>
        <v>11.7941751216746</v>
      </c>
      <c r="C139" s="2">
        <f>IF(Data!C139="","",Data!C139*100/Parametrar!B5)</f>
        <v>19.89940165828347</v>
      </c>
    </row>
    <row r="140" spans="1:3" x14ac:dyDescent="0.35">
      <c r="A140" s="1">
        <f>Data!A140</f>
        <v>21367</v>
      </c>
      <c r="B140" s="2">
        <f>IF(Data!B140="","",Data!B140*100/Parametrar!B4)</f>
        <v>11.786015886031796</v>
      </c>
      <c r="C140" s="2">
        <f>IF(Data!C140="","",Data!C140*100/Parametrar!B5)</f>
        <v>20.195601682966807</v>
      </c>
    </row>
    <row r="141" spans="1:3" x14ac:dyDescent="0.35">
      <c r="A141" s="1">
        <f>Data!A141</f>
        <v>21398</v>
      </c>
      <c r="B141" s="2">
        <f>IF(Data!B141="","",Data!B141*100/Parametrar!B4)</f>
        <v>11.806413975138808</v>
      </c>
      <c r="C141" s="2">
        <f>IF(Data!C141="","",Data!C141*100/Parametrar!B5)</f>
        <v>20.599501716625142</v>
      </c>
    </row>
    <row r="142" spans="1:3" x14ac:dyDescent="0.35">
      <c r="A142" s="1">
        <f>Data!A142</f>
        <v>21429</v>
      </c>
      <c r="B142" s="2">
        <f>IF(Data!B142="","",Data!B142*100/Parametrar!B4)</f>
        <v>11.7941751216746</v>
      </c>
      <c r="C142" s="2">
        <f>IF(Data!C142="","",Data!C142*100/Parametrar!B5)</f>
        <v>20.788101732341808</v>
      </c>
    </row>
    <row r="143" spans="1:3" x14ac:dyDescent="0.35">
      <c r="A143" s="1">
        <f>Data!A143</f>
        <v>21459</v>
      </c>
      <c r="B143" s="2">
        <f>IF(Data!B143="","",Data!B143*100/Parametrar!B4)</f>
        <v>11.7941751216746</v>
      </c>
      <c r="C143" s="2">
        <f>IF(Data!C143="","",Data!C143*100/Parametrar!B5)</f>
        <v>21.030401752533479</v>
      </c>
    </row>
    <row r="144" spans="1:3" x14ac:dyDescent="0.35">
      <c r="A144" s="1">
        <f>Data!A144</f>
        <v>21490</v>
      </c>
      <c r="B144" s="2">
        <f>IF(Data!B144="","",Data!B144*100/Parametrar!B4)</f>
        <v>11.810493592960212</v>
      </c>
      <c r="C144" s="2">
        <f>IF(Data!C144="","",Data!C144*100/Parametrar!B5)</f>
        <v>21.649701804141813</v>
      </c>
    </row>
    <row r="145" spans="1:3" x14ac:dyDescent="0.35">
      <c r="A145" s="1">
        <f>Data!A145</f>
        <v>21520</v>
      </c>
      <c r="B145" s="2">
        <f>IF(Data!B145="","",Data!B145*100/Parametrar!B4)</f>
        <v>11.818652828603016</v>
      </c>
      <c r="C145" s="2">
        <f>IF(Data!C145="","",Data!C145*100/Parametrar!B5)</f>
        <v>21.676701806391815</v>
      </c>
    </row>
    <row r="146" spans="1:3" x14ac:dyDescent="0.35">
      <c r="A146" s="1">
        <f>Data!A146</f>
        <v>21551</v>
      </c>
      <c r="B146" s="2">
        <f>IF(Data!B146="","",Data!B146*100/Parametrar!B4)</f>
        <v>11.834971299888625</v>
      </c>
      <c r="C146" s="2">
        <f>IF(Data!C146="","",Data!C146*100/Parametrar!B5)</f>
        <v>21.99980183331682</v>
      </c>
    </row>
    <row r="147" spans="1:3" x14ac:dyDescent="0.35">
      <c r="A147" s="1">
        <f>Data!A147</f>
        <v>21582</v>
      </c>
      <c r="B147" s="2">
        <f>IF(Data!B147="","",Data!B147*100/Parametrar!B4)</f>
        <v>11.830891682067223</v>
      </c>
      <c r="C147" s="2">
        <f>IF(Data!C147="","",Data!C147*100/Parametrar!B5)</f>
        <v>22.430601869216819</v>
      </c>
    </row>
    <row r="148" spans="1:3" x14ac:dyDescent="0.35">
      <c r="A148" s="1">
        <f>Data!A148</f>
        <v>21610</v>
      </c>
      <c r="B148" s="2">
        <f>IF(Data!B148="","",Data!B148*100/Parametrar!B4)</f>
        <v>11.818652828603016</v>
      </c>
      <c r="C148" s="2">
        <f>IF(Data!C148="","",Data!C148*100/Parametrar!B5)</f>
        <v>22.753801896150154</v>
      </c>
    </row>
    <row r="149" spans="1:3" x14ac:dyDescent="0.35">
      <c r="A149" s="1">
        <f>Data!A149</f>
        <v>21641</v>
      </c>
      <c r="B149" s="2">
        <f>IF(Data!B149="","",Data!B149*100/Parametrar!B4)</f>
        <v>11.822732446424418</v>
      </c>
      <c r="C149" s="2">
        <f>IF(Data!C149="","",Data!C149*100/Parametrar!B5)</f>
        <v>23.238401936533489</v>
      </c>
    </row>
    <row r="150" spans="1:3" x14ac:dyDescent="0.35">
      <c r="A150" s="1">
        <f>Data!A150</f>
        <v>21671</v>
      </c>
      <c r="B150" s="2">
        <f>IF(Data!B150="","",Data!B150*100/Parametrar!B4)</f>
        <v>11.847210153352833</v>
      </c>
      <c r="C150" s="2">
        <f>IF(Data!C150="","",Data!C150*100/Parametrar!B5)</f>
        <v>23.588501965708495</v>
      </c>
    </row>
    <row r="151" spans="1:3" x14ac:dyDescent="0.35">
      <c r="A151" s="1">
        <f>Data!A151</f>
        <v>21702</v>
      </c>
      <c r="B151" s="2">
        <f>IF(Data!B151="","",Data!B151*100/Parametrar!B4)</f>
        <v>11.875767478102651</v>
      </c>
      <c r="C151" s="2">
        <f>IF(Data!C151="","",Data!C151*100/Parametrar!B5)</f>
        <v>23.615501967958497</v>
      </c>
    </row>
    <row r="152" spans="1:3" x14ac:dyDescent="0.35">
      <c r="A152" s="1">
        <f>Data!A152</f>
        <v>21732</v>
      </c>
      <c r="B152" s="2">
        <f>IF(Data!B152="","",Data!B152*100/Parametrar!B4)</f>
        <v>11.89208594938826</v>
      </c>
      <c r="C152" s="2">
        <f>IF(Data!C152="","",Data!C152*100/Parametrar!B5)</f>
        <v>23.050001920833491</v>
      </c>
    </row>
    <row r="153" spans="1:3" x14ac:dyDescent="0.35">
      <c r="A153" s="1">
        <f>Data!A153</f>
        <v>21763</v>
      </c>
      <c r="B153" s="2">
        <f>IF(Data!B153="","",Data!B153*100/Parametrar!B4)</f>
        <v>11.904324802852468</v>
      </c>
      <c r="C153" s="2">
        <f>IF(Data!C153="","",Data!C153*100/Parametrar!B5)</f>
        <v>22.269101855758489</v>
      </c>
    </row>
    <row r="154" spans="1:3" x14ac:dyDescent="0.35">
      <c r="A154" s="1">
        <f>Data!A154</f>
        <v>21794</v>
      </c>
      <c r="B154" s="2">
        <f>IF(Data!B154="","",Data!B154*100/Parametrar!B4)</f>
        <v>11.932882127602285</v>
      </c>
      <c r="C154" s="2">
        <f>IF(Data!C154="","",Data!C154*100/Parametrar!B5)</f>
        <v>22.242101853508487</v>
      </c>
    </row>
    <row r="155" spans="1:3" x14ac:dyDescent="0.35">
      <c r="A155" s="1">
        <f>Data!A155</f>
        <v>21824</v>
      </c>
      <c r="B155" s="2">
        <f>IF(Data!B155="","",Data!B155*100/Parametrar!B4)</f>
        <v>11.973678305816311</v>
      </c>
      <c r="C155" s="2">
        <f>IF(Data!C155="","",Data!C155*100/Parametrar!B5)</f>
        <v>22.08060184005015</v>
      </c>
    </row>
    <row r="156" spans="1:3" x14ac:dyDescent="0.35">
      <c r="A156" s="1">
        <f>Data!A156</f>
        <v>21855</v>
      </c>
      <c r="B156" s="2">
        <f>IF(Data!B156="","",Data!B156*100/Parametrar!B4)</f>
        <v>11.973678305816311</v>
      </c>
      <c r="C156" s="2">
        <f>IF(Data!C156="","",Data!C156*100/Parametrar!B5)</f>
        <v>22.215201851266819</v>
      </c>
    </row>
    <row r="157" spans="1:3" x14ac:dyDescent="0.35">
      <c r="A157" s="1">
        <f>Data!A157</f>
        <v>21885</v>
      </c>
      <c r="B157" s="2">
        <f>IF(Data!B157="","",Data!B157*100/Parametrar!B4)</f>
        <v>11.998156012744726</v>
      </c>
      <c r="C157" s="2">
        <f>IF(Data!C157="","",Data!C157*100/Parametrar!B5)</f>
        <v>23.588501965708495</v>
      </c>
    </row>
    <row r="158" spans="1:3" x14ac:dyDescent="0.35">
      <c r="A158" s="1">
        <f>Data!A158</f>
        <v>21916</v>
      </c>
      <c r="B158" s="2">
        <f>IF(Data!B158="","",Data!B158*100/Parametrar!B4)</f>
        <v>11.981837541459116</v>
      </c>
      <c r="C158" s="2">
        <f>IF(Data!C158="","",Data!C158*100/Parametrar!B5)</f>
        <v>24.20780201731683</v>
      </c>
    </row>
    <row r="159" spans="1:3" x14ac:dyDescent="0.35">
      <c r="A159" s="1">
        <f>Data!A159</f>
        <v>21947</v>
      </c>
      <c r="B159" s="2">
        <f>IF(Data!B159="","",Data!B159*100/Parametrar!B4)</f>
        <v>11.998156012744726</v>
      </c>
      <c r="C159" s="2">
        <f>IF(Data!C159="","",Data!C159*100/Parametrar!B5)</f>
        <v>23.99240199936683</v>
      </c>
    </row>
    <row r="160" spans="1:3" x14ac:dyDescent="0.35">
      <c r="A160" s="1">
        <f>Data!A160</f>
        <v>21976</v>
      </c>
      <c r="B160" s="2">
        <f>IF(Data!B160="","",Data!B160*100/Parametrar!B4)</f>
        <v>11.998156012744726</v>
      </c>
      <c r="C160" s="2">
        <f>IF(Data!C160="","",Data!C160*100/Parametrar!B5)</f>
        <v>23.777001981416834</v>
      </c>
    </row>
    <row r="161" spans="1:3" x14ac:dyDescent="0.35">
      <c r="A161" s="1">
        <f>Data!A161</f>
        <v>22007</v>
      </c>
      <c r="B161" s="2">
        <f>IF(Data!B161="","",Data!B161*100/Parametrar!B4)</f>
        <v>12.051191044422959</v>
      </c>
      <c r="C161" s="2">
        <f>IF(Data!C161="","",Data!C161*100/Parametrar!B5)</f>
        <v>23.588501965708495</v>
      </c>
    </row>
    <row r="162" spans="1:3" x14ac:dyDescent="0.35">
      <c r="A162" s="1">
        <f>Data!A162</f>
        <v>22037</v>
      </c>
      <c r="B162" s="2">
        <f>IF(Data!B162="","",Data!B162*100/Parametrar!B4)</f>
        <v>12.063429897887165</v>
      </c>
      <c r="C162" s="2">
        <f>IF(Data!C162="","",Data!C162*100/Parametrar!B5)</f>
        <v>23.561601963466828</v>
      </c>
    </row>
    <row r="163" spans="1:3" x14ac:dyDescent="0.35">
      <c r="A163" s="1">
        <f>Data!A163</f>
        <v>22068</v>
      </c>
      <c r="B163" s="2">
        <f>IF(Data!B163="","",Data!B163*100/Parametrar!B4)</f>
        <v>12.079748369172776</v>
      </c>
      <c r="C163" s="2">
        <f>IF(Data!C163="","",Data!C163*100/Parametrar!B5)</f>
        <v>23.265401938783494</v>
      </c>
    </row>
    <row r="164" spans="1:3" x14ac:dyDescent="0.35">
      <c r="A164" s="1">
        <f>Data!A164</f>
        <v>22098</v>
      </c>
      <c r="B164" s="2">
        <f>IF(Data!B164="","",Data!B164*100/Parametrar!B4)</f>
        <v>12.055270662244361</v>
      </c>
      <c r="C164" s="2">
        <f>IF(Data!C164="","",Data!C164*100/Parametrar!B5)</f>
        <v>23.18460193205016</v>
      </c>
    </row>
    <row r="165" spans="1:3" x14ac:dyDescent="0.35">
      <c r="A165" s="1">
        <f>Data!A165</f>
        <v>22129</v>
      </c>
      <c r="B165" s="2">
        <f>IF(Data!B165="","",Data!B165*100/Parametrar!B4)</f>
        <v>12.079748369172776</v>
      </c>
      <c r="C165" s="2">
        <f>IF(Data!C165="","",Data!C165*100/Parametrar!B5)</f>
        <v>23.157701929808493</v>
      </c>
    </row>
    <row r="166" spans="1:3" x14ac:dyDescent="0.35">
      <c r="A166" s="1">
        <f>Data!A166</f>
        <v>22160</v>
      </c>
      <c r="B166" s="2">
        <f>IF(Data!B166="","",Data!B166*100/Parametrar!B4)</f>
        <v>12.079748369172776</v>
      </c>
      <c r="C166" s="2">
        <f>IF(Data!C166="","",Data!C166*100/Parametrar!B5)</f>
        <v>22.915301909608488</v>
      </c>
    </row>
    <row r="167" spans="1:3" x14ac:dyDescent="0.35">
      <c r="A167" s="1">
        <f>Data!A167</f>
        <v>22190</v>
      </c>
      <c r="B167" s="2">
        <f>IF(Data!B167="","",Data!B167*100/Parametrar!B4)</f>
        <v>12.136863018672411</v>
      </c>
      <c r="C167" s="2">
        <f>IF(Data!C167="","",Data!C167*100/Parametrar!B5)</f>
        <v>22.888401907366827</v>
      </c>
    </row>
    <row r="168" spans="1:3" x14ac:dyDescent="0.35">
      <c r="A168" s="1">
        <f>Data!A168</f>
        <v>22221</v>
      </c>
      <c r="B168" s="2">
        <f>IF(Data!B168="","",Data!B168*100/Parametrar!B4)</f>
        <v>12.149101872136617</v>
      </c>
      <c r="C168" s="2">
        <f>IF(Data!C168="","",Data!C168*100/Parametrar!B5)</f>
        <v>22.565301880441822</v>
      </c>
    </row>
    <row r="169" spans="1:3" x14ac:dyDescent="0.35">
      <c r="A169" s="1">
        <f>Data!A169</f>
        <v>22251</v>
      </c>
      <c r="B169" s="2">
        <f>IF(Data!B169="","",Data!B169*100/Parametrar!B4)</f>
        <v>12.161340725600825</v>
      </c>
      <c r="C169" s="2">
        <f>IF(Data!C169="","",Data!C169*100/Parametrar!B5)</f>
        <v>22.134401844533485</v>
      </c>
    </row>
    <row r="170" spans="1:3" x14ac:dyDescent="0.35">
      <c r="A170" s="1">
        <f>Data!A170</f>
        <v>22282</v>
      </c>
      <c r="B170" s="2">
        <f>IF(Data!B170="","",Data!B170*100/Parametrar!B4)</f>
        <v>12.173579579065033</v>
      </c>
      <c r="C170" s="2">
        <f>IF(Data!C170="","",Data!C170*100/Parametrar!B5)</f>
        <v>22.161301846775153</v>
      </c>
    </row>
    <row r="171" spans="1:3" x14ac:dyDescent="0.35">
      <c r="A171" s="1">
        <f>Data!A171</f>
        <v>22313</v>
      </c>
      <c r="B171" s="2">
        <f>IF(Data!B171="","",Data!B171*100/Parametrar!B4)</f>
        <v>12.173579579065033</v>
      </c>
      <c r="C171" s="2">
        <f>IF(Data!C171="","",Data!C171*100/Parametrar!B5)</f>
        <v>22.134401844533485</v>
      </c>
    </row>
    <row r="172" spans="1:3" x14ac:dyDescent="0.35">
      <c r="A172" s="1">
        <f>Data!A172</f>
        <v>22341</v>
      </c>
      <c r="B172" s="2">
        <f>IF(Data!B172="","",Data!B172*100/Parametrar!B4)</f>
        <v>12.173579579065033</v>
      </c>
      <c r="C172" s="2">
        <f>IF(Data!C172="","",Data!C172*100/Parametrar!B5)</f>
        <v>22.269101855758489</v>
      </c>
    </row>
    <row r="173" spans="1:3" x14ac:dyDescent="0.35">
      <c r="A173" s="1">
        <f>Data!A173</f>
        <v>22372</v>
      </c>
      <c r="B173" s="2">
        <f>IF(Data!B173="","",Data!B173*100/Parametrar!B4)</f>
        <v>12.161340725600825</v>
      </c>
      <c r="C173" s="2">
        <f>IF(Data!C173="","",Data!C173*100/Parametrar!B5)</f>
        <v>22.726801893900159</v>
      </c>
    </row>
    <row r="174" spans="1:3" x14ac:dyDescent="0.35">
      <c r="A174" s="1">
        <f>Data!A174</f>
        <v>22402</v>
      </c>
      <c r="B174" s="2">
        <f>IF(Data!B174="","",Data!B174*100/Parametrar!B4)</f>
        <v>12.173579579065033</v>
      </c>
      <c r="C174" s="2">
        <f>IF(Data!C174="","",Data!C174*100/Parametrar!B5)</f>
        <v>23.076901923075159</v>
      </c>
    </row>
    <row r="175" spans="1:3" x14ac:dyDescent="0.35">
      <c r="A175" s="1">
        <f>Data!A175</f>
        <v>22433</v>
      </c>
      <c r="B175" s="2">
        <f>IF(Data!B175="","",Data!B175*100/Parametrar!B4)</f>
        <v>12.173579579065033</v>
      </c>
      <c r="C175" s="2">
        <f>IF(Data!C175="","",Data!C175*100/Parametrar!B5)</f>
        <v>23.40000195000016</v>
      </c>
    </row>
    <row r="176" spans="1:3" x14ac:dyDescent="0.35">
      <c r="A176" s="1">
        <f>Data!A176</f>
        <v>22463</v>
      </c>
      <c r="B176" s="2">
        <f>IF(Data!B176="","",Data!B176*100/Parametrar!B4)</f>
        <v>12.206216521636252</v>
      </c>
      <c r="C176" s="2">
        <f>IF(Data!C176="","",Data!C176*100/Parametrar!B5)</f>
        <v>23.669301972441829</v>
      </c>
    </row>
    <row r="177" spans="1:3" x14ac:dyDescent="0.35">
      <c r="A177" s="1">
        <f>Data!A177</f>
        <v>22494</v>
      </c>
      <c r="B177" s="2">
        <f>IF(Data!B177="","",Data!B177*100/Parametrar!B4)</f>
        <v>12.214375757279058</v>
      </c>
      <c r="C177" s="2">
        <f>IF(Data!C177="","",Data!C177*100/Parametrar!B5)</f>
        <v>23.884701990391829</v>
      </c>
    </row>
    <row r="178" spans="1:3" x14ac:dyDescent="0.35">
      <c r="A178" s="1">
        <f>Data!A178</f>
        <v>22525</v>
      </c>
      <c r="B178" s="2">
        <f>IF(Data!B178="","",Data!B178*100/Parametrar!B4)</f>
        <v>12.230694228564667</v>
      </c>
      <c r="C178" s="2">
        <f>IF(Data!C178="","",Data!C178*100/Parametrar!B5)</f>
        <v>23.857801988150165</v>
      </c>
    </row>
    <row r="179" spans="1:3" x14ac:dyDescent="0.35">
      <c r="A179" s="1">
        <f>Data!A179</f>
        <v>22555</v>
      </c>
      <c r="B179" s="2">
        <f>IF(Data!B179="","",Data!B179*100/Parametrar!B4)</f>
        <v>12.230694228564667</v>
      </c>
      <c r="C179" s="2">
        <f>IF(Data!C179="","",Data!C179*100/Parametrar!B5)</f>
        <v>24.315602026300166</v>
      </c>
    </row>
    <row r="180" spans="1:3" x14ac:dyDescent="0.35">
      <c r="A180" s="1">
        <f>Data!A180</f>
        <v>22586</v>
      </c>
      <c r="B180" s="2">
        <f>IF(Data!B180="","",Data!B180*100/Parametrar!B4)</f>
        <v>12.230694228564667</v>
      </c>
      <c r="C180" s="2">
        <f>IF(Data!C180="","",Data!C180*100/Parametrar!B5)</f>
        <v>24.692602057716833</v>
      </c>
    </row>
    <row r="181" spans="1:3" x14ac:dyDescent="0.35">
      <c r="A181" s="1">
        <f>Data!A181</f>
        <v>22616</v>
      </c>
      <c r="B181" s="2">
        <f>IF(Data!B181="","",Data!B181*100/Parametrar!B4)</f>
        <v>12.242933082028875</v>
      </c>
      <c r="C181" s="2">
        <f>IF(Data!C181="","",Data!C181*100/Parametrar!B5)</f>
        <v>24.90800207566684</v>
      </c>
    </row>
    <row r="182" spans="1:3" x14ac:dyDescent="0.35">
      <c r="A182" s="1">
        <f>Data!A182</f>
        <v>22647</v>
      </c>
      <c r="B182" s="2">
        <f>IF(Data!B182="","",Data!B182*100/Parametrar!B4)</f>
        <v>12.255171935493083</v>
      </c>
      <c r="C182" s="2">
        <f>IF(Data!C182="","",Data!C182*100/Parametrar!B5)</f>
        <v>24.692502057708502</v>
      </c>
    </row>
    <row r="183" spans="1:3" x14ac:dyDescent="0.35">
      <c r="A183" s="1">
        <f>Data!A183</f>
        <v>22678</v>
      </c>
      <c r="B183" s="2">
        <f>IF(Data!B183="","",Data!B183*100/Parametrar!B4)</f>
        <v>12.2837292602429</v>
      </c>
      <c r="C183" s="2">
        <f>IF(Data!C183="","",Data!C183*100/Parametrar!B5)</f>
        <v>25.096402091366837</v>
      </c>
    </row>
    <row r="184" spans="1:3" x14ac:dyDescent="0.35">
      <c r="A184" s="1">
        <f>Data!A184</f>
        <v>22706</v>
      </c>
      <c r="B184" s="2">
        <f>IF(Data!B184="","",Data!B184*100/Parametrar!B4)</f>
        <v>12.308206967171316</v>
      </c>
      <c r="C184" s="2">
        <f>IF(Data!C184="","",Data!C184*100/Parametrar!B5)</f>
        <v>25.231102102591841</v>
      </c>
    </row>
    <row r="185" spans="1:3" x14ac:dyDescent="0.35">
      <c r="A185" s="1">
        <f>Data!A185</f>
        <v>22737</v>
      </c>
      <c r="B185" s="2">
        <f>IF(Data!B185="","",Data!B185*100/Parametrar!B4)</f>
        <v>12.324525438456925</v>
      </c>
      <c r="C185" s="2">
        <f>IF(Data!C185="","",Data!C185*100/Parametrar!B5)</f>
        <v>25.285002107083507</v>
      </c>
    </row>
    <row r="186" spans="1:3" x14ac:dyDescent="0.35">
      <c r="A186" s="1">
        <f>Data!A186</f>
        <v>22767</v>
      </c>
      <c r="B186" s="2">
        <f>IF(Data!B186="","",Data!B186*100/Parametrar!B4)</f>
        <v>12.336764291921133</v>
      </c>
      <c r="C186" s="2">
        <f>IF(Data!C186="","",Data!C186*100/Parametrar!B5)</f>
        <v>25.258002104833505</v>
      </c>
    </row>
    <row r="187" spans="1:3" x14ac:dyDescent="0.35">
      <c r="A187" s="1">
        <f>Data!A187</f>
        <v>22798</v>
      </c>
      <c r="B187" s="2">
        <f>IF(Data!B187="","",Data!B187*100/Parametrar!B4)</f>
        <v>12.324525438456925</v>
      </c>
      <c r="C187" s="2">
        <f>IF(Data!C187="","",Data!C187*100/Parametrar!B5)</f>
        <v>25.204202100350173</v>
      </c>
    </row>
    <row r="188" spans="1:3" x14ac:dyDescent="0.35">
      <c r="A188" s="1">
        <f>Data!A188</f>
        <v>22828</v>
      </c>
      <c r="B188" s="2">
        <f>IF(Data!B188="","",Data!B188*100/Parametrar!B4)</f>
        <v>12.328605056278327</v>
      </c>
      <c r="C188" s="2">
        <f>IF(Data!C188="","",Data!C188*100/Parametrar!B5)</f>
        <v>25.446502120541844</v>
      </c>
    </row>
    <row r="189" spans="1:3" x14ac:dyDescent="0.35">
      <c r="A189" s="1">
        <f>Data!A189</f>
        <v>22859</v>
      </c>
      <c r="B189" s="2">
        <f>IF(Data!B189="","",Data!B189*100/Parametrar!B4)</f>
        <v>12.353082763206743</v>
      </c>
      <c r="C189" s="2">
        <f>IF(Data!C189="","",Data!C189*100/Parametrar!B5)</f>
        <v>25.473402122783511</v>
      </c>
    </row>
    <row r="190" spans="1:3" x14ac:dyDescent="0.35">
      <c r="A190" s="1">
        <f>Data!A190</f>
        <v>22890</v>
      </c>
      <c r="B190" s="2">
        <f>IF(Data!B190="","",Data!B190*100/Parametrar!B4)</f>
        <v>12.410197412706378</v>
      </c>
      <c r="C190" s="2">
        <f>IF(Data!C190="","",Data!C190*100/Parametrar!B5)</f>
        <v>25.635002136250176</v>
      </c>
    </row>
    <row r="191" spans="1:3" x14ac:dyDescent="0.35">
      <c r="A191" s="1">
        <f>Data!A191</f>
        <v>22920</v>
      </c>
      <c r="B191" s="2">
        <f>IF(Data!B191="","",Data!B191*100/Parametrar!B4)</f>
        <v>12.393878941420768</v>
      </c>
      <c r="C191" s="2">
        <f>IF(Data!C191="","",Data!C191*100/Parametrar!B5)</f>
        <v>25.661902138491843</v>
      </c>
    </row>
    <row r="192" spans="1:3" x14ac:dyDescent="0.35">
      <c r="A192" s="1">
        <f>Data!A192</f>
        <v>22951</v>
      </c>
      <c r="B192" s="2">
        <f>IF(Data!B192="","",Data!B192*100/Parametrar!B4)</f>
        <v>12.393878941420768</v>
      </c>
      <c r="C192" s="2">
        <f>IF(Data!C192="","",Data!C192*100/Parametrar!B5)</f>
        <v>25.769602147466845</v>
      </c>
    </row>
    <row r="193" spans="1:3" x14ac:dyDescent="0.35">
      <c r="A193" s="1">
        <f>Data!A193</f>
        <v>22981</v>
      </c>
      <c r="B193" s="2">
        <f>IF(Data!B193="","",Data!B193*100/Parametrar!B4)</f>
        <v>12.393878941420768</v>
      </c>
      <c r="C193" s="2">
        <f>IF(Data!C193="","",Data!C193*100/Parametrar!B5)</f>
        <v>25.769602147466845</v>
      </c>
    </row>
    <row r="194" spans="1:3" x14ac:dyDescent="0.35">
      <c r="A194" s="1">
        <f>Data!A194</f>
        <v>23012</v>
      </c>
      <c r="B194" s="2">
        <f>IF(Data!B194="","",Data!B194*100/Parametrar!B4)</f>
        <v>12.418356648349182</v>
      </c>
      <c r="C194" s="2">
        <f>IF(Data!C194="","",Data!C194*100/Parametrar!B5)</f>
        <v>25.958102163175184</v>
      </c>
    </row>
    <row r="195" spans="1:3" x14ac:dyDescent="0.35">
      <c r="A195" s="1">
        <f>Data!A195</f>
        <v>23043</v>
      </c>
      <c r="B195" s="2">
        <f>IF(Data!B195="","",Data!B195*100/Parametrar!B4)</f>
        <v>12.434675119634791</v>
      </c>
      <c r="C195" s="2">
        <f>IF(Data!C195="","",Data!C195*100/Parametrar!B5)</f>
        <v>26.254402187866848</v>
      </c>
    </row>
    <row r="196" spans="1:3" x14ac:dyDescent="0.35">
      <c r="A196" s="1">
        <f>Data!A196</f>
        <v>23071</v>
      </c>
      <c r="B196" s="2">
        <f>IF(Data!B196="","",Data!B196*100/Parametrar!B4)</f>
        <v>12.446913973098999</v>
      </c>
      <c r="C196" s="2">
        <f>IF(Data!C196="","",Data!C196*100/Parametrar!B5)</f>
        <v>26.415902201325181</v>
      </c>
    </row>
    <row r="197" spans="1:3" x14ac:dyDescent="0.35">
      <c r="A197" s="1">
        <f>Data!A197</f>
        <v>23102</v>
      </c>
      <c r="B197" s="2">
        <f>IF(Data!B197="","",Data!B197*100/Parametrar!B4)</f>
        <v>12.434675119634791</v>
      </c>
      <c r="C197" s="2">
        <f>IF(Data!C197="","",Data!C197*100/Parametrar!B5)</f>
        <v>26.658202221516852</v>
      </c>
    </row>
    <row r="198" spans="1:3" x14ac:dyDescent="0.35">
      <c r="A198" s="1">
        <f>Data!A198</f>
        <v>23132</v>
      </c>
      <c r="B198" s="2">
        <f>IF(Data!B198="","",Data!B198*100/Parametrar!B4)</f>
        <v>12.446913973098999</v>
      </c>
      <c r="C198" s="2">
        <f>IF(Data!C198="","",Data!C198*100/Parametrar!B5)</f>
        <v>26.981402248450184</v>
      </c>
    </row>
    <row r="199" spans="1:3" x14ac:dyDescent="0.35">
      <c r="A199" s="1">
        <f>Data!A199</f>
        <v>23163</v>
      </c>
      <c r="B199" s="2">
        <f>IF(Data!B199="","",Data!B199*100/Parametrar!B4)</f>
        <v>12.487710151313024</v>
      </c>
      <c r="C199" s="2">
        <f>IF(Data!C199="","",Data!C199*100/Parametrar!B5)</f>
        <v>27.062202255183522</v>
      </c>
    </row>
    <row r="200" spans="1:3" x14ac:dyDescent="0.35">
      <c r="A200" s="1">
        <f>Data!A200</f>
        <v>23193</v>
      </c>
      <c r="B200" s="2">
        <f>IF(Data!B200="","",Data!B200*100/Parametrar!B4)</f>
        <v>12.520347093884244</v>
      </c>
      <c r="C200" s="2">
        <f>IF(Data!C200="","",Data!C200*100/Parametrar!B5)</f>
        <v>26.954502246208516</v>
      </c>
    </row>
    <row r="201" spans="1:3" x14ac:dyDescent="0.35">
      <c r="A201" s="1">
        <f>Data!A201</f>
        <v>23224</v>
      </c>
      <c r="B201" s="2">
        <f>IF(Data!B201="","",Data!B201*100/Parametrar!B4)</f>
        <v>12.544824800812659</v>
      </c>
      <c r="C201" s="2">
        <f>IF(Data!C201="","",Data!C201*100/Parametrar!B5)</f>
        <v>27.008302250691852</v>
      </c>
    </row>
    <row r="202" spans="1:3" x14ac:dyDescent="0.35">
      <c r="A202" s="1">
        <f>Data!A202</f>
        <v>23255</v>
      </c>
      <c r="B202" s="2">
        <f>IF(Data!B202="","",Data!B202*100/Parametrar!B4)</f>
        <v>12.532585947348451</v>
      </c>
      <c r="C202" s="2">
        <f>IF(Data!C202="","",Data!C202*100/Parametrar!B5)</f>
        <v>27.277602273133517</v>
      </c>
    </row>
    <row r="203" spans="1:3" x14ac:dyDescent="0.35">
      <c r="A203" s="1">
        <f>Data!A203</f>
        <v>23285</v>
      </c>
      <c r="B203" s="2">
        <f>IF(Data!B203="","",Data!B203*100/Parametrar!B4)</f>
        <v>12.544824800812659</v>
      </c>
      <c r="C203" s="2">
        <f>IF(Data!C203="","",Data!C203*100/Parametrar!B5)</f>
        <v>27.466102288841856</v>
      </c>
    </row>
    <row r="204" spans="1:3" x14ac:dyDescent="0.35">
      <c r="A204" s="1">
        <f>Data!A204</f>
        <v>23316</v>
      </c>
      <c r="B204" s="2">
        <f>IF(Data!B204="","",Data!B204*100/Parametrar!B4)</f>
        <v>12.557063654276867</v>
      </c>
      <c r="C204" s="2">
        <f>IF(Data!C204="","",Data!C204*100/Parametrar!B5)</f>
        <v>27.600702300058526</v>
      </c>
    </row>
    <row r="205" spans="1:3" x14ac:dyDescent="0.35">
      <c r="A205" s="1">
        <f>Data!A205</f>
        <v>23346</v>
      </c>
      <c r="B205" s="2">
        <f>IF(Data!B205="","",Data!B205*100/Parametrar!B4)</f>
        <v>12.597859832490892</v>
      </c>
      <c r="C205" s="2">
        <f>IF(Data!C205="","",Data!C205*100/Parametrar!B5)</f>
        <v>27.54690229557519</v>
      </c>
    </row>
    <row r="206" spans="1:3" x14ac:dyDescent="0.35">
      <c r="A206" s="1">
        <f>Data!A206</f>
        <v>23377</v>
      </c>
      <c r="B206" s="2">
        <f>IF(Data!B206="","",Data!B206*100/Parametrar!B4)</f>
        <v>12.622337539419307</v>
      </c>
      <c r="C206" s="2">
        <f>IF(Data!C206="","",Data!C206*100/Parametrar!B5)</f>
        <v>27.789202315766858</v>
      </c>
    </row>
    <row r="207" spans="1:3" x14ac:dyDescent="0.35">
      <c r="A207" s="1">
        <f>Data!A207</f>
        <v>23408</v>
      </c>
      <c r="B207" s="2">
        <f>IF(Data!B207="","",Data!B207*100/Parametrar!B4)</f>
        <v>12.6100986859551</v>
      </c>
      <c r="C207" s="2">
        <f>IF(Data!C207="","",Data!C207*100/Parametrar!B5)</f>
        <v>27.977702331475193</v>
      </c>
    </row>
    <row r="208" spans="1:3" x14ac:dyDescent="0.35">
      <c r="A208" s="1">
        <f>Data!A208</f>
        <v>23437</v>
      </c>
      <c r="B208" s="2">
        <f>IF(Data!B208="","",Data!B208*100/Parametrar!B4)</f>
        <v>12.622337539419307</v>
      </c>
      <c r="C208" s="2">
        <f>IF(Data!C208="","",Data!C208*100/Parametrar!B5)</f>
        <v>27.977702331475193</v>
      </c>
    </row>
    <row r="209" spans="1:3" x14ac:dyDescent="0.35">
      <c r="A209" s="1">
        <f>Data!A209</f>
        <v>23468</v>
      </c>
      <c r="B209" s="2">
        <f>IF(Data!B209="","",Data!B209*100/Parametrar!B4)</f>
        <v>12.626417157240709</v>
      </c>
      <c r="C209" s="2">
        <f>IF(Data!C209="","",Data!C209*100/Parametrar!B5)</f>
        <v>28.435502369625198</v>
      </c>
    </row>
    <row r="210" spans="1:3" x14ac:dyDescent="0.35">
      <c r="A210" s="1">
        <f>Data!A210</f>
        <v>23498</v>
      </c>
      <c r="B210" s="2">
        <f>IF(Data!B210="","",Data!B210*100/Parametrar!B4)</f>
        <v>12.638656010704917</v>
      </c>
      <c r="C210" s="2">
        <f>IF(Data!C210="","",Data!C210*100/Parametrar!B5)</f>
        <v>28.597002383083531</v>
      </c>
    </row>
    <row r="211" spans="1:3" x14ac:dyDescent="0.35">
      <c r="A211" s="1">
        <f>Data!A211</f>
        <v>23529</v>
      </c>
      <c r="B211" s="2">
        <f>IF(Data!B211="","",Data!B211*100/Parametrar!B4)</f>
        <v>12.650894864169125</v>
      </c>
      <c r="C211" s="2">
        <f>IF(Data!C211="","",Data!C211*100/Parametrar!B5)</f>
        <v>28.677802389816865</v>
      </c>
    </row>
    <row r="212" spans="1:3" x14ac:dyDescent="0.35">
      <c r="A212" s="1">
        <f>Data!A212</f>
        <v>23559</v>
      </c>
      <c r="B212" s="2">
        <f>IF(Data!B212="","",Data!B212*100/Parametrar!B4)</f>
        <v>12.654974481990527</v>
      </c>
      <c r="C212" s="2">
        <f>IF(Data!C212="","",Data!C212*100/Parametrar!B5)</f>
        <v>28.8663024055252</v>
      </c>
    </row>
    <row r="213" spans="1:3" x14ac:dyDescent="0.35">
      <c r="A213" s="1">
        <f>Data!A213</f>
        <v>23590</v>
      </c>
      <c r="B213" s="2">
        <f>IF(Data!B213="","",Data!B213*100/Parametrar!B4)</f>
        <v>12.667213335454734</v>
      </c>
      <c r="C213" s="2">
        <f>IF(Data!C213="","",Data!C213*100/Parametrar!B5)</f>
        <v>29.054802421233532</v>
      </c>
    </row>
    <row r="214" spans="1:3" x14ac:dyDescent="0.35">
      <c r="A214" s="1">
        <f>Data!A214</f>
        <v>23621</v>
      </c>
      <c r="B214" s="2">
        <f>IF(Data!B214="","",Data!B214*100/Parametrar!B4)</f>
        <v>12.679452188918942</v>
      </c>
      <c r="C214" s="2">
        <f>IF(Data!C214="","",Data!C214*100/Parametrar!B5)</f>
        <v>29.162502430208534</v>
      </c>
    </row>
    <row r="215" spans="1:3" x14ac:dyDescent="0.35">
      <c r="A215" s="1">
        <f>Data!A215</f>
        <v>23651</v>
      </c>
      <c r="B215" s="2">
        <f>IF(Data!B215="","",Data!B215*100/Parametrar!B4)</f>
        <v>12.695770660204552</v>
      </c>
      <c r="C215" s="2">
        <f>IF(Data!C215="","",Data!C215*100/Parametrar!B5)</f>
        <v>28.758602396550199</v>
      </c>
    </row>
    <row r="216" spans="1:3" x14ac:dyDescent="0.35">
      <c r="A216" s="1">
        <f>Data!A216</f>
        <v>23682</v>
      </c>
      <c r="B216" s="2">
        <f>IF(Data!B216="","",Data!B216*100/Parametrar!B4)</f>
        <v>12.732487220597173</v>
      </c>
      <c r="C216" s="2">
        <f>IF(Data!C216="","",Data!C216*100/Parametrar!B5)</f>
        <v>29.647202470600206</v>
      </c>
    </row>
    <row r="217" spans="1:3" x14ac:dyDescent="0.35">
      <c r="A217" s="1">
        <f>Data!A217</f>
        <v>23712</v>
      </c>
      <c r="B217" s="2">
        <f>IF(Data!B217="","",Data!B217*100/Parametrar!B4)</f>
        <v>12.748805691882785</v>
      </c>
      <c r="C217" s="2">
        <f>IF(Data!C217="","",Data!C217*100/Parametrar!B5)</f>
        <v>29.997302499775206</v>
      </c>
    </row>
    <row r="218" spans="1:3" x14ac:dyDescent="0.35">
      <c r="A218" s="1">
        <f>Data!A218</f>
        <v>23743</v>
      </c>
      <c r="B218" s="2">
        <f>IF(Data!B218="","",Data!B218*100/Parametrar!B4)</f>
        <v>12.761044545346991</v>
      </c>
      <c r="C218" s="2">
        <f>IF(Data!C218="","",Data!C218*100/Parametrar!B5)</f>
        <v>30.320402526700207</v>
      </c>
    </row>
    <row r="219" spans="1:3" x14ac:dyDescent="0.35">
      <c r="A219" s="1">
        <f>Data!A219</f>
        <v>23774</v>
      </c>
      <c r="B219" s="2">
        <f>IF(Data!B219="","",Data!B219*100/Parametrar!B4)</f>
        <v>12.761044545346991</v>
      </c>
      <c r="C219" s="2">
        <f>IF(Data!C219="","",Data!C219*100/Parametrar!B5)</f>
        <v>30.508902542408542</v>
      </c>
    </row>
    <row r="220" spans="1:3" x14ac:dyDescent="0.35">
      <c r="A220" s="1">
        <f>Data!A220</f>
        <v>23802</v>
      </c>
      <c r="B220" s="2">
        <f>IF(Data!B220="","",Data!B220*100/Parametrar!B4)</f>
        <v>12.773283398811198</v>
      </c>
      <c r="C220" s="2">
        <f>IF(Data!C220="","",Data!C220*100/Parametrar!B5)</f>
        <v>30.912802576066881</v>
      </c>
    </row>
    <row r="221" spans="1:3" x14ac:dyDescent="0.35">
      <c r="A221" s="1">
        <f>Data!A221</f>
        <v>23833</v>
      </c>
      <c r="B221" s="2">
        <f>IF(Data!B221="","",Data!B221*100/Parametrar!B4)</f>
        <v>12.801840723561016</v>
      </c>
      <c r="C221" s="2">
        <f>IF(Data!C221="","",Data!C221*100/Parametrar!B5)</f>
        <v>31.047402587283546</v>
      </c>
    </row>
    <row r="222" spans="1:3" x14ac:dyDescent="0.35">
      <c r="A222" s="1">
        <f>Data!A222</f>
        <v>23863</v>
      </c>
      <c r="B222" s="2">
        <f>IF(Data!B222="","",Data!B222*100/Parametrar!B4)</f>
        <v>12.842636901775041</v>
      </c>
      <c r="C222" s="2">
        <f>IF(Data!C222="","",Data!C222*100/Parametrar!B5)</f>
        <v>31.289802607483548</v>
      </c>
    </row>
    <row r="223" spans="1:3" x14ac:dyDescent="0.35">
      <c r="A223" s="1">
        <f>Data!A223</f>
        <v>23894</v>
      </c>
      <c r="B223" s="2">
        <f>IF(Data!B223="","",Data!B223*100/Parametrar!B4)</f>
        <v>12.895671933453274</v>
      </c>
      <c r="C223" s="2">
        <f>IF(Data!C223="","",Data!C223*100/Parametrar!B5)</f>
        <v>31.532102627675219</v>
      </c>
    </row>
    <row r="224" spans="1:3" x14ac:dyDescent="0.35">
      <c r="A224" s="1">
        <f>Data!A224</f>
        <v>23924</v>
      </c>
      <c r="B224" s="2">
        <f>IF(Data!B224="","",Data!B224*100/Parametrar!B4)</f>
        <v>12.883433079989066</v>
      </c>
      <c r="C224" s="2">
        <f>IF(Data!C224="","",Data!C224*100/Parametrar!B5)</f>
        <v>31.828302652358552</v>
      </c>
    </row>
    <row r="225" spans="1:3" x14ac:dyDescent="0.35">
      <c r="A225" s="1">
        <f>Data!A225</f>
        <v>23955</v>
      </c>
      <c r="B225" s="2">
        <f>IF(Data!B225="","",Data!B225*100/Parametrar!B4)</f>
        <v>12.871194226524858</v>
      </c>
      <c r="C225" s="2">
        <f>IF(Data!C225="","",Data!C225*100/Parametrar!B5)</f>
        <v>31.963002663583556</v>
      </c>
    </row>
    <row r="226" spans="1:3" x14ac:dyDescent="0.35">
      <c r="A226" s="1">
        <f>Data!A226</f>
        <v>23986</v>
      </c>
      <c r="B226" s="2">
        <f>IF(Data!B226="","",Data!B226*100/Parametrar!B4)</f>
        <v>12.899751551274676</v>
      </c>
      <c r="C226" s="2">
        <f>IF(Data!C226="","",Data!C226*100/Parametrar!B5)</f>
        <v>32.043802670316886</v>
      </c>
    </row>
    <row r="227" spans="1:3" x14ac:dyDescent="0.35">
      <c r="A227" s="1">
        <f>Data!A227</f>
        <v>24016</v>
      </c>
      <c r="B227" s="2">
        <f>IF(Data!B227="","",Data!B227*100/Parametrar!B4)</f>
        <v>12.911990404738884</v>
      </c>
      <c r="C227" s="2">
        <f>IF(Data!C227="","",Data!C227*100/Parametrar!B5)</f>
        <v>32.366902697241891</v>
      </c>
    </row>
    <row r="228" spans="1:3" x14ac:dyDescent="0.35">
      <c r="A228" s="1">
        <f>Data!A228</f>
        <v>24047</v>
      </c>
      <c r="B228" s="2">
        <f>IF(Data!B228="","",Data!B228*100/Parametrar!B4)</f>
        <v>12.952786582952909</v>
      </c>
      <c r="C228" s="2">
        <f>IF(Data!C228="","",Data!C228*100/Parametrar!B5)</f>
        <v>32.50150270845856</v>
      </c>
    </row>
    <row r="229" spans="1:3" x14ac:dyDescent="0.35">
      <c r="A229" s="1">
        <f>Data!A229</f>
        <v>24077</v>
      </c>
      <c r="B229" s="2">
        <f>IF(Data!B229="","",Data!B229*100/Parametrar!B4)</f>
        <v>12.993582761166934</v>
      </c>
      <c r="C229" s="2">
        <f>IF(Data!C229="","",Data!C229*100/Parametrar!B5)</f>
        <v>32.905402742116891</v>
      </c>
    </row>
    <row r="230" spans="1:3" x14ac:dyDescent="0.35">
      <c r="A230" s="1">
        <f>Data!A230</f>
        <v>24108</v>
      </c>
      <c r="B230" s="2">
        <f>IF(Data!B230="","",Data!B230*100/Parametrar!B4)</f>
        <v>13.005821614631142</v>
      </c>
      <c r="C230" s="2">
        <f>IF(Data!C230="","",Data!C230*100/Parametrar!B5)</f>
        <v>33.228602769050227</v>
      </c>
    </row>
    <row r="231" spans="1:3" x14ac:dyDescent="0.35">
      <c r="A231" s="1">
        <f>Data!A231</f>
        <v>24139</v>
      </c>
      <c r="B231" s="2">
        <f>IF(Data!B231="","",Data!B231*100/Parametrar!B4)</f>
        <v>13.08741397105919</v>
      </c>
      <c r="C231" s="2">
        <f>IF(Data!C231="","",Data!C231*100/Parametrar!B5)</f>
        <v>33.44400278700023</v>
      </c>
    </row>
    <row r="232" spans="1:3" x14ac:dyDescent="0.35">
      <c r="A232" s="1">
        <f>Data!A232</f>
        <v>24167</v>
      </c>
      <c r="B232" s="2">
        <f>IF(Data!B232="","",Data!B232*100/Parametrar!B4)</f>
        <v>13.128210149273215</v>
      </c>
      <c r="C232" s="2">
        <f>IF(Data!C232="","",Data!C232*100/Parametrar!B5)</f>
        <v>33.901802825150234</v>
      </c>
    </row>
    <row r="233" spans="1:3" x14ac:dyDescent="0.35">
      <c r="A233" s="1">
        <f>Data!A233</f>
        <v>24198</v>
      </c>
      <c r="B233" s="2">
        <f>IF(Data!B233="","",Data!B233*100/Parametrar!B4)</f>
        <v>13.16900632748724</v>
      </c>
      <c r="C233" s="2">
        <f>IF(Data!C233="","",Data!C233*100/Parametrar!B5)</f>
        <v>33.955602829633563</v>
      </c>
    </row>
    <row r="234" spans="1:3" x14ac:dyDescent="0.35">
      <c r="A234" s="1">
        <f>Data!A234</f>
        <v>24228</v>
      </c>
      <c r="B234" s="2">
        <f>IF(Data!B234="","",Data!B234*100/Parametrar!B4)</f>
        <v>13.197563652237058</v>
      </c>
      <c r="C234" s="2">
        <f>IF(Data!C234="","",Data!C234*100/Parametrar!B5)</f>
        <v>34.278702856558567</v>
      </c>
    </row>
    <row r="235" spans="1:3" x14ac:dyDescent="0.35">
      <c r="A235" s="1">
        <f>Data!A235</f>
        <v>24259</v>
      </c>
      <c r="B235" s="2">
        <f>IF(Data!B235="","",Data!B235*100/Parametrar!B4)</f>
        <v>13.209802505701267</v>
      </c>
      <c r="C235" s="2">
        <f>IF(Data!C235="","",Data!C235*100/Parametrar!B5)</f>
        <v>34.440302870025242</v>
      </c>
    </row>
    <row r="236" spans="1:3" x14ac:dyDescent="0.35">
      <c r="A236" s="1">
        <f>Data!A236</f>
        <v>24289</v>
      </c>
      <c r="B236" s="2">
        <f>IF(Data!B236="","",Data!B236*100/Parametrar!B4)</f>
        <v>13.238359830451085</v>
      </c>
      <c r="C236" s="2">
        <f>IF(Data!C236="","",Data!C236*100/Parametrar!B5)</f>
        <v>34.62880288573357</v>
      </c>
    </row>
    <row r="237" spans="1:3" x14ac:dyDescent="0.35">
      <c r="A237" s="1">
        <f>Data!A237</f>
        <v>24320</v>
      </c>
      <c r="B237" s="2">
        <f>IF(Data!B237="","",Data!B237*100/Parametrar!B4)</f>
        <v>13.319952186879133</v>
      </c>
      <c r="C237" s="2">
        <f>IF(Data!C237="","",Data!C237*100/Parametrar!B5)</f>
        <v>34.655702887975238</v>
      </c>
    </row>
    <row r="238" spans="1:3" x14ac:dyDescent="0.35">
      <c r="A238" s="1">
        <f>Data!A238</f>
        <v>24351</v>
      </c>
      <c r="B238" s="2">
        <f>IF(Data!B238="","",Data!B238*100/Parametrar!B4)</f>
        <v>13.360748365093158</v>
      </c>
      <c r="C238" s="2">
        <f>IF(Data!C238="","",Data!C238*100/Parametrar!B5)</f>
        <v>34.978902914908581</v>
      </c>
    </row>
    <row r="239" spans="1:3" x14ac:dyDescent="0.35">
      <c r="A239" s="1">
        <f>Data!A239</f>
        <v>24381</v>
      </c>
      <c r="B239" s="2">
        <f>IF(Data!B239="","",Data!B239*100/Parametrar!B4)</f>
        <v>13.401544543307182</v>
      </c>
      <c r="C239" s="2">
        <f>IF(Data!C239="","",Data!C239*100/Parametrar!B5)</f>
        <v>35.221202935100244</v>
      </c>
    </row>
    <row r="240" spans="1:3" x14ac:dyDescent="0.35">
      <c r="A240" s="1">
        <f>Data!A240</f>
        <v>24412</v>
      </c>
      <c r="B240" s="2">
        <f>IF(Data!B240="","",Data!B240*100/Parametrar!B4)</f>
        <v>13.413783396771391</v>
      </c>
      <c r="C240" s="2">
        <f>IF(Data!C240="","",Data!C240*100/Parametrar!B5)</f>
        <v>34.978802914900243</v>
      </c>
    </row>
    <row r="241" spans="1:3" x14ac:dyDescent="0.35">
      <c r="A241" s="1">
        <f>Data!A241</f>
        <v>24442</v>
      </c>
      <c r="B241" s="2">
        <f>IF(Data!B241="","",Data!B241*100/Parametrar!B4)</f>
        <v>13.430101868056999</v>
      </c>
      <c r="C241" s="2">
        <f>IF(Data!C241="","",Data!C241*100/Parametrar!B5)</f>
        <v>35.059602921633576</v>
      </c>
    </row>
    <row r="242" spans="1:3" x14ac:dyDescent="0.35">
      <c r="A242" s="1">
        <f>Data!A242</f>
        <v>24473</v>
      </c>
      <c r="B242" s="2">
        <f>IF(Data!B242="","",Data!B242*100/Parametrar!B4)</f>
        <v>13.421942632414195</v>
      </c>
      <c r="C242" s="2">
        <f>IF(Data!C242="","",Data!C242*100/Parametrar!B5)</f>
        <v>35.22500293541691</v>
      </c>
    </row>
    <row r="243" spans="1:3" x14ac:dyDescent="0.35">
      <c r="A243" s="1">
        <f>Data!A243</f>
        <v>24504</v>
      </c>
      <c r="B243" s="2">
        <f>IF(Data!B243="","",Data!B243*100/Parametrar!B4)</f>
        <v>13.46273881062822</v>
      </c>
      <c r="C243" s="2">
        <f>IF(Data!C243="","",Data!C243*100/Parametrar!B5)</f>
        <v>34.825502902125237</v>
      </c>
    </row>
    <row r="244" spans="1:3" x14ac:dyDescent="0.35">
      <c r="A244" s="1">
        <f>Data!A244</f>
        <v>24532</v>
      </c>
      <c r="B244" s="2">
        <f>IF(Data!B244="","",Data!B244*100/Parametrar!B4)</f>
        <v>13.46273881062822</v>
      </c>
      <c r="C244" s="2">
        <f>IF(Data!C244="","",Data!C244*100/Parametrar!B5)</f>
        <v>34.629202885766901</v>
      </c>
    </row>
    <row r="245" spans="1:3" x14ac:dyDescent="0.35">
      <c r="A245" s="1">
        <f>Data!A245</f>
        <v>24563</v>
      </c>
      <c r="B245" s="2">
        <f>IF(Data!B245="","",Data!B245*100/Parametrar!B4)</f>
        <v>13.503534988842246</v>
      </c>
      <c r="C245" s="2">
        <f>IF(Data!C245="","",Data!C245*100/Parametrar!B5)</f>
        <v>34.955802912983579</v>
      </c>
    </row>
    <row r="246" spans="1:3" x14ac:dyDescent="0.35">
      <c r="A246" s="1">
        <f>Data!A246</f>
        <v>24593</v>
      </c>
      <c r="B246" s="2">
        <f>IF(Data!B246="","",Data!B246*100/Parametrar!B4)</f>
        <v>13.503534988842246</v>
      </c>
      <c r="C246" s="2">
        <f>IF(Data!C246="","",Data!C246*100/Parametrar!B5)</f>
        <v>34.650802887566897</v>
      </c>
    </row>
    <row r="247" spans="1:3" x14ac:dyDescent="0.35">
      <c r="A247" s="1">
        <f>Data!A247</f>
        <v>24624</v>
      </c>
      <c r="B247" s="2">
        <f>IF(Data!B247="","",Data!B247*100/Parametrar!B4)</f>
        <v>13.585127345270292</v>
      </c>
      <c r="C247" s="2">
        <f>IF(Data!C247="","",Data!C247*100/Parametrar!B5)</f>
        <v>34.646502887208577</v>
      </c>
    </row>
    <row r="248" spans="1:3" x14ac:dyDescent="0.35">
      <c r="A248" s="1">
        <f>Data!A248</f>
        <v>24654</v>
      </c>
      <c r="B248" s="2">
        <f>IF(Data!B248="","",Data!B248*100/Parametrar!B4)</f>
        <v>13.625923523484319</v>
      </c>
      <c r="C248" s="2">
        <f>IF(Data!C248="","",Data!C248*100/Parametrar!B5)</f>
        <v>34.567602880633565</v>
      </c>
    </row>
    <row r="249" spans="1:3" x14ac:dyDescent="0.35">
      <c r="A249" s="1">
        <f>Data!A249</f>
        <v>24685</v>
      </c>
      <c r="B249" s="2">
        <f>IF(Data!B249="","",Data!B249*100/Parametrar!B4)</f>
        <v>13.666719701698344</v>
      </c>
      <c r="C249" s="2">
        <f>IF(Data!C249="","",Data!C249*100/Parametrar!B5)</f>
        <v>35.229902935825244</v>
      </c>
    </row>
    <row r="250" spans="1:3" x14ac:dyDescent="0.35">
      <c r="A250" s="1">
        <f>Data!A250</f>
        <v>24716</v>
      </c>
      <c r="B250" s="2">
        <f>IF(Data!B250="","",Data!B250*100/Parametrar!B4)</f>
        <v>13.70751587991237</v>
      </c>
      <c r="C250" s="2">
        <f>IF(Data!C250="","",Data!C250*100/Parametrar!B5)</f>
        <v>35.172702931058573</v>
      </c>
    </row>
    <row r="251" spans="1:3" x14ac:dyDescent="0.35">
      <c r="A251" s="1">
        <f>Data!A251</f>
        <v>24746</v>
      </c>
      <c r="B251" s="2">
        <f>IF(Data!B251="","",Data!B251*100/Parametrar!B4)</f>
        <v>13.748312058126396</v>
      </c>
      <c r="C251" s="2">
        <f>IF(Data!C251="","",Data!C251*100/Parametrar!B5)</f>
        <v>35.459102954925243</v>
      </c>
    </row>
    <row r="252" spans="1:3" x14ac:dyDescent="0.35">
      <c r="A252" s="1">
        <f>Data!A252</f>
        <v>24777</v>
      </c>
      <c r="B252" s="2">
        <f>IF(Data!B252="","",Data!B252*100/Parametrar!B4)</f>
        <v>13.829904414554443</v>
      </c>
      <c r="C252" s="2">
        <f>IF(Data!C252="","",Data!C252*100/Parametrar!B5)</f>
        <v>35.96630299719191</v>
      </c>
    </row>
    <row r="253" spans="1:3" x14ac:dyDescent="0.35">
      <c r="A253" s="1">
        <f>Data!A253</f>
        <v>24807</v>
      </c>
      <c r="B253" s="2">
        <f>IF(Data!B253="","",Data!B253*100/Parametrar!B4)</f>
        <v>13.870700592768468</v>
      </c>
      <c r="C253" s="2">
        <f>IF(Data!C253="","",Data!C253*100/Parametrar!B5)</f>
        <v>36.353603029466917</v>
      </c>
    </row>
    <row r="254" spans="1:3" x14ac:dyDescent="0.35">
      <c r="A254" s="1">
        <f>Data!A254</f>
        <v>24838</v>
      </c>
      <c r="B254" s="2">
        <f>IF(Data!B254="","",Data!B254*100/Parametrar!B4)</f>
        <v>13.911496770982493</v>
      </c>
      <c r="C254" s="2">
        <f>IF(Data!C254="","",Data!C254*100/Parametrar!B5)</f>
        <v>36.314503026208584</v>
      </c>
    </row>
    <row r="255" spans="1:3" x14ac:dyDescent="0.35">
      <c r="A255" s="1">
        <f>Data!A255</f>
        <v>24869</v>
      </c>
      <c r="B255" s="2">
        <f>IF(Data!B255="","",Data!B255*100/Parametrar!B4)</f>
        <v>13.95229294919652</v>
      </c>
      <c r="C255" s="2">
        <f>IF(Data!C255="","",Data!C255*100/Parametrar!B5)</f>
        <v>36.44460303705025</v>
      </c>
    </row>
    <row r="256" spans="1:3" x14ac:dyDescent="0.35">
      <c r="A256" s="1">
        <f>Data!A256</f>
        <v>24898</v>
      </c>
      <c r="B256" s="2">
        <f>IF(Data!B256="","",Data!B256*100/Parametrar!B4)</f>
        <v>13.993089127410542</v>
      </c>
      <c r="C256" s="2">
        <f>IF(Data!C256="","",Data!C256*100/Parametrar!B5)</f>
        <v>36.558403046533584</v>
      </c>
    </row>
    <row r="257" spans="1:3" x14ac:dyDescent="0.35">
      <c r="A257" s="1">
        <f>Data!A257</f>
        <v>24929</v>
      </c>
      <c r="B257" s="2">
        <f>IF(Data!B257="","",Data!B257*100/Parametrar!B4)</f>
        <v>14.033885305624569</v>
      </c>
      <c r="C257" s="2">
        <f>IF(Data!C257="","",Data!C257*100/Parametrar!B5)</f>
        <v>36.61130305094192</v>
      </c>
    </row>
    <row r="258" spans="1:3" x14ac:dyDescent="0.35">
      <c r="A258" s="1">
        <f>Data!A258</f>
        <v>24959</v>
      </c>
      <c r="B258" s="2">
        <f>IF(Data!B258="","",Data!B258*100/Parametrar!B4)</f>
        <v>14.074681483838594</v>
      </c>
      <c r="C258" s="2">
        <f>IF(Data!C258="","",Data!C258*100/Parametrar!B5)</f>
        <v>37.022003085166922</v>
      </c>
    </row>
    <row r="259" spans="1:3" x14ac:dyDescent="0.35">
      <c r="A259" s="1">
        <f>Data!A259</f>
        <v>24990</v>
      </c>
      <c r="B259" s="2">
        <f>IF(Data!B259="","",Data!B259*100/Parametrar!B4)</f>
        <v>14.156273840266644</v>
      </c>
      <c r="C259" s="2">
        <f>IF(Data!C259="","",Data!C259*100/Parametrar!B5)</f>
        <v>37.158003096500259</v>
      </c>
    </row>
    <row r="260" spans="1:3" x14ac:dyDescent="0.35">
      <c r="A260" s="1">
        <f>Data!A260</f>
        <v>25020</v>
      </c>
      <c r="B260" s="2">
        <f>IF(Data!B260="","",Data!B260*100/Parametrar!B4)</f>
        <v>14.237866196694693</v>
      </c>
      <c r="C260" s="2">
        <f>IF(Data!C260="","",Data!C260*100/Parametrar!B5)</f>
        <v>37.101003091750258</v>
      </c>
    </row>
    <row r="261" spans="1:3" x14ac:dyDescent="0.35">
      <c r="A261" s="1">
        <f>Data!A261</f>
        <v>25051</v>
      </c>
      <c r="B261" s="2">
        <f>IF(Data!B261="","",Data!B261*100/Parametrar!B4)</f>
        <v>14.278662374908718</v>
      </c>
      <c r="C261" s="2">
        <f>IF(Data!C261="","",Data!C261*100/Parametrar!B5)</f>
        <v>37.204503100375256</v>
      </c>
    </row>
    <row r="262" spans="1:3" x14ac:dyDescent="0.35">
      <c r="A262" s="1">
        <f>Data!A262</f>
        <v>25082</v>
      </c>
      <c r="B262" s="2">
        <f>IF(Data!B262="","",Data!B262*100/Parametrar!B4)</f>
        <v>14.319458553122743</v>
      </c>
      <c r="C262" s="2">
        <f>IF(Data!C262="","",Data!C262*100/Parametrar!B5)</f>
        <v>37.345403112116927</v>
      </c>
    </row>
    <row r="263" spans="1:3" x14ac:dyDescent="0.35">
      <c r="A263" s="1">
        <f>Data!A263</f>
        <v>25112</v>
      </c>
      <c r="B263" s="2">
        <f>IF(Data!B263="","",Data!B263*100/Parametrar!B4)</f>
        <v>14.401050909550792</v>
      </c>
      <c r="C263" s="2">
        <f>IF(Data!C263="","",Data!C263*100/Parametrar!B5)</f>
        <v>37.419603118300259</v>
      </c>
    </row>
    <row r="264" spans="1:3" x14ac:dyDescent="0.35">
      <c r="A264" s="1">
        <f>Data!A264</f>
        <v>25143</v>
      </c>
      <c r="B264" s="2">
        <f>IF(Data!B264="","",Data!B264*100/Parametrar!B4)</f>
        <v>14.441847087764817</v>
      </c>
      <c r="C264" s="2">
        <f>IF(Data!C264="","",Data!C264*100/Parametrar!B5)</f>
        <v>37.903603158633594</v>
      </c>
    </row>
    <row r="265" spans="1:3" x14ac:dyDescent="0.35">
      <c r="A265" s="1">
        <f>Data!A265</f>
        <v>25173</v>
      </c>
      <c r="B265" s="2">
        <f>IF(Data!B265="","",Data!B265*100/Parametrar!B4)</f>
        <v>14.523439444192867</v>
      </c>
      <c r="C265" s="2">
        <f>IF(Data!C265="","",Data!C265*100/Parametrar!B5)</f>
        <v>38.023303168608592</v>
      </c>
    </row>
    <row r="266" spans="1:3" x14ac:dyDescent="0.35">
      <c r="A266" s="1">
        <f>Data!A266</f>
        <v>25204</v>
      </c>
      <c r="B266" s="2">
        <f>IF(Data!B266="","",Data!B266*100/Parametrar!B4)</f>
        <v>14.564235622406894</v>
      </c>
      <c r="C266" s="2">
        <f>IF(Data!C266="","",Data!C266*100/Parametrar!B5)</f>
        <v>38.253303187775266</v>
      </c>
    </row>
    <row r="267" spans="1:3" x14ac:dyDescent="0.35">
      <c r="A267" s="1">
        <f>Data!A267</f>
        <v>25235</v>
      </c>
      <c r="B267" s="2">
        <f>IF(Data!B267="","",Data!B267*100/Parametrar!B4)</f>
        <v>14.605031800620916</v>
      </c>
      <c r="C267" s="2">
        <f>IF(Data!C267="","",Data!C267*100/Parametrar!B5)</f>
        <v>38.498103208175266</v>
      </c>
    </row>
    <row r="268" spans="1:3" x14ac:dyDescent="0.35">
      <c r="A268" s="1">
        <f>Data!A268</f>
        <v>25263</v>
      </c>
      <c r="B268" s="2">
        <f>IF(Data!B268="","",Data!B268*100/Parametrar!B4)</f>
        <v>14.727420335262993</v>
      </c>
      <c r="C268" s="2">
        <f>IF(Data!C268="","",Data!C268*100/Parametrar!B5)</f>
        <v>38.800003233333598</v>
      </c>
    </row>
    <row r="269" spans="1:3" x14ac:dyDescent="0.35">
      <c r="A269" s="1">
        <f>Data!A269</f>
        <v>25294</v>
      </c>
      <c r="B269" s="2">
        <f>IF(Data!B269="","",Data!B269*100/Parametrar!B4)</f>
        <v>14.80901269169104</v>
      </c>
      <c r="C269" s="2">
        <f>IF(Data!C269="","",Data!C269*100/Parametrar!B5)</f>
        <v>38.657303221441936</v>
      </c>
    </row>
    <row r="270" spans="1:3" x14ac:dyDescent="0.35">
      <c r="A270" s="1">
        <f>Data!A270</f>
        <v>25324</v>
      </c>
      <c r="B270" s="2">
        <f>IF(Data!B270="","",Data!B270*100/Parametrar!B4)</f>
        <v>14.849808869905067</v>
      </c>
      <c r="C270" s="2">
        <f>IF(Data!C270="","",Data!C270*100/Parametrar!B5)</f>
        <v>38.511103209258593</v>
      </c>
    </row>
    <row r="271" spans="1:3" x14ac:dyDescent="0.35">
      <c r="A271" s="1">
        <f>Data!A271</f>
        <v>25355</v>
      </c>
      <c r="B271" s="2">
        <f>IF(Data!B271="","",Data!B271*100/Parametrar!B4)</f>
        <v>14.931401226333117</v>
      </c>
      <c r="C271" s="2">
        <f>IF(Data!C271="","",Data!C271*100/Parametrar!B5)</f>
        <v>38.887403240616933</v>
      </c>
    </row>
    <row r="272" spans="1:3" x14ac:dyDescent="0.35">
      <c r="A272" s="1">
        <f>Data!A272</f>
        <v>25385</v>
      </c>
      <c r="B272" s="2">
        <f>IF(Data!B272="","",Data!B272*100/Parametrar!B4)</f>
        <v>15.012993582761165</v>
      </c>
      <c r="C272" s="2">
        <f>IF(Data!C272="","",Data!C272*100/Parametrar!B5)</f>
        <v>39.092703257725269</v>
      </c>
    </row>
    <row r="273" spans="1:3" x14ac:dyDescent="0.35">
      <c r="A273" s="1">
        <f>Data!A273</f>
        <v>25416</v>
      </c>
      <c r="B273" s="2">
        <f>IF(Data!B273="","",Data!B273*100/Parametrar!B4)</f>
        <v>15.053789760975191</v>
      </c>
      <c r="C273" s="2">
        <f>IF(Data!C273="","",Data!C273*100/Parametrar!B5)</f>
        <v>39.182503265208595</v>
      </c>
    </row>
    <row r="274" spans="1:3" x14ac:dyDescent="0.35">
      <c r="A274" s="1">
        <f>Data!A274</f>
        <v>25447</v>
      </c>
      <c r="B274" s="2">
        <f>IF(Data!B274="","",Data!B274*100/Parametrar!B4)</f>
        <v>15.135382117403241</v>
      </c>
      <c r="C274" s="2">
        <f>IF(Data!C274="","",Data!C274*100/Parametrar!B5)</f>
        <v>39.173703264475272</v>
      </c>
    </row>
    <row r="275" spans="1:3" x14ac:dyDescent="0.35">
      <c r="A275" s="1">
        <f>Data!A275</f>
        <v>25477</v>
      </c>
      <c r="B275" s="2">
        <f>IF(Data!B275="","",Data!B275*100/Parametrar!B4)</f>
        <v>15.216974473831289</v>
      </c>
      <c r="C275" s="2">
        <f>IF(Data!C275="","",Data!C275*100/Parametrar!B5)</f>
        <v>39.1852032654336</v>
      </c>
    </row>
    <row r="276" spans="1:3" x14ac:dyDescent="0.35">
      <c r="A276" s="1">
        <f>Data!A276</f>
        <v>25508</v>
      </c>
      <c r="B276" s="2">
        <f>IF(Data!B276="","",Data!B276*100/Parametrar!B4)</f>
        <v>15.298566830259341</v>
      </c>
      <c r="C276" s="2">
        <f>IF(Data!C276="","",Data!C276*100/Parametrar!B5)</f>
        <v>38.815803234650268</v>
      </c>
    </row>
    <row r="277" spans="1:3" x14ac:dyDescent="0.35">
      <c r="A277" s="1">
        <f>Data!A277</f>
        <v>25538</v>
      </c>
      <c r="B277" s="2">
        <f>IF(Data!B277="","",Data!B277*100/Parametrar!B4)</f>
        <v>15.380159186687392</v>
      </c>
      <c r="C277" s="2">
        <f>IF(Data!C277="","",Data!C277*100/Parametrar!B5)</f>
        <v>38.711603225966932</v>
      </c>
    </row>
    <row r="278" spans="1:3" x14ac:dyDescent="0.35">
      <c r="A278" s="1">
        <f>Data!A278</f>
        <v>25569</v>
      </c>
      <c r="B278" s="2">
        <f>IF(Data!B278="","",Data!B278*100/Parametrar!B4)</f>
        <v>15.46175154311544</v>
      </c>
      <c r="C278" s="2">
        <f>IF(Data!C278="","",Data!C278*100/Parametrar!B5)</f>
        <v>37.994803166233588</v>
      </c>
    </row>
    <row r="279" spans="1:3" x14ac:dyDescent="0.35">
      <c r="A279" s="1">
        <f>Data!A279</f>
        <v>25600</v>
      </c>
      <c r="B279" s="2">
        <f>IF(Data!B279="","",Data!B279*100/Parametrar!B4)</f>
        <v>15.54334389954349</v>
      </c>
      <c r="C279" s="2">
        <f>IF(Data!C279="","",Data!C279*100/Parametrar!B5)</f>
        <v>37.969803164150264</v>
      </c>
    </row>
    <row r="280" spans="1:3" x14ac:dyDescent="0.35">
      <c r="A280" s="1">
        <f>Data!A280</f>
        <v>25628</v>
      </c>
      <c r="B280" s="2">
        <f>IF(Data!B280="","",Data!B280*100/Parametrar!B4)</f>
        <v>15.624936255971539</v>
      </c>
      <c r="C280" s="2">
        <f>IF(Data!C280="","",Data!C280*100/Parametrar!B5)</f>
        <v>37.920503160041925</v>
      </c>
    </row>
    <row r="281" spans="1:3" x14ac:dyDescent="0.35">
      <c r="A281" s="1">
        <f>Data!A281</f>
        <v>25659</v>
      </c>
      <c r="B281" s="2">
        <f>IF(Data!B281="","",Data!B281*100/Parametrar!B4)</f>
        <v>15.706528612399589</v>
      </c>
      <c r="C281" s="2">
        <f>IF(Data!C281="","",Data!C281*100/Parametrar!B5)</f>
        <v>37.823003151916929</v>
      </c>
    </row>
    <row r="282" spans="1:3" x14ac:dyDescent="0.35">
      <c r="A282" s="1">
        <f>Data!A282</f>
        <v>25689</v>
      </c>
      <c r="B282" s="2">
        <f>IF(Data!B282="","",Data!B282*100/Parametrar!B4)</f>
        <v>15.747324790613614</v>
      </c>
      <c r="C282" s="2">
        <f>IF(Data!C282="","",Data!C282*100/Parametrar!B5)</f>
        <v>37.778903148241923</v>
      </c>
    </row>
    <row r="283" spans="1:3" x14ac:dyDescent="0.35">
      <c r="A283" s="1">
        <f>Data!A283</f>
        <v>25720</v>
      </c>
      <c r="B283" s="2">
        <f>IF(Data!B283="","",Data!B283*100/Parametrar!B4)</f>
        <v>15.828917147041663</v>
      </c>
      <c r="C283" s="2">
        <f>IF(Data!C283="","",Data!C283*100/Parametrar!B5)</f>
        <v>37.656703138058596</v>
      </c>
    </row>
    <row r="284" spans="1:3" x14ac:dyDescent="0.35">
      <c r="A284" s="1">
        <f>Data!A284</f>
        <v>25750</v>
      </c>
      <c r="B284" s="2">
        <f>IF(Data!B284="","",Data!B284*100/Parametrar!B4)</f>
        <v>15.86971332525569</v>
      </c>
      <c r="C284" s="2">
        <f>IF(Data!C284="","",Data!C284*100/Parametrar!B5)</f>
        <v>37.749103145758589</v>
      </c>
    </row>
    <row r="285" spans="1:3" x14ac:dyDescent="0.35">
      <c r="A285" s="1">
        <f>Data!A285</f>
        <v>25781</v>
      </c>
      <c r="B285" s="2">
        <f>IF(Data!B285="","",Data!B285*100/Parametrar!B4)</f>
        <v>15.910509503469715</v>
      </c>
      <c r="C285" s="2">
        <f>IF(Data!C285="","",Data!C285*100/Parametrar!B5)</f>
        <v>37.681803140150265</v>
      </c>
    </row>
    <row r="286" spans="1:3" x14ac:dyDescent="0.35">
      <c r="A286" s="1">
        <f>Data!A286</f>
        <v>25812</v>
      </c>
      <c r="B286" s="2">
        <f>IF(Data!B286="","",Data!B286*100/Parametrar!B4)</f>
        <v>15.992101859897765</v>
      </c>
      <c r="C286" s="2">
        <f>IF(Data!C286="","",Data!C286*100/Parametrar!B5)</f>
        <v>37.422103118508588</v>
      </c>
    </row>
    <row r="287" spans="1:3" x14ac:dyDescent="0.35">
      <c r="A287" s="1">
        <f>Data!A287</f>
        <v>25842</v>
      </c>
      <c r="B287" s="2">
        <f>IF(Data!B287="","",Data!B287*100/Parametrar!B4)</f>
        <v>16.073694216325816</v>
      </c>
      <c r="C287" s="2">
        <f>IF(Data!C287="","",Data!C287*100/Parametrar!B5)</f>
        <v>36.673503056125249</v>
      </c>
    </row>
    <row r="288" spans="1:3" x14ac:dyDescent="0.35">
      <c r="A288" s="1">
        <f>Data!A288</f>
        <v>25873</v>
      </c>
      <c r="B288" s="2">
        <f>IF(Data!B288="","",Data!B288*100/Parametrar!B4)</f>
        <v>16.155286572753862</v>
      </c>
      <c r="C288" s="2">
        <f>IF(Data!C288="","",Data!C288*100/Parametrar!B5)</f>
        <v>36.451403037616913</v>
      </c>
    </row>
    <row r="289" spans="1:3" x14ac:dyDescent="0.35">
      <c r="A289" s="1">
        <f>Data!A289</f>
        <v>25903</v>
      </c>
      <c r="B289" s="2">
        <f>IF(Data!B289="","",Data!B289*100/Parametrar!B4)</f>
        <v>16.236878929181913</v>
      </c>
      <c r="C289" s="2">
        <f>IF(Data!C289="","",Data!C289*100/Parametrar!B5)</f>
        <v>37.288503107375256</v>
      </c>
    </row>
    <row r="290" spans="1:3" x14ac:dyDescent="0.35">
      <c r="A290" s="1">
        <f>Data!A290</f>
        <v>25934</v>
      </c>
      <c r="B290" s="2">
        <f>IF(Data!B290="","",Data!B290*100/Parametrar!B4)</f>
        <v>16.27767510739594</v>
      </c>
      <c r="C290" s="2">
        <f>IF(Data!C290="","",Data!C290*100/Parametrar!B5)</f>
        <v>37.575303131275255</v>
      </c>
    </row>
    <row r="291" spans="1:3" x14ac:dyDescent="0.35">
      <c r="A291" s="1">
        <f>Data!A291</f>
        <v>25965</v>
      </c>
      <c r="B291" s="2">
        <f>IF(Data!B291="","",Data!B291*100/Parametrar!B4)</f>
        <v>16.27767510739594</v>
      </c>
      <c r="C291" s="2">
        <f>IF(Data!C291="","",Data!C291*100/Parametrar!B5)</f>
        <v>37.503703125308597</v>
      </c>
    </row>
    <row r="292" spans="1:3" x14ac:dyDescent="0.35">
      <c r="A292" s="1">
        <f>Data!A292</f>
        <v>25993</v>
      </c>
      <c r="B292" s="2">
        <f>IF(Data!B292="","",Data!B292*100/Parametrar!B4)</f>
        <v>16.318471285609963</v>
      </c>
      <c r="C292" s="2">
        <f>IF(Data!C292="","",Data!C292*100/Parametrar!B5)</f>
        <v>37.463103121925251</v>
      </c>
    </row>
    <row r="293" spans="1:3" x14ac:dyDescent="0.35">
      <c r="A293" s="1">
        <f>Data!A293</f>
        <v>26024</v>
      </c>
      <c r="B293" s="2">
        <f>IF(Data!B293="","",Data!B293*100/Parametrar!B4)</f>
        <v>16.35926746382399</v>
      </c>
      <c r="C293" s="2">
        <f>IF(Data!C293="","",Data!C293*100/Parametrar!B5)</f>
        <v>37.673503139458589</v>
      </c>
    </row>
    <row r="294" spans="1:3" x14ac:dyDescent="0.35">
      <c r="A294" s="1">
        <f>Data!A294</f>
        <v>26054</v>
      </c>
      <c r="B294" s="2">
        <f>IF(Data!B294="","",Data!B294*100/Parametrar!B4)</f>
        <v>16.440859820252037</v>
      </c>
      <c r="C294" s="2">
        <f>IF(Data!C294="","",Data!C294*100/Parametrar!B5)</f>
        <v>37.864603155383598</v>
      </c>
    </row>
    <row r="295" spans="1:3" x14ac:dyDescent="0.35">
      <c r="A295" s="1">
        <f>Data!A295</f>
        <v>26085</v>
      </c>
      <c r="B295" s="2">
        <f>IF(Data!B295="","",Data!B295*100/Parametrar!B4)</f>
        <v>16.522452176680087</v>
      </c>
      <c r="C295" s="2">
        <f>IF(Data!C295="","",Data!C295*100/Parametrar!B5)</f>
        <v>38.02340316861693</v>
      </c>
    </row>
    <row r="296" spans="1:3" x14ac:dyDescent="0.35">
      <c r="A296" s="1">
        <f>Data!A296</f>
        <v>26115</v>
      </c>
      <c r="B296" s="2">
        <f>IF(Data!B296="","",Data!B296*100/Parametrar!B4)</f>
        <v>16.563248354894114</v>
      </c>
      <c r="C296" s="2">
        <f>IF(Data!C296="","",Data!C296*100/Parametrar!B5)</f>
        <v>37.913103159425262</v>
      </c>
    </row>
    <row r="297" spans="1:3" x14ac:dyDescent="0.35">
      <c r="A297" s="1">
        <f>Data!A297</f>
        <v>26146</v>
      </c>
      <c r="B297" s="2">
        <f>IF(Data!B297="","",Data!B297*100/Parametrar!B4)</f>
        <v>16.604044533108141</v>
      </c>
      <c r="C297" s="2">
        <f>IF(Data!C297="","",Data!C297*100/Parametrar!B5)</f>
        <v>37.693003141083587</v>
      </c>
    </row>
    <row r="298" spans="1:3" x14ac:dyDescent="0.35">
      <c r="A298" s="1">
        <f>Data!A298</f>
        <v>26177</v>
      </c>
      <c r="B298" s="2">
        <f>IF(Data!B298="","",Data!B298*100/Parametrar!B4)</f>
        <v>16.644840711322161</v>
      </c>
      <c r="C298" s="2">
        <f>IF(Data!C298="","",Data!C298*100/Parametrar!B5)</f>
        <v>38.305603192133596</v>
      </c>
    </row>
    <row r="299" spans="1:3" x14ac:dyDescent="0.35">
      <c r="A299" s="1">
        <f>Data!A299</f>
        <v>26207</v>
      </c>
      <c r="B299" s="2">
        <f>IF(Data!B299="","",Data!B299*100/Parametrar!B4)</f>
        <v>16.685636889536188</v>
      </c>
      <c r="C299" s="2">
        <f>IF(Data!C299="","",Data!C299*100/Parametrar!B5)</f>
        <v>38.592403216033595</v>
      </c>
    </row>
    <row r="300" spans="1:3" x14ac:dyDescent="0.35">
      <c r="A300" s="1">
        <f>Data!A300</f>
        <v>26238</v>
      </c>
      <c r="B300" s="2">
        <f>IF(Data!B300="","",Data!B300*100/Parametrar!B4)</f>
        <v>16.726433067750211</v>
      </c>
      <c r="C300" s="2">
        <f>IF(Data!C300="","",Data!C300*100/Parametrar!B5)</f>
        <v>38.756103229675276</v>
      </c>
    </row>
    <row r="301" spans="1:3" x14ac:dyDescent="0.35">
      <c r="A301" s="1">
        <f>Data!A301</f>
        <v>26268</v>
      </c>
      <c r="B301" s="2">
        <f>IF(Data!B301="","",Data!B301*100/Parametrar!B4)</f>
        <v>16.767229245964238</v>
      </c>
      <c r="C301" s="2">
        <f>IF(Data!C301="","",Data!C301*100/Parametrar!B5)</f>
        <v>39.203503266958599</v>
      </c>
    </row>
    <row r="302" spans="1:3" x14ac:dyDescent="0.35">
      <c r="A302" s="1">
        <f>Data!A302</f>
        <v>26299</v>
      </c>
      <c r="B302" s="2">
        <f>IF(Data!B302="","",Data!B302*100/Parametrar!B4)</f>
        <v>16.808025424178261</v>
      </c>
      <c r="C302" s="2">
        <f>IF(Data!C302="","",Data!C302*100/Parametrar!B5)</f>
        <v>40.140803345066942</v>
      </c>
    </row>
    <row r="303" spans="1:3" x14ac:dyDescent="0.35">
      <c r="A303" s="1">
        <f>Data!A303</f>
        <v>26330</v>
      </c>
      <c r="B303" s="2">
        <f>IF(Data!B303="","",Data!B303*100/Parametrar!B4)</f>
        <v>16.889617780606311</v>
      </c>
      <c r="C303" s="2">
        <f>IF(Data!C303="","",Data!C303*100/Parametrar!B5)</f>
        <v>40.54590337882528</v>
      </c>
    </row>
    <row r="304" spans="1:3" x14ac:dyDescent="0.35">
      <c r="A304" s="1">
        <f>Data!A304</f>
        <v>26359</v>
      </c>
      <c r="B304" s="2">
        <f>IF(Data!B304="","",Data!B304*100/Parametrar!B4)</f>
        <v>16.889617780606311</v>
      </c>
      <c r="C304" s="2">
        <f>IF(Data!C304="","",Data!C304*100/Parametrar!B5)</f>
        <v>40.826303402191947</v>
      </c>
    </row>
    <row r="305" spans="1:3" x14ac:dyDescent="0.35">
      <c r="A305" s="1">
        <f>Data!A305</f>
        <v>26390</v>
      </c>
      <c r="B305" s="2">
        <f>IF(Data!B305="","",Data!B305*100/Parametrar!B4)</f>
        <v>16.930413958820338</v>
      </c>
      <c r="C305" s="2">
        <f>IF(Data!C305="","",Data!C305*100/Parametrar!B5)</f>
        <v>41.234803436233612</v>
      </c>
    </row>
    <row r="306" spans="1:3" x14ac:dyDescent="0.35">
      <c r="A306" s="1">
        <f>Data!A306</f>
        <v>26420</v>
      </c>
      <c r="B306" s="2">
        <f>IF(Data!B306="","",Data!B306*100/Parametrar!B4)</f>
        <v>16.971210137034362</v>
      </c>
      <c r="C306" s="2">
        <f>IF(Data!C306="","",Data!C306*100/Parametrar!B5)</f>
        <v>41.240503436708607</v>
      </c>
    </row>
    <row r="307" spans="1:3" x14ac:dyDescent="0.35">
      <c r="A307" s="1">
        <f>Data!A307</f>
        <v>26451</v>
      </c>
      <c r="B307" s="2">
        <f>IF(Data!B307="","",Data!B307*100/Parametrar!B4)</f>
        <v>17.012006315248385</v>
      </c>
      <c r="C307" s="2">
        <f>IF(Data!C307="","",Data!C307*100/Parametrar!B5)</f>
        <v>41.349703445808622</v>
      </c>
    </row>
    <row r="308" spans="1:3" x14ac:dyDescent="0.35">
      <c r="A308" s="1">
        <f>Data!A308</f>
        <v>26481</v>
      </c>
      <c r="B308" s="2">
        <f>IF(Data!B308="","",Data!B308*100/Parametrar!B4)</f>
        <v>17.052802493462412</v>
      </c>
      <c r="C308" s="2">
        <f>IF(Data!C308="","",Data!C308*100/Parametrar!B5)</f>
        <v>41.303503441958618</v>
      </c>
    </row>
    <row r="309" spans="1:3" x14ac:dyDescent="0.35">
      <c r="A309" s="1">
        <f>Data!A309</f>
        <v>26512</v>
      </c>
      <c r="B309" s="2">
        <f>IF(Data!B309="","",Data!B309*100/Parametrar!B4)</f>
        <v>17.093598671676435</v>
      </c>
      <c r="C309" s="2">
        <f>IF(Data!C309="","",Data!C309*100/Parametrar!B5)</f>
        <v>41.879003489916954</v>
      </c>
    </row>
    <row r="310" spans="1:3" x14ac:dyDescent="0.35">
      <c r="A310" s="1">
        <f>Data!A310</f>
        <v>26543</v>
      </c>
      <c r="B310" s="2">
        <f>IF(Data!B310="","",Data!B310*100/Parametrar!B4)</f>
        <v>17.175191028104486</v>
      </c>
      <c r="C310" s="2">
        <f>IF(Data!C310="","",Data!C310*100/Parametrar!B5)</f>
        <v>42.213203517766956</v>
      </c>
    </row>
    <row r="311" spans="1:3" x14ac:dyDescent="0.35">
      <c r="A311" s="1">
        <f>Data!A311</f>
        <v>26573</v>
      </c>
      <c r="B311" s="2">
        <f>IF(Data!B311="","",Data!B311*100/Parametrar!B4)</f>
        <v>17.215987206318513</v>
      </c>
      <c r="C311" s="2">
        <f>IF(Data!C311="","",Data!C311*100/Parametrar!B5)</f>
        <v>42.749403562450297</v>
      </c>
    </row>
    <row r="312" spans="1:3" x14ac:dyDescent="0.35">
      <c r="A312" s="1">
        <f>Data!A312</f>
        <v>26604</v>
      </c>
      <c r="B312" s="2">
        <f>IF(Data!B312="","",Data!B312*100/Parametrar!B4)</f>
        <v>17.297579562746563</v>
      </c>
      <c r="C312" s="2">
        <f>IF(Data!C312="","",Data!C312*100/Parametrar!B5)</f>
        <v>43.254803604566966</v>
      </c>
    </row>
    <row r="313" spans="1:3" x14ac:dyDescent="0.35">
      <c r="A313" s="1">
        <f>Data!A313</f>
        <v>26634</v>
      </c>
      <c r="B313" s="2">
        <f>IF(Data!B313="","",Data!B313*100/Parametrar!B4)</f>
        <v>17.338375740960586</v>
      </c>
      <c r="C313" s="2">
        <f>IF(Data!C313="","",Data!C313*100/Parametrar!B5)</f>
        <v>43.736703644725303</v>
      </c>
    </row>
    <row r="314" spans="1:3" x14ac:dyDescent="0.35">
      <c r="A314" s="1">
        <f>Data!A314</f>
        <v>26665</v>
      </c>
      <c r="B314" s="2">
        <f>IF(Data!B314="","",Data!B314*100/Parametrar!B4)</f>
        <v>17.419968097388637</v>
      </c>
      <c r="C314" s="2">
        <f>IF(Data!C314="","",Data!C314*100/Parametrar!B5)</f>
        <v>44.052903671075299</v>
      </c>
    </row>
    <row r="315" spans="1:3" x14ac:dyDescent="0.35">
      <c r="A315" s="1">
        <f>Data!A315</f>
        <v>26696</v>
      </c>
      <c r="B315" s="2">
        <f>IF(Data!B315="","",Data!B315*100/Parametrar!B4)</f>
        <v>17.54235663203071</v>
      </c>
      <c r="C315" s="2">
        <f>IF(Data!C315="","",Data!C315*100/Parametrar!B5)</f>
        <v>44.682703723558639</v>
      </c>
    </row>
    <row r="316" spans="1:3" x14ac:dyDescent="0.35">
      <c r="A316" s="1">
        <f>Data!A316</f>
        <v>26724</v>
      </c>
      <c r="B316" s="2">
        <f>IF(Data!B316="","",Data!B316*100/Parametrar!B4)</f>
        <v>17.705541344886811</v>
      </c>
      <c r="C316" s="2">
        <f>IF(Data!C316="","",Data!C316*100/Parametrar!B5)</f>
        <v>44.704503725375318</v>
      </c>
    </row>
    <row r="317" spans="1:3" x14ac:dyDescent="0.35">
      <c r="A317" s="1">
        <f>Data!A317</f>
        <v>26755</v>
      </c>
      <c r="B317" s="2">
        <f>IF(Data!B317="","",Data!B317*100/Parametrar!B4)</f>
        <v>17.827929879528885</v>
      </c>
      <c r="C317" s="2">
        <f>IF(Data!C317="","",Data!C317*100/Parametrar!B5)</f>
        <v>44.638703719891971</v>
      </c>
    </row>
    <row r="318" spans="1:3" x14ac:dyDescent="0.35">
      <c r="A318" s="1">
        <f>Data!A318</f>
        <v>26785</v>
      </c>
      <c r="B318" s="2">
        <f>IF(Data!B318="","",Data!B318*100/Parametrar!B4)</f>
        <v>17.909522235956935</v>
      </c>
      <c r="C318" s="2">
        <f>IF(Data!C318="","",Data!C318*100/Parametrar!B5)</f>
        <v>44.942903745241978</v>
      </c>
    </row>
    <row r="319" spans="1:3" x14ac:dyDescent="0.35">
      <c r="A319" s="1">
        <f>Data!A319</f>
        <v>26816</v>
      </c>
      <c r="B319" s="2">
        <f>IF(Data!B319="","",Data!B319*100/Parametrar!B4)</f>
        <v>18.031910770599008</v>
      </c>
      <c r="C319" s="2">
        <f>IF(Data!C319="","",Data!C319*100/Parametrar!B5)</f>
        <v>45.003503750291976</v>
      </c>
    </row>
    <row r="320" spans="1:3" x14ac:dyDescent="0.35">
      <c r="A320" s="1">
        <f>Data!A320</f>
        <v>26846</v>
      </c>
      <c r="B320" s="2">
        <f>IF(Data!B320="","",Data!B320*100/Parametrar!B4)</f>
        <v>18.031910770599008</v>
      </c>
      <c r="C320" s="2">
        <f>IF(Data!C320="","",Data!C320*100/Parametrar!B5)</f>
        <v>45.163603763633652</v>
      </c>
    </row>
    <row r="321" spans="1:3" x14ac:dyDescent="0.35">
      <c r="A321" s="1">
        <f>Data!A321</f>
        <v>26877</v>
      </c>
      <c r="B321" s="2">
        <f>IF(Data!B321="","",Data!B321*100/Parametrar!B4)</f>
        <v>18.35828019631121</v>
      </c>
      <c r="C321" s="2">
        <f>IF(Data!C321="","",Data!C321*100/Parametrar!B5)</f>
        <v>45.101903758491979</v>
      </c>
    </row>
    <row r="322" spans="1:3" x14ac:dyDescent="0.35">
      <c r="A322" s="1">
        <f>Data!A322</f>
        <v>26908</v>
      </c>
      <c r="B322" s="2">
        <f>IF(Data!B322="","",Data!B322*100/Parametrar!B4)</f>
        <v>18.43987255273926</v>
      </c>
      <c r="C322" s="2">
        <f>IF(Data!C322="","",Data!C322*100/Parametrar!B5)</f>
        <v>45.462403788533642</v>
      </c>
    </row>
    <row r="323" spans="1:3" x14ac:dyDescent="0.35">
      <c r="A323" s="1">
        <f>Data!A323</f>
        <v>26938</v>
      </c>
      <c r="B323" s="2">
        <f>IF(Data!B323="","",Data!B323*100/Parametrar!B4)</f>
        <v>18.603057265595357</v>
      </c>
      <c r="C323" s="2">
        <f>IF(Data!C323="","",Data!C323*100/Parametrar!B5)</f>
        <v>45.847003820583645</v>
      </c>
    </row>
    <row r="324" spans="1:3" x14ac:dyDescent="0.35">
      <c r="A324" s="1">
        <f>Data!A324</f>
        <v>26969</v>
      </c>
      <c r="B324" s="2">
        <f>IF(Data!B324="","",Data!B324*100/Parametrar!B4)</f>
        <v>18.725445800237434</v>
      </c>
      <c r="C324" s="2">
        <f>IF(Data!C324="","",Data!C324*100/Parametrar!B5)</f>
        <v>46.055303837941992</v>
      </c>
    </row>
    <row r="325" spans="1:3" x14ac:dyDescent="0.35">
      <c r="A325" s="1">
        <f>Data!A325</f>
        <v>26999</v>
      </c>
      <c r="B325" s="2">
        <f>IF(Data!B325="","",Data!B325*100/Parametrar!B4)</f>
        <v>18.888630513093531</v>
      </c>
      <c r="C325" s="2">
        <f>IF(Data!C325="","",Data!C325*100/Parametrar!B5)</f>
        <v>45.923003826916982</v>
      </c>
    </row>
    <row r="326" spans="1:3" x14ac:dyDescent="0.35">
      <c r="A326" s="1">
        <f>Data!A326</f>
        <v>27030</v>
      </c>
      <c r="B326" s="2">
        <f>IF(Data!B326="","",Data!B326*100/Parametrar!B4)</f>
        <v>19.092611404163659</v>
      </c>
      <c r="C326" s="2">
        <f>IF(Data!C326="","",Data!C326*100/Parametrar!B5)</f>
        <v>45.620403801700313</v>
      </c>
    </row>
    <row r="327" spans="1:3" x14ac:dyDescent="0.35">
      <c r="A327" s="1">
        <f>Data!A327</f>
        <v>27061</v>
      </c>
      <c r="B327" s="2">
        <f>IF(Data!B327="","",Data!B327*100/Parametrar!B4)</f>
        <v>19.296592295233783</v>
      </c>
      <c r="C327" s="2">
        <f>IF(Data!C327="","",Data!C327*100/Parametrar!B5)</f>
        <v>45.475903789658645</v>
      </c>
    </row>
    <row r="328" spans="1:3" x14ac:dyDescent="0.35">
      <c r="A328" s="1">
        <f>Data!A328</f>
        <v>27089</v>
      </c>
      <c r="B328" s="2">
        <f>IF(Data!B328="","",Data!B328*100/Parametrar!B4)</f>
        <v>19.500573186303907</v>
      </c>
      <c r="C328" s="2">
        <f>IF(Data!C328="","",Data!C328*100/Parametrar!B5)</f>
        <v>45.477703789808643</v>
      </c>
    </row>
    <row r="329" spans="1:3" x14ac:dyDescent="0.35">
      <c r="A329" s="1">
        <f>Data!A329</f>
        <v>27120</v>
      </c>
      <c r="B329" s="2">
        <f>IF(Data!B329="","",Data!B329*100/Parametrar!B4)</f>
        <v>19.62296172094598</v>
      </c>
      <c r="C329" s="2">
        <f>IF(Data!C329="","",Data!C329*100/Parametrar!B5)</f>
        <v>45.345103778758649</v>
      </c>
    </row>
    <row r="330" spans="1:3" x14ac:dyDescent="0.35">
      <c r="A330" s="1">
        <f>Data!A330</f>
        <v>27150</v>
      </c>
      <c r="B330" s="2">
        <f>IF(Data!B330="","",Data!B330*100/Parametrar!B4)</f>
        <v>19.826942612016104</v>
      </c>
      <c r="C330" s="2">
        <f>IF(Data!C330="","",Data!C330*100/Parametrar!B5)</f>
        <v>45.704403808700313</v>
      </c>
    </row>
    <row r="331" spans="1:3" x14ac:dyDescent="0.35">
      <c r="A331" s="1">
        <f>Data!A331</f>
        <v>27181</v>
      </c>
      <c r="B331" s="2">
        <f>IF(Data!B331="","",Data!B331*100/Parametrar!B4)</f>
        <v>19.990127324872205</v>
      </c>
      <c r="C331" s="2">
        <f>IF(Data!C331="","",Data!C331*100/Parametrar!B5)</f>
        <v>45.623803801983648</v>
      </c>
    </row>
    <row r="332" spans="1:3" x14ac:dyDescent="0.35">
      <c r="A332" s="1">
        <f>Data!A332</f>
        <v>27211</v>
      </c>
      <c r="B332" s="2">
        <f>IF(Data!B332="","",Data!B332*100/Parametrar!B4)</f>
        <v>20.112515859514279</v>
      </c>
      <c r="C332" s="2">
        <f>IF(Data!C332="","",Data!C332*100/Parametrar!B5)</f>
        <v>45.722103810175312</v>
      </c>
    </row>
    <row r="333" spans="1:3" x14ac:dyDescent="0.35">
      <c r="A333" s="1">
        <f>Data!A333</f>
        <v>27242</v>
      </c>
      <c r="B333" s="2">
        <f>IF(Data!B333="","",Data!B333*100/Parametrar!B4)</f>
        <v>20.357292928798429</v>
      </c>
      <c r="C333" s="2">
        <f>IF(Data!C333="","",Data!C333*100/Parametrar!B5)</f>
        <v>45.236603769716979</v>
      </c>
    </row>
    <row r="334" spans="1:3" x14ac:dyDescent="0.35">
      <c r="A334" s="1">
        <f>Data!A334</f>
        <v>27273</v>
      </c>
      <c r="B334" s="2">
        <f>IF(Data!B334="","",Data!B334*100/Parametrar!B4)</f>
        <v>20.642866176296604</v>
      </c>
      <c r="C334" s="2">
        <f>IF(Data!C334="","",Data!C334*100/Parametrar!B5)</f>
        <v>45.236503769708641</v>
      </c>
    </row>
    <row r="335" spans="1:3" x14ac:dyDescent="0.35">
      <c r="A335" s="1">
        <f>Data!A335</f>
        <v>27303</v>
      </c>
      <c r="B335" s="2">
        <f>IF(Data!B335="","",Data!B335*100/Parametrar!B4)</f>
        <v>20.806050889152704</v>
      </c>
      <c r="C335" s="2">
        <f>IF(Data!C335="","",Data!C335*100/Parametrar!B5)</f>
        <v>45.113303759441976</v>
      </c>
    </row>
    <row r="336" spans="1:3" x14ac:dyDescent="0.35">
      <c r="A336" s="1">
        <f>Data!A336</f>
        <v>27334</v>
      </c>
      <c r="B336" s="2">
        <f>IF(Data!B336="","",Data!B336*100/Parametrar!B4)</f>
        <v>21.010031780222828</v>
      </c>
      <c r="C336" s="2">
        <f>IF(Data!C336="","",Data!C336*100/Parametrar!B5)</f>
        <v>43.627803635650295</v>
      </c>
    </row>
    <row r="337" spans="1:3" x14ac:dyDescent="0.35">
      <c r="A337" s="1">
        <f>Data!A337</f>
        <v>27364</v>
      </c>
      <c r="B337" s="2">
        <f>IF(Data!B337="","",Data!B337*100/Parametrar!B4)</f>
        <v>21.173216493078929</v>
      </c>
      <c r="C337" s="2">
        <f>IF(Data!C337="","",Data!C337*100/Parametrar!B5)</f>
        <v>42.053303504441956</v>
      </c>
    </row>
    <row r="338" spans="1:3" x14ac:dyDescent="0.35">
      <c r="A338" s="1">
        <f>Data!A338</f>
        <v>27395</v>
      </c>
      <c r="B338" s="2">
        <f>IF(Data!B338="","",Data!B338*100/Parametrar!B4)</f>
        <v>21.336401205935026</v>
      </c>
      <c r="C338" s="2">
        <f>IF(Data!C338="","",Data!C338*100/Parametrar!B5)</f>
        <v>41.467603455633615</v>
      </c>
    </row>
    <row r="339" spans="1:3" x14ac:dyDescent="0.35">
      <c r="A339" s="1">
        <f>Data!A339</f>
        <v>27426</v>
      </c>
      <c r="B339" s="2">
        <f>IF(Data!B339="","",Data!B339*100/Parametrar!B4)</f>
        <v>21.458789740577103</v>
      </c>
      <c r="C339" s="2">
        <f>IF(Data!C339="","",Data!C339*100/Parametrar!B5)</f>
        <v>40.516503376375276</v>
      </c>
    </row>
    <row r="340" spans="1:3" x14ac:dyDescent="0.35">
      <c r="A340" s="1">
        <f>Data!A340</f>
        <v>27454</v>
      </c>
      <c r="B340" s="2">
        <f>IF(Data!B340="","",Data!B340*100/Parametrar!B4)</f>
        <v>21.540382097005153</v>
      </c>
      <c r="C340" s="2">
        <f>IF(Data!C340="","",Data!C340*100/Parametrar!B5)</f>
        <v>40.063803338650274</v>
      </c>
    </row>
    <row r="341" spans="1:3" x14ac:dyDescent="0.35">
      <c r="A341" s="1">
        <f>Data!A341</f>
        <v>27485</v>
      </c>
      <c r="B341" s="2">
        <f>IF(Data!B341="","",Data!B341*100/Parametrar!B4)</f>
        <v>21.6219744534332</v>
      </c>
      <c r="C341" s="2">
        <f>IF(Data!C341="","",Data!C341*100/Parametrar!B5)</f>
        <v>40.157303346441942</v>
      </c>
    </row>
    <row r="342" spans="1:3" x14ac:dyDescent="0.35">
      <c r="A342" s="1">
        <f>Data!A342</f>
        <v>27515</v>
      </c>
      <c r="B342" s="2">
        <f>IF(Data!B342="","",Data!B342*100/Parametrar!B4)</f>
        <v>21.662770631647227</v>
      </c>
      <c r="C342" s="2">
        <f>IF(Data!C342="","",Data!C342*100/Parametrar!B5)</f>
        <v>40.025303335441947</v>
      </c>
    </row>
    <row r="343" spans="1:3" x14ac:dyDescent="0.35">
      <c r="A343" s="1">
        <f>Data!A343</f>
        <v>27546</v>
      </c>
      <c r="B343" s="2">
        <f>IF(Data!B343="","",Data!B343*100/Parametrar!B4)</f>
        <v>21.825955344503328</v>
      </c>
      <c r="C343" s="2">
        <f>IF(Data!C343="","",Data!C343*100/Parametrar!B5)</f>
        <v>40.27720335643361</v>
      </c>
    </row>
    <row r="344" spans="1:3" x14ac:dyDescent="0.35">
      <c r="A344" s="1">
        <f>Data!A344</f>
        <v>27576</v>
      </c>
      <c r="B344" s="2">
        <f>IF(Data!B344="","",Data!B344*100/Parametrar!B4)</f>
        <v>22.029936235573452</v>
      </c>
      <c r="C344" s="2">
        <f>IF(Data!C344="","",Data!C344*100/Parametrar!B5)</f>
        <v>40.69940339161694</v>
      </c>
    </row>
    <row r="345" spans="1:3" x14ac:dyDescent="0.35">
      <c r="A345" s="1">
        <f>Data!A345</f>
        <v>27607</v>
      </c>
      <c r="B345" s="2">
        <f>IF(Data!B345="","",Data!B345*100/Parametrar!B4)</f>
        <v>22.111528592001502</v>
      </c>
      <c r="C345" s="2">
        <f>IF(Data!C345="","",Data!C345*100/Parametrar!B5)</f>
        <v>41.099803424983619</v>
      </c>
    </row>
    <row r="346" spans="1:3" x14ac:dyDescent="0.35">
      <c r="A346" s="1">
        <f>Data!A346</f>
        <v>27638</v>
      </c>
      <c r="B346" s="2">
        <f>IF(Data!B346="","",Data!B346*100/Parametrar!B4)</f>
        <v>22.274713304857599</v>
      </c>
      <c r="C346" s="2">
        <f>IF(Data!C346="","",Data!C346*100/Parametrar!B5)</f>
        <v>41.630403469200289</v>
      </c>
    </row>
    <row r="347" spans="1:3" x14ac:dyDescent="0.35">
      <c r="A347" s="1">
        <f>Data!A347</f>
        <v>27668</v>
      </c>
      <c r="B347" s="2">
        <f>IF(Data!B347="","",Data!B347*100/Parametrar!B4)</f>
        <v>22.397101839499676</v>
      </c>
      <c r="C347" s="2">
        <f>IF(Data!C347="","",Data!C347*100/Parametrar!B5)</f>
        <v>41.813503484458614</v>
      </c>
    </row>
    <row r="348" spans="1:3" x14ac:dyDescent="0.35">
      <c r="A348" s="1">
        <f>Data!A348</f>
        <v>27699</v>
      </c>
      <c r="B348" s="2">
        <f>IF(Data!B348="","",Data!B348*100/Parametrar!B4)</f>
        <v>22.560286552355773</v>
      </c>
      <c r="C348" s="2">
        <f>IF(Data!C348="","",Data!C348*100/Parametrar!B5)</f>
        <v>41.869703489141955</v>
      </c>
    </row>
    <row r="349" spans="1:3" x14ac:dyDescent="0.35">
      <c r="A349" s="1">
        <f>Data!A349</f>
        <v>27729</v>
      </c>
      <c r="B349" s="2">
        <f>IF(Data!B349="","",Data!B349*100/Parametrar!B4)</f>
        <v>22.68267508699785</v>
      </c>
      <c r="C349" s="2">
        <f>IF(Data!C349="","",Data!C349*100/Parametrar!B5)</f>
        <v>42.441403536783632</v>
      </c>
    </row>
    <row r="350" spans="1:3" x14ac:dyDescent="0.35">
      <c r="A350" s="1">
        <f>Data!A350</f>
        <v>27760</v>
      </c>
      <c r="B350" s="2">
        <f>IF(Data!B350="","",Data!B350*100/Parametrar!B4)</f>
        <v>22.764267443425901</v>
      </c>
      <c r="C350" s="2">
        <f>IF(Data!C350="","",Data!C350*100/Parametrar!B5)</f>
        <v>43.001203583433629</v>
      </c>
    </row>
    <row r="351" spans="1:3" x14ac:dyDescent="0.35">
      <c r="A351" s="1">
        <f>Data!A351</f>
        <v>27791</v>
      </c>
      <c r="B351" s="2">
        <f>IF(Data!B351="","",Data!B351*100/Parametrar!B4)</f>
        <v>22.805063621639924</v>
      </c>
      <c r="C351" s="2">
        <f>IF(Data!C351="","",Data!C351*100/Parametrar!B5)</f>
        <v>43.422903618575297</v>
      </c>
    </row>
    <row r="352" spans="1:3" x14ac:dyDescent="0.35">
      <c r="A352" s="1">
        <f>Data!A352</f>
        <v>27820</v>
      </c>
      <c r="B352" s="2">
        <f>IF(Data!B352="","",Data!B352*100/Parametrar!B4)</f>
        <v>22.845859799853947</v>
      </c>
      <c r="C352" s="2">
        <f>IF(Data!C352="","",Data!C352*100/Parametrar!B5)</f>
        <v>43.516803626400304</v>
      </c>
    </row>
    <row r="353" spans="1:3" x14ac:dyDescent="0.35">
      <c r="A353" s="1">
        <f>Data!A353</f>
        <v>27851</v>
      </c>
      <c r="B353" s="2">
        <f>IF(Data!B353="","",Data!B353*100/Parametrar!B4)</f>
        <v>22.886655978067974</v>
      </c>
      <c r="C353" s="2">
        <f>IF(Data!C353="","",Data!C353*100/Parametrar!B5)</f>
        <v>43.732703644391975</v>
      </c>
    </row>
    <row r="354" spans="1:3" x14ac:dyDescent="0.35">
      <c r="A354" s="1">
        <f>Data!A354</f>
        <v>27881</v>
      </c>
      <c r="B354" s="2">
        <f>IF(Data!B354="","",Data!B354*100/Parametrar!B4)</f>
        <v>23.009044512710048</v>
      </c>
      <c r="C354" s="2">
        <f>IF(Data!C354="","",Data!C354*100/Parametrar!B5)</f>
        <v>43.91860365988363</v>
      </c>
    </row>
    <row r="355" spans="1:3" x14ac:dyDescent="0.35">
      <c r="A355" s="1">
        <f>Data!A355</f>
        <v>27912</v>
      </c>
      <c r="B355" s="2">
        <f>IF(Data!B355="","",Data!B355*100/Parametrar!B4)</f>
        <v>23.131433047352122</v>
      </c>
      <c r="C355" s="2">
        <f>IF(Data!C355="","",Data!C355*100/Parametrar!B5)</f>
        <v>43.963703663641965</v>
      </c>
    </row>
    <row r="356" spans="1:3" x14ac:dyDescent="0.35">
      <c r="A356" s="1">
        <f>Data!A356</f>
        <v>27942</v>
      </c>
      <c r="B356" s="2">
        <f>IF(Data!B356="","",Data!B356*100/Parametrar!B4)</f>
        <v>23.253821581994199</v>
      </c>
      <c r="C356" s="2">
        <f>IF(Data!C356="","",Data!C356*100/Parametrar!B5)</f>
        <v>44.214103684508636</v>
      </c>
    </row>
    <row r="357" spans="1:3" x14ac:dyDescent="0.35">
      <c r="A357" s="1">
        <f>Data!A357</f>
        <v>27973</v>
      </c>
      <c r="B357" s="2">
        <f>IF(Data!B357="","",Data!B357*100/Parametrar!B4)</f>
        <v>23.376210116636273</v>
      </c>
      <c r="C357" s="2">
        <f>IF(Data!C357="","",Data!C357*100/Parametrar!B5)</f>
        <v>44.518203709850305</v>
      </c>
    </row>
    <row r="358" spans="1:3" x14ac:dyDescent="0.35">
      <c r="A358" s="1">
        <f>Data!A358</f>
        <v>28004</v>
      </c>
      <c r="B358" s="2">
        <f>IF(Data!B358="","",Data!B358*100/Parametrar!B4)</f>
        <v>23.498598651278346</v>
      </c>
      <c r="C358" s="2">
        <f>IF(Data!C358="","",Data!C358*100/Parametrar!B5)</f>
        <v>44.67210372267531</v>
      </c>
    </row>
    <row r="359" spans="1:3" x14ac:dyDescent="0.35">
      <c r="A359" s="1">
        <f>Data!A359</f>
        <v>28034</v>
      </c>
      <c r="B359" s="2">
        <f>IF(Data!B359="","",Data!B359*100/Parametrar!B4)</f>
        <v>23.620987185920423</v>
      </c>
      <c r="C359" s="2">
        <f>IF(Data!C359="","",Data!C359*100/Parametrar!B5)</f>
        <v>44.658503721541969</v>
      </c>
    </row>
    <row r="360" spans="1:3" x14ac:dyDescent="0.35">
      <c r="A360" s="1">
        <f>Data!A360</f>
        <v>28065</v>
      </c>
      <c r="B360" s="2">
        <f>IF(Data!B360="","",Data!B360*100/Parametrar!B4)</f>
        <v>23.70257954234847</v>
      </c>
      <c r="C360" s="2">
        <f>IF(Data!C360="","",Data!C360*100/Parametrar!B5)</f>
        <v>45.339203778266977</v>
      </c>
    </row>
    <row r="361" spans="1:3" x14ac:dyDescent="0.35">
      <c r="A361" s="1">
        <f>Data!A361</f>
        <v>28095</v>
      </c>
      <c r="B361" s="2">
        <f>IF(Data!B361="","",Data!B361*100/Parametrar!B4)</f>
        <v>23.824968076990547</v>
      </c>
      <c r="C361" s="2">
        <f>IF(Data!C361="","",Data!C361*100/Parametrar!B5)</f>
        <v>45.829403819116976</v>
      </c>
    </row>
    <row r="362" spans="1:3" x14ac:dyDescent="0.35">
      <c r="A362" s="1">
        <f>Data!A362</f>
        <v>28126</v>
      </c>
      <c r="B362" s="2">
        <f>IF(Data!B362="","",Data!B362*100/Parametrar!B4)</f>
        <v>23.947356611632621</v>
      </c>
      <c r="C362" s="2">
        <f>IF(Data!C362="","",Data!C362*100/Parametrar!B5)</f>
        <v>45.508703792391977</v>
      </c>
    </row>
    <row r="363" spans="1:3" x14ac:dyDescent="0.35">
      <c r="A363" s="1">
        <f>Data!A363</f>
        <v>28157</v>
      </c>
      <c r="B363" s="2">
        <f>IF(Data!B363="","",Data!B363*100/Parametrar!B4)</f>
        <v>24.192133680916772</v>
      </c>
      <c r="C363" s="2">
        <f>IF(Data!C363="","",Data!C363*100/Parametrar!B5)</f>
        <v>46.227703852308643</v>
      </c>
    </row>
    <row r="364" spans="1:3" x14ac:dyDescent="0.35">
      <c r="A364" s="1">
        <f>Data!A364</f>
        <v>28185</v>
      </c>
      <c r="B364" s="2">
        <f>IF(Data!B364="","",Data!B364*100/Parametrar!B4)</f>
        <v>24.314522215558846</v>
      </c>
      <c r="C364" s="2">
        <f>IF(Data!C364="","",Data!C364*100/Parametrar!B5)</f>
        <v>46.818503901541995</v>
      </c>
    </row>
    <row r="365" spans="1:3" x14ac:dyDescent="0.35">
      <c r="A365" s="1">
        <f>Data!A365</f>
        <v>28216</v>
      </c>
      <c r="B365" s="2">
        <f>IF(Data!B365="","",Data!B365*100/Parametrar!B4)</f>
        <v>24.477706928414946</v>
      </c>
      <c r="C365" s="2">
        <f>IF(Data!C365="","",Data!C365*100/Parametrar!B5)</f>
        <v>47.268403939033661</v>
      </c>
    </row>
    <row r="366" spans="1:3" x14ac:dyDescent="0.35">
      <c r="A366" s="1">
        <f>Data!A366</f>
        <v>28246</v>
      </c>
      <c r="B366" s="2">
        <f>IF(Data!B366="","",Data!B366*100/Parametrar!B4)</f>
        <v>24.559299284842997</v>
      </c>
      <c r="C366" s="2">
        <f>IF(Data!C366="","",Data!C366*100/Parametrar!B5)</f>
        <v>47.641103970091997</v>
      </c>
    </row>
    <row r="367" spans="1:3" x14ac:dyDescent="0.35">
      <c r="A367" s="1">
        <f>Data!A367</f>
        <v>28277</v>
      </c>
      <c r="B367" s="2">
        <f>IF(Data!B367="","",Data!B367*100/Parametrar!B4)</f>
        <v>24.68168781948507</v>
      </c>
      <c r="C367" s="2">
        <f>IF(Data!C367="","",Data!C367*100/Parametrar!B5)</f>
        <v>48.011604000966997</v>
      </c>
    </row>
    <row r="368" spans="1:3" x14ac:dyDescent="0.35">
      <c r="A368" s="1">
        <f>Data!A368</f>
        <v>28307</v>
      </c>
      <c r="B368" s="2">
        <f>IF(Data!B368="","",Data!B368*100/Parametrar!B4)</f>
        <v>24.804076354127144</v>
      </c>
      <c r="C368" s="2">
        <f>IF(Data!C368="","",Data!C368*100/Parametrar!B5)</f>
        <v>48.073004006083664</v>
      </c>
    </row>
    <row r="369" spans="1:3" x14ac:dyDescent="0.35">
      <c r="A369" s="1">
        <f>Data!A369</f>
        <v>28338</v>
      </c>
      <c r="B369" s="2">
        <f>IF(Data!B369="","",Data!B369*100/Parametrar!B4)</f>
        <v>24.926464888769218</v>
      </c>
      <c r="C369" s="2">
        <f>IF(Data!C369="","",Data!C369*100/Parametrar!B5)</f>
        <v>48.120504010041998</v>
      </c>
    </row>
    <row r="370" spans="1:3" x14ac:dyDescent="0.35">
      <c r="A370" s="1">
        <f>Data!A370</f>
        <v>28369</v>
      </c>
      <c r="B370" s="2">
        <f>IF(Data!B370="","",Data!B370*100/Parametrar!B4)</f>
        <v>25.008057245197268</v>
      </c>
      <c r="C370" s="2">
        <f>IF(Data!C370="","",Data!C370*100/Parametrar!B5)</f>
        <v>48.318904026575332</v>
      </c>
    </row>
    <row r="371" spans="1:3" x14ac:dyDescent="0.35">
      <c r="A371" s="1">
        <f>Data!A371</f>
        <v>28399</v>
      </c>
      <c r="B371" s="2">
        <f>IF(Data!B371="","",Data!B371*100/Parametrar!B4)</f>
        <v>25.130445779839345</v>
      </c>
      <c r="C371" s="2">
        <f>IF(Data!C371="","",Data!C371*100/Parametrar!B5)</f>
        <v>48.387104032258669</v>
      </c>
    </row>
    <row r="372" spans="1:3" x14ac:dyDescent="0.35">
      <c r="A372" s="1">
        <f>Data!A372</f>
        <v>28430</v>
      </c>
      <c r="B372" s="2">
        <f>IF(Data!B372="","",Data!B372*100/Parametrar!B4)</f>
        <v>25.293630492695442</v>
      </c>
      <c r="C372" s="2">
        <f>IF(Data!C372="","",Data!C372*100/Parametrar!B5)</f>
        <v>48.476104039675342</v>
      </c>
    </row>
    <row r="373" spans="1:3" x14ac:dyDescent="0.35">
      <c r="A373" s="1">
        <f>Data!A373</f>
        <v>28460</v>
      </c>
      <c r="B373" s="2">
        <f>IF(Data!B373="","",Data!B373*100/Parametrar!B4)</f>
        <v>25.416019027337519</v>
      </c>
      <c r="C373" s="2">
        <f>IF(Data!C373="","",Data!C373*100/Parametrar!B5)</f>
        <v>48.56290404690867</v>
      </c>
    </row>
    <row r="374" spans="1:3" x14ac:dyDescent="0.35">
      <c r="A374" s="1">
        <f>Data!A374</f>
        <v>28491</v>
      </c>
      <c r="B374" s="2">
        <f>IF(Data!B374="","",Data!B374*100/Parametrar!B4)</f>
        <v>25.579203740193616</v>
      </c>
      <c r="C374" s="2">
        <f>IF(Data!C374="","",Data!C374*100/Parametrar!B5)</f>
        <v>47.848103987342</v>
      </c>
    </row>
    <row r="375" spans="1:3" x14ac:dyDescent="0.35">
      <c r="A375" s="1">
        <f>Data!A375</f>
        <v>28522</v>
      </c>
      <c r="B375" s="2">
        <f>IF(Data!B375="","",Data!B375*100/Parametrar!B4)</f>
        <v>25.701592274835694</v>
      </c>
      <c r="C375" s="2">
        <f>IF(Data!C375="","",Data!C375*100/Parametrar!B5)</f>
        <v>48.104404008700328</v>
      </c>
    </row>
    <row r="376" spans="1:3" x14ac:dyDescent="0.35">
      <c r="A376" s="1">
        <f>Data!A376</f>
        <v>28550</v>
      </c>
      <c r="B376" s="2">
        <f>IF(Data!B376="","",Data!B376*100/Parametrar!B4)</f>
        <v>25.864776987691791</v>
      </c>
      <c r="C376" s="2">
        <f>IF(Data!C376="","",Data!C376*100/Parametrar!B5)</f>
        <v>49.026504085542001</v>
      </c>
    </row>
    <row r="377" spans="1:3" x14ac:dyDescent="0.35">
      <c r="A377" s="1">
        <f>Data!A377</f>
        <v>28581</v>
      </c>
      <c r="B377" s="2">
        <f>IF(Data!B377="","",Data!B377*100/Parametrar!B4)</f>
        <v>26.068757878761918</v>
      </c>
      <c r="C377" s="2">
        <f>IF(Data!C377="","",Data!C377*100/Parametrar!B5)</f>
        <v>50.020604168383684</v>
      </c>
    </row>
    <row r="378" spans="1:3" x14ac:dyDescent="0.35">
      <c r="A378" s="1">
        <f>Data!A378</f>
        <v>28611</v>
      </c>
      <c r="B378" s="2">
        <f>IF(Data!B378="","",Data!B378*100/Parametrar!B4)</f>
        <v>26.313534948046065</v>
      </c>
      <c r="C378" s="2">
        <f>IF(Data!C378="","",Data!C378*100/Parametrar!B5)</f>
        <v>50.254004187833672</v>
      </c>
    </row>
    <row r="379" spans="1:3" x14ac:dyDescent="0.35">
      <c r="A379" s="1">
        <f>Data!A379</f>
        <v>28642</v>
      </c>
      <c r="B379" s="2">
        <f>IF(Data!B379="","",Data!B379*100/Parametrar!B4)</f>
        <v>26.517515839116189</v>
      </c>
      <c r="C379" s="2">
        <f>IF(Data!C379="","",Data!C379*100/Parametrar!B5)</f>
        <v>50.580104215008681</v>
      </c>
    </row>
    <row r="380" spans="1:3" x14ac:dyDescent="0.35">
      <c r="A380" s="1">
        <f>Data!A380</f>
        <v>28672</v>
      </c>
      <c r="B380" s="2">
        <f>IF(Data!B380="","",Data!B380*100/Parametrar!B4)</f>
        <v>26.721496730186317</v>
      </c>
      <c r="C380" s="2">
        <f>IF(Data!C380="","",Data!C380*100/Parametrar!B5)</f>
        <v>50.538404211533681</v>
      </c>
    </row>
    <row r="381" spans="1:3" x14ac:dyDescent="0.35">
      <c r="A381" s="1">
        <f>Data!A381</f>
        <v>28703</v>
      </c>
      <c r="B381" s="2">
        <f>IF(Data!B381="","",Data!B381*100/Parametrar!B4)</f>
        <v>26.884681443042417</v>
      </c>
      <c r="C381" s="2">
        <f>IF(Data!C381="","",Data!C381*100/Parametrar!B5)</f>
        <v>50.745804228817015</v>
      </c>
    </row>
    <row r="382" spans="1:3" x14ac:dyDescent="0.35">
      <c r="A382" s="1">
        <f>Data!A382</f>
        <v>28734</v>
      </c>
      <c r="B382" s="2">
        <f>IF(Data!B382="","",Data!B382*100/Parametrar!B4)</f>
        <v>27.129458512326565</v>
      </c>
      <c r="C382" s="2">
        <f>IF(Data!C382="","",Data!C382*100/Parametrar!B5)</f>
        <v>50.874404239533689</v>
      </c>
    </row>
    <row r="383" spans="1:3" x14ac:dyDescent="0.35">
      <c r="A383" s="1">
        <f>Data!A383</f>
        <v>28764</v>
      </c>
      <c r="B383" s="2">
        <f>IF(Data!B383="","",Data!B383*100/Parametrar!B4)</f>
        <v>27.374235581610709</v>
      </c>
      <c r="C383" s="2">
        <f>IF(Data!C383="","",Data!C383*100/Parametrar!B5)</f>
        <v>51.255904271325356</v>
      </c>
    </row>
    <row r="384" spans="1:3" x14ac:dyDescent="0.35">
      <c r="A384" s="1">
        <f>Data!A384</f>
        <v>28795</v>
      </c>
      <c r="B384" s="2">
        <f>IF(Data!B384="","",Data!B384*100/Parametrar!B4)</f>
        <v>27.537420294466813</v>
      </c>
      <c r="C384" s="2">
        <f>IF(Data!C384="","",Data!C384*100/Parametrar!B5)</f>
        <v>51.651404304283695</v>
      </c>
    </row>
    <row r="385" spans="1:3" x14ac:dyDescent="0.35">
      <c r="A385" s="1">
        <f>Data!A385</f>
        <v>28825</v>
      </c>
      <c r="B385" s="2">
        <f>IF(Data!B385="","",Data!B385*100/Parametrar!B4)</f>
        <v>27.700605007322917</v>
      </c>
      <c r="C385" s="2">
        <f>IF(Data!C385="","",Data!C385*100/Parametrar!B5)</f>
        <v>51.909004325750352</v>
      </c>
    </row>
    <row r="386" spans="1:3" x14ac:dyDescent="0.35">
      <c r="A386" s="1">
        <f>Data!A386</f>
        <v>28856</v>
      </c>
      <c r="B386" s="2">
        <f>IF(Data!B386="","",Data!B386*100/Parametrar!B4)</f>
        <v>27.945382076607061</v>
      </c>
      <c r="C386" s="2">
        <f>IF(Data!C386="","",Data!C386*100/Parametrar!B5)</f>
        <v>51.627804302317017</v>
      </c>
    </row>
    <row r="387" spans="1:3" x14ac:dyDescent="0.35">
      <c r="A387" s="1">
        <f>Data!A387</f>
        <v>28887</v>
      </c>
      <c r="B387" s="2">
        <f>IF(Data!B387="","",Data!B387*100/Parametrar!B4)</f>
        <v>28.230955324105238</v>
      </c>
      <c r="C387" s="2">
        <f>IF(Data!C387="","",Data!C387*100/Parametrar!B5)</f>
        <v>51.875204322933683</v>
      </c>
    </row>
    <row r="388" spans="1:3" x14ac:dyDescent="0.35">
      <c r="A388" s="1">
        <f>Data!A388</f>
        <v>28915</v>
      </c>
      <c r="B388" s="2">
        <f>IF(Data!B388="","",Data!B388*100/Parametrar!B4)</f>
        <v>28.516528571603416</v>
      </c>
      <c r="C388" s="2">
        <f>IF(Data!C388="","",Data!C388*100/Parametrar!B5)</f>
        <v>52.044604337050359</v>
      </c>
    </row>
    <row r="389" spans="1:3" x14ac:dyDescent="0.35">
      <c r="A389" s="1">
        <f>Data!A389</f>
        <v>28946</v>
      </c>
      <c r="B389" s="2">
        <f>IF(Data!B389="","",Data!B389*100/Parametrar!B4)</f>
        <v>28.802101819101583</v>
      </c>
      <c r="C389" s="2">
        <f>IF(Data!C389="","",Data!C389*100/Parametrar!B5)</f>
        <v>51.419304284942022</v>
      </c>
    </row>
    <row r="390" spans="1:3" x14ac:dyDescent="0.35">
      <c r="A390" s="1">
        <f>Data!A390</f>
        <v>28976</v>
      </c>
      <c r="B390" s="2">
        <f>IF(Data!B390="","",Data!B390*100/Parametrar!B4)</f>
        <v>29.128471244813788</v>
      </c>
      <c r="C390" s="2">
        <f>IF(Data!C390="","",Data!C390*100/Parametrar!B5)</f>
        <v>51.885604323800351</v>
      </c>
    </row>
    <row r="391" spans="1:3" x14ac:dyDescent="0.35">
      <c r="A391" s="1">
        <f>Data!A391</f>
        <v>29007</v>
      </c>
      <c r="B391" s="2">
        <f>IF(Data!B391="","",Data!B391*100/Parametrar!B4)</f>
        <v>29.454840670525986</v>
      </c>
      <c r="C391" s="2">
        <f>IF(Data!C391="","",Data!C391*100/Parametrar!B5)</f>
        <v>51.896504324708694</v>
      </c>
    </row>
    <row r="392" spans="1:3" x14ac:dyDescent="0.35">
      <c r="A392" s="1">
        <f>Data!A392</f>
        <v>29037</v>
      </c>
      <c r="B392" s="2">
        <f>IF(Data!B392="","",Data!B392*100/Parametrar!B4)</f>
        <v>29.781210096238183</v>
      </c>
      <c r="C392" s="2">
        <f>IF(Data!C392="","",Data!C392*100/Parametrar!B5)</f>
        <v>51.809704317475358</v>
      </c>
    </row>
    <row r="393" spans="1:3" x14ac:dyDescent="0.35">
      <c r="A393" s="1">
        <f>Data!A393</f>
        <v>29068</v>
      </c>
      <c r="B393" s="2">
        <f>IF(Data!B393="","",Data!B393*100/Parametrar!B4)</f>
        <v>30.066783343736358</v>
      </c>
      <c r="C393" s="2">
        <f>IF(Data!C393="","",Data!C393*100/Parametrar!B5)</f>
        <v>51.468404289033685</v>
      </c>
    </row>
    <row r="394" spans="1:3" x14ac:dyDescent="0.35">
      <c r="A394" s="1">
        <f>Data!A394</f>
        <v>29099</v>
      </c>
      <c r="B394" s="2">
        <f>IF(Data!B394="","",Data!B394*100/Parametrar!B4)</f>
        <v>30.352356591234535</v>
      </c>
      <c r="C394" s="2">
        <f>IF(Data!C394="","",Data!C394*100/Parametrar!B5)</f>
        <v>51.459704288308679</v>
      </c>
    </row>
    <row r="395" spans="1:3" x14ac:dyDescent="0.35">
      <c r="A395" s="1">
        <f>Data!A395</f>
        <v>29129</v>
      </c>
      <c r="B395" s="2">
        <f>IF(Data!B395="","",Data!B395*100/Parametrar!B4)</f>
        <v>30.67872601694673</v>
      </c>
      <c r="C395" s="2">
        <f>IF(Data!C395="","",Data!C395*100/Parametrar!B5)</f>
        <v>51.833404319450359</v>
      </c>
    </row>
    <row r="396" spans="1:3" x14ac:dyDescent="0.35">
      <c r="A396" s="1">
        <f>Data!A396</f>
        <v>29160</v>
      </c>
      <c r="B396" s="2">
        <f>IF(Data!B396="","",Data!B396*100/Parametrar!B4)</f>
        <v>31.005095442658931</v>
      </c>
      <c r="C396" s="2">
        <f>IF(Data!C396="","",Data!C396*100/Parametrar!B5)</f>
        <v>51.753104312758694</v>
      </c>
    </row>
    <row r="397" spans="1:3" x14ac:dyDescent="0.35">
      <c r="A397" s="1">
        <f>Data!A397</f>
        <v>29190</v>
      </c>
      <c r="B397" s="2">
        <f>IF(Data!B397="","",Data!B397*100/Parametrar!B4)</f>
        <v>31.372261046585159</v>
      </c>
      <c r="C397" s="2">
        <f>IF(Data!C397="","",Data!C397*100/Parametrar!B5)</f>
        <v>51.787804315650355</v>
      </c>
    </row>
    <row r="398" spans="1:3" x14ac:dyDescent="0.35">
      <c r="A398" s="1">
        <f>Data!A398</f>
        <v>29221</v>
      </c>
      <c r="B398" s="2">
        <f>IF(Data!B398="","",Data!B398*100/Parametrar!B4)</f>
        <v>31.82101900693943</v>
      </c>
      <c r="C398" s="2">
        <f>IF(Data!C398="","",Data!C398*100/Parametrar!B5)</f>
        <v>52.067904338992022</v>
      </c>
    </row>
    <row r="399" spans="1:3" x14ac:dyDescent="0.35">
      <c r="A399" s="1">
        <f>Data!A399</f>
        <v>29252</v>
      </c>
      <c r="B399" s="2">
        <f>IF(Data!B399="","",Data!B399*100/Parametrar!B4)</f>
        <v>32.228980789079678</v>
      </c>
      <c r="C399" s="2">
        <f>IF(Data!C399="","",Data!C399*100/Parametrar!B5)</f>
        <v>52.082004340167025</v>
      </c>
    </row>
    <row r="400" spans="1:3" x14ac:dyDescent="0.35">
      <c r="A400" s="1">
        <f>Data!A400</f>
        <v>29281</v>
      </c>
      <c r="B400" s="2">
        <f>IF(Data!B400="","",Data!B400*100/Parametrar!B4)</f>
        <v>32.677738749433949</v>
      </c>
      <c r="C400" s="2">
        <f>IF(Data!C400="","",Data!C400*100/Parametrar!B5)</f>
        <v>51.870004322500357</v>
      </c>
    </row>
    <row r="401" spans="1:3" x14ac:dyDescent="0.35">
      <c r="A401" s="1">
        <f>Data!A401</f>
        <v>29312</v>
      </c>
      <c r="B401" s="2">
        <f>IF(Data!B401="","",Data!B401*100/Parametrar!B4)</f>
        <v>33.004108175146158</v>
      </c>
      <c r="C401" s="2">
        <f>IF(Data!C401="","",Data!C401*100/Parametrar!B5)</f>
        <v>50.839704236642021</v>
      </c>
    </row>
    <row r="402" spans="1:3" x14ac:dyDescent="0.35">
      <c r="A402" s="1">
        <f>Data!A402</f>
        <v>29342</v>
      </c>
      <c r="B402" s="2">
        <f>IF(Data!B402="","",Data!B402*100/Parametrar!B4)</f>
        <v>33.330477600858352</v>
      </c>
      <c r="C402" s="2">
        <f>IF(Data!C402="","",Data!C402*100/Parametrar!B5)</f>
        <v>49.589004132417003</v>
      </c>
    </row>
    <row r="403" spans="1:3" x14ac:dyDescent="0.35">
      <c r="A403" s="1">
        <f>Data!A403</f>
        <v>29373</v>
      </c>
      <c r="B403" s="2">
        <f>IF(Data!B403="","",Data!B403*100/Parametrar!B4)</f>
        <v>33.656847026570553</v>
      </c>
      <c r="C403" s="2">
        <f>IF(Data!C403="","",Data!C403*100/Parametrar!B5)</f>
        <v>48.948204079017003</v>
      </c>
    </row>
    <row r="404" spans="1:3" x14ac:dyDescent="0.35">
      <c r="A404" s="1">
        <f>Data!A404</f>
        <v>29403</v>
      </c>
      <c r="B404" s="2">
        <f>IF(Data!B404="","",Data!B404*100/Parametrar!B4)</f>
        <v>33.697643204784576</v>
      </c>
      <c r="C404" s="2">
        <f>IF(Data!C404="","",Data!C404*100/Parametrar!B5)</f>
        <v>48.60390405032534</v>
      </c>
    </row>
    <row r="405" spans="1:3" x14ac:dyDescent="0.35">
      <c r="A405" s="1">
        <f>Data!A405</f>
        <v>29434</v>
      </c>
      <c r="B405" s="2">
        <f>IF(Data!B405="","",Data!B405*100/Parametrar!B4)</f>
        <v>33.942420274068724</v>
      </c>
      <c r="C405" s="2">
        <f>IF(Data!C405="","",Data!C405*100/Parametrar!B5)</f>
        <v>48.75630406302534</v>
      </c>
    </row>
    <row r="406" spans="1:3" x14ac:dyDescent="0.35">
      <c r="A406" s="1">
        <f>Data!A406</f>
        <v>29465</v>
      </c>
      <c r="B406" s="2">
        <f>IF(Data!B406="","",Data!B406*100/Parametrar!B4)</f>
        <v>34.227993521566901</v>
      </c>
      <c r="C406" s="2">
        <f>IF(Data!C406="","",Data!C406*100/Parametrar!B5)</f>
        <v>49.560804130067005</v>
      </c>
    </row>
    <row r="407" spans="1:3" x14ac:dyDescent="0.35">
      <c r="A407" s="1">
        <f>Data!A407</f>
        <v>29495</v>
      </c>
      <c r="B407" s="2">
        <f>IF(Data!B407="","",Data!B407*100/Parametrar!B4)</f>
        <v>34.554362947279095</v>
      </c>
      <c r="C407" s="2">
        <f>IF(Data!C407="","",Data!C407*100/Parametrar!B5)</f>
        <v>50.190804182567014</v>
      </c>
    </row>
    <row r="408" spans="1:3" x14ac:dyDescent="0.35">
      <c r="A408" s="1">
        <f>Data!A408</f>
        <v>29526</v>
      </c>
      <c r="B408" s="2">
        <f>IF(Data!B408="","",Data!B408*100/Parametrar!B4)</f>
        <v>34.92152855120532</v>
      </c>
      <c r="C408" s="2">
        <f>IF(Data!C408="","",Data!C408*100/Parametrar!B5)</f>
        <v>51.031104252592023</v>
      </c>
    </row>
    <row r="409" spans="1:3" x14ac:dyDescent="0.35">
      <c r="A409" s="1">
        <f>Data!A409</f>
        <v>29556</v>
      </c>
      <c r="B409" s="2">
        <f>IF(Data!B409="","",Data!B409*100/Parametrar!B4)</f>
        <v>35.247897976917521</v>
      </c>
      <c r="C409" s="2">
        <f>IF(Data!C409="","",Data!C409*100/Parametrar!B5)</f>
        <v>51.370804280900352</v>
      </c>
    </row>
    <row r="410" spans="1:3" x14ac:dyDescent="0.35">
      <c r="A410" s="1">
        <f>Data!A410</f>
        <v>29587</v>
      </c>
      <c r="B410" s="2">
        <f>IF(Data!B410="","",Data!B410*100/Parametrar!B4)</f>
        <v>35.574267402629722</v>
      </c>
      <c r="C410" s="2">
        <f>IF(Data!C410="","",Data!C410*100/Parametrar!B5)</f>
        <v>51.041504253458683</v>
      </c>
    </row>
    <row r="411" spans="1:3" x14ac:dyDescent="0.35">
      <c r="A411" s="1">
        <f>Data!A411</f>
        <v>29618</v>
      </c>
      <c r="B411" s="2">
        <f>IF(Data!B411="","",Data!B411*100/Parametrar!B4)</f>
        <v>35.900636828341916</v>
      </c>
      <c r="C411" s="2">
        <f>IF(Data!C411="","",Data!C411*100/Parametrar!B5)</f>
        <v>50.824004235333682</v>
      </c>
    </row>
    <row r="412" spans="1:3" x14ac:dyDescent="0.35">
      <c r="A412" s="1">
        <f>Data!A412</f>
        <v>29646</v>
      </c>
      <c r="B412" s="2">
        <f>IF(Data!B412="","",Data!B412*100/Parametrar!B4)</f>
        <v>36.145413897626071</v>
      </c>
      <c r="C412" s="2">
        <f>IF(Data!C412="","",Data!C412*100/Parametrar!B5)</f>
        <v>51.082604256883684</v>
      </c>
    </row>
    <row r="413" spans="1:3" x14ac:dyDescent="0.35">
      <c r="A413" s="1">
        <f>Data!A413</f>
        <v>29677</v>
      </c>
      <c r="B413" s="2">
        <f>IF(Data!B413="","",Data!B413*100/Parametrar!B4)</f>
        <v>36.349394788696195</v>
      </c>
      <c r="C413" s="2">
        <f>IF(Data!C413="","",Data!C413*100/Parametrar!B5)</f>
        <v>50.858004238167013</v>
      </c>
    </row>
    <row r="414" spans="1:3" x14ac:dyDescent="0.35">
      <c r="A414" s="1">
        <f>Data!A414</f>
        <v>29707</v>
      </c>
      <c r="B414" s="2">
        <f>IF(Data!B414="","",Data!B414*100/Parametrar!B4)</f>
        <v>36.594171857980342</v>
      </c>
      <c r="C414" s="2">
        <f>IF(Data!C414="","",Data!C414*100/Parametrar!B5)</f>
        <v>51.149504262458692</v>
      </c>
    </row>
    <row r="415" spans="1:3" x14ac:dyDescent="0.35">
      <c r="A415" s="1">
        <f>Data!A415</f>
        <v>29738</v>
      </c>
      <c r="B415" s="2">
        <f>IF(Data!B415="","",Data!B415*100/Parametrar!B4)</f>
        <v>36.920541283692543</v>
      </c>
      <c r="C415" s="2">
        <f>IF(Data!C415="","",Data!C415*100/Parametrar!B5)</f>
        <v>51.410104284175354</v>
      </c>
    </row>
    <row r="416" spans="1:3" x14ac:dyDescent="0.35">
      <c r="A416" s="1">
        <f>Data!A416</f>
        <v>29768</v>
      </c>
      <c r="B416" s="2">
        <f>IF(Data!B416="","",Data!B416*100/Parametrar!B4)</f>
        <v>37.328503065832791</v>
      </c>
      <c r="C416" s="2">
        <f>IF(Data!C416="","",Data!C416*100/Parametrar!B5)</f>
        <v>51.747104312258692</v>
      </c>
    </row>
    <row r="417" spans="1:3" x14ac:dyDescent="0.35">
      <c r="A417" s="1">
        <f>Data!A417</f>
        <v>29799</v>
      </c>
      <c r="B417" s="2">
        <f>IF(Data!B417="","",Data!B417*100/Parametrar!B4)</f>
        <v>37.614076313330969</v>
      </c>
      <c r="C417" s="2">
        <f>IF(Data!C417="","",Data!C417*100/Parametrar!B5)</f>
        <v>51.68260430688369</v>
      </c>
    </row>
    <row r="418" spans="1:3" x14ac:dyDescent="0.35">
      <c r="A418" s="1">
        <f>Data!A418</f>
        <v>29830</v>
      </c>
      <c r="B418" s="2">
        <f>IF(Data!B418="","",Data!B418*100/Parametrar!B4)</f>
        <v>37.981241917257186</v>
      </c>
      <c r="C418" s="2">
        <f>IF(Data!C418="","",Data!C418*100/Parametrar!B5)</f>
        <v>51.433704286142017</v>
      </c>
    </row>
    <row r="419" spans="1:3" x14ac:dyDescent="0.35">
      <c r="A419" s="1">
        <f>Data!A419</f>
        <v>29860</v>
      </c>
      <c r="B419" s="2">
        <f>IF(Data!B419="","",Data!B419*100/Parametrar!B4)</f>
        <v>38.103630451899264</v>
      </c>
      <c r="C419" s="2">
        <f>IF(Data!C419="","",Data!C419*100/Parametrar!B5)</f>
        <v>51.028104252342018</v>
      </c>
    </row>
    <row r="420" spans="1:3" x14ac:dyDescent="0.35">
      <c r="A420" s="1">
        <f>Data!A420</f>
        <v>29891</v>
      </c>
      <c r="B420" s="2">
        <f>IF(Data!B420="","",Data!B420*100/Parametrar!B4)</f>
        <v>38.266815164755364</v>
      </c>
      <c r="C420" s="2">
        <f>IF(Data!C420="","",Data!C420*100/Parametrar!B5)</f>
        <v>50.435004202917014</v>
      </c>
    </row>
    <row r="421" spans="1:3" x14ac:dyDescent="0.35">
      <c r="A421" s="1">
        <f>Data!A421</f>
        <v>29921</v>
      </c>
      <c r="B421" s="2">
        <f>IF(Data!B421="","",Data!B421*100/Parametrar!B4)</f>
        <v>38.389203699397441</v>
      </c>
      <c r="C421" s="2">
        <f>IF(Data!C421="","",Data!C421*100/Parametrar!B5)</f>
        <v>49.898704158225343</v>
      </c>
    </row>
    <row r="422" spans="1:3" x14ac:dyDescent="0.35">
      <c r="A422" s="1">
        <f>Data!A422</f>
        <v>29952</v>
      </c>
      <c r="B422" s="2">
        <f>IF(Data!B422="","",Data!B422*100/Parametrar!B4)</f>
        <v>38.511592234039512</v>
      </c>
      <c r="C422" s="2">
        <f>IF(Data!C422="","",Data!C422*100/Parametrar!B5)</f>
        <v>48.86850407237533</v>
      </c>
    </row>
    <row r="423" spans="1:3" x14ac:dyDescent="0.35">
      <c r="A423" s="1">
        <f>Data!A423</f>
        <v>29983</v>
      </c>
      <c r="B423" s="2">
        <f>IF(Data!B423="","",Data!B423*100/Parametrar!B4)</f>
        <v>38.633980768681589</v>
      </c>
      <c r="C423" s="2">
        <f>IF(Data!C423="","",Data!C423*100/Parametrar!B5)</f>
        <v>49.863604155300337</v>
      </c>
    </row>
    <row r="424" spans="1:3" x14ac:dyDescent="0.35">
      <c r="A424" s="1">
        <f>Data!A424</f>
        <v>30011</v>
      </c>
      <c r="B424" s="2">
        <f>IF(Data!B424="","",Data!B424*100/Parametrar!B4)</f>
        <v>38.633980768681589</v>
      </c>
      <c r="C424" s="2">
        <f>IF(Data!C424="","",Data!C424*100/Parametrar!B5)</f>
        <v>49.532304127692001</v>
      </c>
    </row>
    <row r="425" spans="1:3" x14ac:dyDescent="0.35">
      <c r="A425" s="1">
        <f>Data!A425</f>
        <v>30042</v>
      </c>
      <c r="B425" s="2">
        <f>IF(Data!B425="","",Data!B425*100/Parametrar!B4)</f>
        <v>38.756369303323666</v>
      </c>
      <c r="C425" s="2">
        <f>IF(Data!C425="","",Data!C425*100/Parametrar!B5)</f>
        <v>49.075004089583672</v>
      </c>
    </row>
    <row r="426" spans="1:3" x14ac:dyDescent="0.35">
      <c r="A426" s="1">
        <f>Data!A426</f>
        <v>30072</v>
      </c>
      <c r="B426" s="2">
        <f>IF(Data!B426="","",Data!B426*100/Parametrar!B4)</f>
        <v>39.123534907249891</v>
      </c>
      <c r="C426" s="2">
        <f>IF(Data!C426="","",Data!C426*100/Parametrar!B5)</f>
        <v>48.74830406235867</v>
      </c>
    </row>
    <row r="427" spans="1:3" x14ac:dyDescent="0.35">
      <c r="A427" s="1">
        <f>Data!A427</f>
        <v>30103</v>
      </c>
      <c r="B427" s="2">
        <f>IF(Data!B427="","",Data!B427*100/Parametrar!B4)</f>
        <v>39.572292867604162</v>
      </c>
      <c r="C427" s="2">
        <f>IF(Data!C427="","",Data!C427*100/Parametrar!B5)</f>
        <v>48.621404051783671</v>
      </c>
    </row>
    <row r="428" spans="1:3" x14ac:dyDescent="0.35">
      <c r="A428" s="1">
        <f>Data!A428</f>
        <v>30133</v>
      </c>
      <c r="B428" s="2">
        <f>IF(Data!B428="","",Data!B428*100/Parametrar!B4)</f>
        <v>39.776273758674286</v>
      </c>
      <c r="C428" s="2">
        <f>IF(Data!C428="","",Data!C428*100/Parametrar!B5)</f>
        <v>48.461604038467001</v>
      </c>
    </row>
    <row r="429" spans="1:3" x14ac:dyDescent="0.35">
      <c r="A429" s="1">
        <f>Data!A429</f>
        <v>30164</v>
      </c>
      <c r="B429" s="2">
        <f>IF(Data!B429="","",Data!B429*100/Parametrar!B4)</f>
        <v>39.857866115102333</v>
      </c>
      <c r="C429" s="2">
        <f>IF(Data!C429="","",Data!C429*100/Parametrar!B5)</f>
        <v>48.019204001600329</v>
      </c>
    </row>
    <row r="430" spans="1:3" x14ac:dyDescent="0.35">
      <c r="A430" s="1">
        <f>Data!A430</f>
        <v>30195</v>
      </c>
      <c r="B430" s="2">
        <f>IF(Data!B430="","",Data!B430*100/Parametrar!B4)</f>
        <v>39.857866115102333</v>
      </c>
      <c r="C430" s="2">
        <f>IF(Data!C430="","",Data!C430*100/Parametrar!B5)</f>
        <v>47.90080399173366</v>
      </c>
    </row>
    <row r="431" spans="1:3" x14ac:dyDescent="0.35">
      <c r="A431" s="1">
        <f>Data!A431</f>
        <v>30225</v>
      </c>
      <c r="B431" s="2">
        <f>IF(Data!B431="","",Data!B431*100/Parametrar!B4)</f>
        <v>40.021050827958433</v>
      </c>
      <c r="C431" s="2">
        <f>IF(Data!C431="","",Data!C431*100/Parametrar!B5)</f>
        <v>47.437103953091992</v>
      </c>
    </row>
    <row r="432" spans="1:3" x14ac:dyDescent="0.35">
      <c r="A432" s="1">
        <f>Data!A432</f>
        <v>30256</v>
      </c>
      <c r="B432" s="2">
        <f>IF(Data!B432="","",Data!B432*100/Parametrar!B4)</f>
        <v>39.98025464974441</v>
      </c>
      <c r="C432" s="2">
        <f>IF(Data!C432="","",Data!C432*100/Parametrar!B5)</f>
        <v>47.283003940250325</v>
      </c>
    </row>
    <row r="433" spans="1:3" x14ac:dyDescent="0.35">
      <c r="A433" s="1">
        <f>Data!A433</f>
        <v>30286</v>
      </c>
      <c r="B433" s="2">
        <f>IF(Data!B433="","",Data!B433*100/Parametrar!B4)</f>
        <v>39.857866115102333</v>
      </c>
      <c r="C433" s="2">
        <f>IF(Data!C433="","",Data!C433*100/Parametrar!B5)</f>
        <v>46.94850391237533</v>
      </c>
    </row>
    <row r="434" spans="1:3" x14ac:dyDescent="0.35">
      <c r="A434" s="1">
        <f>Data!A434</f>
        <v>30317</v>
      </c>
      <c r="B434" s="2">
        <f>IF(Data!B434="","",Data!B434*100/Parametrar!B4)</f>
        <v>39.939458471530386</v>
      </c>
      <c r="C434" s="2">
        <f>IF(Data!C434="","",Data!C434*100/Parametrar!B5)</f>
        <v>47.823403985283662</v>
      </c>
    </row>
    <row r="435" spans="1:3" x14ac:dyDescent="0.35">
      <c r="A435" s="1">
        <f>Data!A435</f>
        <v>30348</v>
      </c>
      <c r="B435" s="2">
        <f>IF(Data!B435="","",Data!B435*100/Parametrar!B4)</f>
        <v>39.98025464974441</v>
      </c>
      <c r="C435" s="2">
        <f>IF(Data!C435="","",Data!C435*100/Parametrar!B5)</f>
        <v>47.523303960275328</v>
      </c>
    </row>
    <row r="436" spans="1:3" x14ac:dyDescent="0.35">
      <c r="A436" s="1">
        <f>Data!A436</f>
        <v>30376</v>
      </c>
      <c r="B436" s="2">
        <f>IF(Data!B436="","",Data!B436*100/Parametrar!B4)</f>
        <v>40.021050827958433</v>
      </c>
      <c r="C436" s="2">
        <f>IF(Data!C436="","",Data!C436*100/Parametrar!B5)</f>
        <v>47.924403993700324</v>
      </c>
    </row>
    <row r="437" spans="1:3" x14ac:dyDescent="0.35">
      <c r="A437" s="1">
        <f>Data!A437</f>
        <v>30407</v>
      </c>
      <c r="B437" s="2">
        <f>IF(Data!B437="","",Data!B437*100/Parametrar!B4)</f>
        <v>40.306624075456611</v>
      </c>
      <c r="C437" s="2">
        <f>IF(Data!C437="","",Data!C437*100/Parametrar!B5)</f>
        <v>48.531104044258676</v>
      </c>
    </row>
    <row r="438" spans="1:3" x14ac:dyDescent="0.35">
      <c r="A438" s="1">
        <f>Data!A438</f>
        <v>30437</v>
      </c>
      <c r="B438" s="2">
        <f>IF(Data!B438="","",Data!B438*100/Parametrar!B4)</f>
        <v>40.469808788312712</v>
      </c>
      <c r="C438" s="2">
        <f>IF(Data!C438="","",Data!C438*100/Parametrar!B5)</f>
        <v>48.82390406865867</v>
      </c>
    </row>
    <row r="439" spans="1:3" x14ac:dyDescent="0.35">
      <c r="A439" s="1">
        <f>Data!A439</f>
        <v>30468</v>
      </c>
      <c r="B439" s="2">
        <f>IF(Data!B439="","",Data!B439*100/Parametrar!B4)</f>
        <v>40.551401144740758</v>
      </c>
      <c r="C439" s="2">
        <f>IF(Data!C439="","",Data!C439*100/Parametrar!B5)</f>
        <v>49.123004093583674</v>
      </c>
    </row>
    <row r="440" spans="1:3" x14ac:dyDescent="0.35">
      <c r="A440" s="1">
        <f>Data!A440</f>
        <v>30498</v>
      </c>
      <c r="B440" s="2">
        <f>IF(Data!B440="","",Data!B440*100/Parametrar!B4)</f>
        <v>40.714585857596859</v>
      </c>
      <c r="C440" s="2">
        <f>IF(Data!C440="","",Data!C440*100/Parametrar!B5)</f>
        <v>49.854604154550344</v>
      </c>
    </row>
    <row r="441" spans="1:3" x14ac:dyDescent="0.35">
      <c r="A441" s="1">
        <f>Data!A441</f>
        <v>30529</v>
      </c>
      <c r="B441" s="2">
        <f>IF(Data!B441="","",Data!B441*100/Parametrar!B4)</f>
        <v>40.836974392238936</v>
      </c>
      <c r="C441" s="2">
        <f>IF(Data!C441="","",Data!C441*100/Parametrar!B5)</f>
        <v>50.444304203692013</v>
      </c>
    </row>
    <row r="442" spans="1:3" x14ac:dyDescent="0.35">
      <c r="A442" s="1">
        <f>Data!A442</f>
        <v>30560</v>
      </c>
      <c r="B442" s="2">
        <f>IF(Data!B442="","",Data!B442*100/Parametrar!B4)</f>
        <v>40.959362926881006</v>
      </c>
      <c r="C442" s="2">
        <f>IF(Data!C442="","",Data!C442*100/Parametrar!B5)</f>
        <v>51.178004264833675</v>
      </c>
    </row>
    <row r="443" spans="1:3" x14ac:dyDescent="0.35">
      <c r="A443" s="1">
        <f>Data!A443</f>
        <v>30590</v>
      </c>
      <c r="B443" s="2">
        <f>IF(Data!B443="","",Data!B443*100/Parametrar!B4)</f>
        <v>41.122547639737107</v>
      </c>
      <c r="C443" s="2">
        <f>IF(Data!C443="","",Data!C443*100/Parametrar!B5)</f>
        <v>51.569304297442024</v>
      </c>
    </row>
    <row r="444" spans="1:3" x14ac:dyDescent="0.35">
      <c r="A444" s="1">
        <f>Data!A444</f>
        <v>30621</v>
      </c>
      <c r="B444" s="2">
        <f>IF(Data!B444="","",Data!B444*100/Parametrar!B4)</f>
        <v>41.244936174379184</v>
      </c>
      <c r="C444" s="2">
        <f>IF(Data!C444="","",Data!C444*100/Parametrar!B5)</f>
        <v>51.799304316608691</v>
      </c>
    </row>
    <row r="445" spans="1:3" x14ac:dyDescent="0.35">
      <c r="A445" s="1">
        <f>Data!A445</f>
        <v>30651</v>
      </c>
      <c r="B445" s="2">
        <f>IF(Data!B445="","",Data!B445*100/Parametrar!B4)</f>
        <v>41.367324709021254</v>
      </c>
      <c r="C445" s="2">
        <f>IF(Data!C445="","",Data!C445*100/Parametrar!B5)</f>
        <v>52.059404338283684</v>
      </c>
    </row>
    <row r="446" spans="1:3" x14ac:dyDescent="0.35">
      <c r="A446" s="1">
        <f>Data!A446</f>
        <v>30682</v>
      </c>
      <c r="B446" s="2">
        <f>IF(Data!B446="","",Data!B446*100/Parametrar!B4)</f>
        <v>41.652897956519432</v>
      </c>
      <c r="C446" s="2">
        <f>IF(Data!C446="","",Data!C446*100/Parametrar!B5)</f>
        <v>53.098504424875365</v>
      </c>
    </row>
    <row r="447" spans="1:3" x14ac:dyDescent="0.35">
      <c r="A447" s="1">
        <f>Data!A447</f>
        <v>30713</v>
      </c>
      <c r="B447" s="2">
        <f>IF(Data!B447="","",Data!B447*100/Parametrar!B4)</f>
        <v>41.856878847589556</v>
      </c>
      <c r="C447" s="2">
        <f>IF(Data!C447="","",Data!C447*100/Parametrar!B5)</f>
        <v>53.331804444317036</v>
      </c>
    </row>
    <row r="448" spans="1:3" x14ac:dyDescent="0.35">
      <c r="A448" s="1">
        <f>Data!A448</f>
        <v>30742</v>
      </c>
      <c r="B448" s="2">
        <f>IF(Data!B448="","",Data!B448*100/Parametrar!B4)</f>
        <v>41.979267382231633</v>
      </c>
      <c r="C448" s="2">
        <f>IF(Data!C448="","",Data!C448*100/Parametrar!B5)</f>
        <v>53.592904466075368</v>
      </c>
    </row>
    <row r="449" spans="1:3" x14ac:dyDescent="0.35">
      <c r="A449" s="1">
        <f>Data!A449</f>
        <v>30773</v>
      </c>
      <c r="B449" s="2">
        <f>IF(Data!B449="","",Data!B449*100/Parametrar!B4)</f>
        <v>42.142452095087734</v>
      </c>
      <c r="C449" s="2">
        <f>IF(Data!C449="","",Data!C449*100/Parametrar!B5)</f>
        <v>53.91000449250037</v>
      </c>
    </row>
    <row r="450" spans="1:3" x14ac:dyDescent="0.35">
      <c r="A450" s="1">
        <f>Data!A450</f>
        <v>30803</v>
      </c>
      <c r="B450" s="2">
        <f>IF(Data!B450="","",Data!B450*100/Parametrar!B4)</f>
        <v>42.22404445151578</v>
      </c>
      <c r="C450" s="2">
        <f>IF(Data!C450="","",Data!C450*100/Parametrar!B5)</f>
        <v>54.202604516883696</v>
      </c>
    </row>
    <row r="451" spans="1:3" x14ac:dyDescent="0.35">
      <c r="A451" s="1">
        <f>Data!A451</f>
        <v>30834</v>
      </c>
      <c r="B451" s="2">
        <f>IF(Data!B451="","",Data!B451*100/Parametrar!B4)</f>
        <v>42.305636807943827</v>
      </c>
      <c r="C451" s="2">
        <f>IF(Data!C451="","",Data!C451*100/Parametrar!B5)</f>
        <v>54.401404533450375</v>
      </c>
    </row>
    <row r="452" spans="1:3" x14ac:dyDescent="0.35">
      <c r="A452" s="1">
        <f>Data!A452</f>
        <v>30864</v>
      </c>
      <c r="B452" s="2">
        <f>IF(Data!B452="","",Data!B452*100/Parametrar!B4)</f>
        <v>42.468821520799928</v>
      </c>
      <c r="C452" s="2">
        <f>IF(Data!C452="","",Data!C452*100/Parametrar!B5)</f>
        <v>54.552104546008707</v>
      </c>
    </row>
    <row r="453" spans="1:3" x14ac:dyDescent="0.35">
      <c r="A453" s="1">
        <f>Data!A453</f>
        <v>30895</v>
      </c>
      <c r="B453" s="2">
        <f>IF(Data!B453="","",Data!B453*100/Parametrar!B4)</f>
        <v>42.591210055442005</v>
      </c>
      <c r="C453" s="2">
        <f>IF(Data!C453="","",Data!C453*100/Parametrar!B5)</f>
        <v>54.60830455069204</v>
      </c>
    </row>
    <row r="454" spans="1:3" x14ac:dyDescent="0.35">
      <c r="A454" s="1">
        <f>Data!A454</f>
        <v>30926</v>
      </c>
      <c r="B454" s="2">
        <f>IF(Data!B454="","",Data!B454*100/Parametrar!B4)</f>
        <v>42.713598590084082</v>
      </c>
      <c r="C454" s="2">
        <f>IF(Data!C454="","",Data!C454*100/Parametrar!B5)</f>
        <v>54.446604537217041</v>
      </c>
    </row>
    <row r="455" spans="1:3" x14ac:dyDescent="0.35">
      <c r="A455" s="1">
        <f>Data!A455</f>
        <v>30956</v>
      </c>
      <c r="B455" s="2">
        <f>IF(Data!B455="","",Data!B455*100/Parametrar!B4)</f>
        <v>42.876783302940176</v>
      </c>
      <c r="C455" s="2">
        <f>IF(Data!C455="","",Data!C455*100/Parametrar!B5)</f>
        <v>54.440604536717046</v>
      </c>
    </row>
    <row r="456" spans="1:3" x14ac:dyDescent="0.35">
      <c r="A456" s="1">
        <f>Data!A456</f>
        <v>30987</v>
      </c>
      <c r="B456" s="2">
        <f>IF(Data!B456="","",Data!B456*100/Parametrar!B4)</f>
        <v>42.95837565936823</v>
      </c>
      <c r="C456" s="2">
        <f>IF(Data!C456="","",Data!C456*100/Parametrar!B5)</f>
        <v>54.624004552000379</v>
      </c>
    </row>
    <row r="457" spans="1:3" x14ac:dyDescent="0.35">
      <c r="A457" s="1">
        <f>Data!A457</f>
        <v>31017</v>
      </c>
      <c r="B457" s="2">
        <f>IF(Data!B457="","",Data!B457*100/Parametrar!B4)</f>
        <v>43.039968015796276</v>
      </c>
      <c r="C457" s="2">
        <f>IF(Data!C457="","",Data!C457*100/Parametrar!B5)</f>
        <v>54.64160455346704</v>
      </c>
    </row>
    <row r="458" spans="1:3" x14ac:dyDescent="0.35">
      <c r="A458" s="1">
        <f>Data!A458</f>
        <v>31048</v>
      </c>
      <c r="B458" s="2">
        <f>IF(Data!B458="","",Data!B458*100/Parametrar!B4)</f>
        <v>43.12156037222433</v>
      </c>
      <c r="C458" s="2">
        <f>IF(Data!C458="","",Data!C458*100/Parametrar!B5)</f>
        <v>54.632204552683703</v>
      </c>
    </row>
    <row r="459" spans="1:3" x14ac:dyDescent="0.35">
      <c r="A459" s="1">
        <f>Data!A459</f>
        <v>31079</v>
      </c>
      <c r="B459" s="2">
        <f>IF(Data!B459="","",Data!B459*100/Parametrar!B4)</f>
        <v>43.366337441508477</v>
      </c>
      <c r="C459" s="2">
        <f>IF(Data!C459="","",Data!C459*100/Parametrar!B5)</f>
        <v>54.782504565208711</v>
      </c>
    </row>
    <row r="460" spans="1:3" x14ac:dyDescent="0.35">
      <c r="A460" s="1">
        <f>Data!A460</f>
        <v>31107</v>
      </c>
      <c r="B460" s="2">
        <f>IF(Data!B460="","",Data!B460*100/Parametrar!B4)</f>
        <v>43.570318332578601</v>
      </c>
      <c r="C460" s="2">
        <f>IF(Data!C460="","",Data!C460*100/Parametrar!B5)</f>
        <v>54.865304572108705</v>
      </c>
    </row>
    <row r="461" spans="1:3" x14ac:dyDescent="0.35">
      <c r="A461" s="1">
        <f>Data!A461</f>
        <v>31138</v>
      </c>
      <c r="B461" s="2">
        <f>IF(Data!B461="","",Data!B461*100/Parametrar!B4)</f>
        <v>43.651910689006655</v>
      </c>
      <c r="C461" s="2">
        <f>IF(Data!C461="","",Data!C461*100/Parametrar!B5)</f>
        <v>54.745904562158714</v>
      </c>
    </row>
    <row r="462" spans="1:3" x14ac:dyDescent="0.35">
      <c r="A462" s="1">
        <f>Data!A462</f>
        <v>31168</v>
      </c>
      <c r="B462" s="2">
        <f>IF(Data!B462="","",Data!B462*100/Parametrar!B4)</f>
        <v>43.733503045434702</v>
      </c>
      <c r="C462" s="2">
        <f>IF(Data!C462="","",Data!C462*100/Parametrar!B5)</f>
        <v>54.825504568792049</v>
      </c>
    </row>
    <row r="463" spans="1:3" x14ac:dyDescent="0.35">
      <c r="A463" s="1">
        <f>Data!A463</f>
        <v>31199</v>
      </c>
      <c r="B463" s="2">
        <f>IF(Data!B463="","",Data!B463*100/Parametrar!B4)</f>
        <v>43.855891580076779</v>
      </c>
      <c r="C463" s="2">
        <f>IF(Data!C463="","",Data!C463*100/Parametrar!B5)</f>
        <v>54.798904566575381</v>
      </c>
    </row>
    <row r="464" spans="1:3" x14ac:dyDescent="0.35">
      <c r="A464" s="1">
        <f>Data!A464</f>
        <v>31229</v>
      </c>
      <c r="B464" s="2">
        <f>IF(Data!B464="","",Data!B464*100/Parametrar!B4)</f>
        <v>43.937483936504826</v>
      </c>
      <c r="C464" s="2">
        <f>IF(Data!C464="","",Data!C464*100/Parametrar!B5)</f>
        <v>54.539604544967041</v>
      </c>
    </row>
    <row r="465" spans="1:3" x14ac:dyDescent="0.35">
      <c r="A465" s="1">
        <f>Data!A465</f>
        <v>31260</v>
      </c>
      <c r="B465" s="2">
        <f>IF(Data!B465="","",Data!B465*100/Parametrar!B4)</f>
        <v>44.01907629293288</v>
      </c>
      <c r="C465" s="2">
        <f>IF(Data!C465="","",Data!C465*100/Parametrar!B5)</f>
        <v>54.705504558792043</v>
      </c>
    </row>
    <row r="466" spans="1:3" x14ac:dyDescent="0.35">
      <c r="A466" s="1">
        <f>Data!A466</f>
        <v>31291</v>
      </c>
      <c r="B466" s="2">
        <f>IF(Data!B466="","",Data!B466*100/Parametrar!B4)</f>
        <v>44.100668649360927</v>
      </c>
      <c r="C466" s="2">
        <f>IF(Data!C466="","",Data!C466*100/Parametrar!B5)</f>
        <v>54.890604574217036</v>
      </c>
    </row>
    <row r="467" spans="1:3" x14ac:dyDescent="0.35">
      <c r="A467" s="1">
        <f>Data!A467</f>
        <v>31321</v>
      </c>
      <c r="B467" s="2">
        <f>IF(Data!B467="","",Data!B467*100/Parametrar!B4)</f>
        <v>44.263853362217027</v>
      </c>
      <c r="C467" s="2">
        <f>IF(Data!C467="","",Data!C467*100/Parametrar!B5)</f>
        <v>54.719904559992052</v>
      </c>
    </row>
    <row r="468" spans="1:3" x14ac:dyDescent="0.35">
      <c r="A468" s="1">
        <f>Data!A468</f>
        <v>31352</v>
      </c>
      <c r="B468" s="2">
        <f>IF(Data!B468="","",Data!B468*100/Parametrar!B4)</f>
        <v>44.467834253287151</v>
      </c>
      <c r="C468" s="2">
        <f>IF(Data!C468="","",Data!C468*100/Parametrar!B5)</f>
        <v>54.912404576033708</v>
      </c>
    </row>
    <row r="469" spans="1:3" x14ac:dyDescent="0.35">
      <c r="A469" s="1">
        <f>Data!A469</f>
        <v>31382</v>
      </c>
      <c r="B469" s="2">
        <f>IF(Data!B469="","",Data!B469*100/Parametrar!B4)</f>
        <v>44.671815144357275</v>
      </c>
      <c r="C469" s="2">
        <f>IF(Data!C469="","",Data!C469*100/Parametrar!B5)</f>
        <v>55.441204620100379</v>
      </c>
    </row>
    <row r="470" spans="1:3" x14ac:dyDescent="0.35">
      <c r="A470" s="1">
        <f>Data!A470</f>
        <v>31413</v>
      </c>
      <c r="B470" s="2">
        <f>IF(Data!B470="","",Data!B470*100/Parametrar!B4)</f>
        <v>44.834999857213376</v>
      </c>
      <c r="C470" s="2">
        <f>IF(Data!C470="","",Data!C470*100/Parametrar!B5)</f>
        <v>55.74810464567539</v>
      </c>
    </row>
    <row r="471" spans="1:3" x14ac:dyDescent="0.35">
      <c r="A471" s="1">
        <f>Data!A471</f>
        <v>31444</v>
      </c>
      <c r="B471" s="2">
        <f>IF(Data!B471="","",Data!B471*100/Parametrar!B4)</f>
        <v>44.753407500785322</v>
      </c>
      <c r="C471" s="2">
        <f>IF(Data!C471="","",Data!C471*100/Parametrar!B5)</f>
        <v>55.356804613067048</v>
      </c>
    </row>
    <row r="472" spans="1:3" x14ac:dyDescent="0.35">
      <c r="A472" s="1">
        <f>Data!A472</f>
        <v>31472</v>
      </c>
      <c r="B472" s="2">
        <f>IF(Data!B472="","",Data!B472*100/Parametrar!B4)</f>
        <v>44.508630431501174</v>
      </c>
      <c r="C472" s="2">
        <f>IF(Data!C472="","",Data!C472*100/Parametrar!B5)</f>
        <v>54.962504580208709</v>
      </c>
    </row>
    <row r="473" spans="1:3" x14ac:dyDescent="0.35">
      <c r="A473" s="1">
        <f>Data!A473</f>
        <v>31503</v>
      </c>
      <c r="B473" s="2">
        <f>IF(Data!B473="","",Data!B473*100/Parametrar!B4)</f>
        <v>44.345445718645074</v>
      </c>
      <c r="C473" s="2">
        <f>IF(Data!C473="","",Data!C473*100/Parametrar!B5)</f>
        <v>55.041304586775382</v>
      </c>
    </row>
    <row r="474" spans="1:3" x14ac:dyDescent="0.35">
      <c r="A474" s="1">
        <f>Data!A474</f>
        <v>31533</v>
      </c>
      <c r="B474" s="2">
        <f>IF(Data!B474="","",Data!B474*100/Parametrar!B4)</f>
        <v>44.467834253287151</v>
      </c>
      <c r="C474" s="2">
        <f>IF(Data!C474="","",Data!C474*100/Parametrar!B5)</f>
        <v>55.122604593550378</v>
      </c>
    </row>
    <row r="475" spans="1:3" x14ac:dyDescent="0.35">
      <c r="A475" s="1">
        <f>Data!A475</f>
        <v>31564</v>
      </c>
      <c r="B475" s="2">
        <f>IF(Data!B475="","",Data!B475*100/Parametrar!B4)</f>
        <v>44.631018966143252</v>
      </c>
      <c r="C475" s="2">
        <f>IF(Data!C475="","",Data!C475*100/Parametrar!B5)</f>
        <v>54.900504575042049</v>
      </c>
    </row>
    <row r="476" spans="1:3" x14ac:dyDescent="0.35">
      <c r="A476" s="1">
        <f>Data!A476</f>
        <v>31594</v>
      </c>
      <c r="B476" s="2">
        <f>IF(Data!B476="","",Data!B476*100/Parametrar!B4)</f>
        <v>44.671815144357275</v>
      </c>
      <c r="C476" s="2">
        <f>IF(Data!C476="","",Data!C476*100/Parametrar!B5)</f>
        <v>55.259204604933714</v>
      </c>
    </row>
    <row r="477" spans="1:3" x14ac:dyDescent="0.35">
      <c r="A477" s="1">
        <f>Data!A477</f>
        <v>31625</v>
      </c>
      <c r="B477" s="2">
        <f>IF(Data!B477="","",Data!B477*100/Parametrar!B4)</f>
        <v>44.712611322571298</v>
      </c>
      <c r="C477" s="2">
        <f>IF(Data!C477="","",Data!C477*100/Parametrar!B5)</f>
        <v>55.156704596392046</v>
      </c>
    </row>
    <row r="478" spans="1:3" x14ac:dyDescent="0.35">
      <c r="A478" s="1">
        <f>Data!A478</f>
        <v>31656</v>
      </c>
      <c r="B478" s="2">
        <f>IF(Data!B478="","",Data!B478*100/Parametrar!B4)</f>
        <v>44.875796035427399</v>
      </c>
      <c r="C478" s="2">
        <f>IF(Data!C478="","",Data!C478*100/Parametrar!B5)</f>
        <v>55.297504608125379</v>
      </c>
    </row>
    <row r="479" spans="1:3" x14ac:dyDescent="0.35">
      <c r="A479" s="1">
        <f>Data!A479</f>
        <v>31686</v>
      </c>
      <c r="B479" s="2">
        <f>IF(Data!B479="","",Data!B479*100/Parametrar!B4)</f>
        <v>44.957388391855446</v>
      </c>
      <c r="C479" s="2">
        <f>IF(Data!C479="","",Data!C479*100/Parametrar!B5)</f>
        <v>55.533204627767049</v>
      </c>
    </row>
    <row r="480" spans="1:3" x14ac:dyDescent="0.35">
      <c r="A480" s="1">
        <f>Data!A480</f>
        <v>31717</v>
      </c>
      <c r="B480" s="2">
        <f>IF(Data!B480="","",Data!B480*100/Parametrar!B4)</f>
        <v>45.0389807482835</v>
      </c>
      <c r="C480" s="2">
        <f>IF(Data!C480="","",Data!C480*100/Parametrar!B5)</f>
        <v>55.755704646308715</v>
      </c>
    </row>
    <row r="481" spans="1:3" x14ac:dyDescent="0.35">
      <c r="A481" s="1">
        <f>Data!A481</f>
        <v>31747</v>
      </c>
      <c r="B481" s="2">
        <f>IF(Data!B481="","",Data!B481*100/Parametrar!B4)</f>
        <v>45.2021654611396</v>
      </c>
      <c r="C481" s="2">
        <f>IF(Data!C481="","",Data!C481*100/Parametrar!B5)</f>
        <v>56.284504690375385</v>
      </c>
    </row>
    <row r="482" spans="1:3" x14ac:dyDescent="0.35">
      <c r="A482" s="1">
        <f>Data!A482</f>
        <v>31778</v>
      </c>
      <c r="B482" s="2">
        <f>IF(Data!B482="","",Data!B482*100/Parametrar!B4)</f>
        <v>45.446942530423748</v>
      </c>
      <c r="C482" s="2">
        <f>IF(Data!C482="","",Data!C482*100/Parametrar!B5)</f>
        <v>56.088204674017049</v>
      </c>
    </row>
    <row r="483" spans="1:3" x14ac:dyDescent="0.35">
      <c r="A483" s="1">
        <f>Data!A483</f>
        <v>31809</v>
      </c>
      <c r="B483" s="2">
        <f>IF(Data!B483="","",Data!B483*100/Parametrar!B4)</f>
        <v>45.610127243279848</v>
      </c>
      <c r="C483" s="2">
        <f>IF(Data!C483="","",Data!C483*100/Parametrar!B5)</f>
        <v>56.827504735625389</v>
      </c>
    </row>
    <row r="484" spans="1:3" x14ac:dyDescent="0.35">
      <c r="A484" s="1">
        <f>Data!A484</f>
        <v>31837</v>
      </c>
      <c r="B484" s="2">
        <f>IF(Data!B484="","",Data!B484*100/Parametrar!B4)</f>
        <v>45.773311956135949</v>
      </c>
      <c r="C484" s="2">
        <f>IF(Data!C484="","",Data!C484*100/Parametrar!B5)</f>
        <v>56.909804742483722</v>
      </c>
    </row>
    <row r="485" spans="1:3" x14ac:dyDescent="0.35">
      <c r="A485" s="1">
        <f>Data!A485</f>
        <v>31868</v>
      </c>
      <c r="B485" s="2">
        <f>IF(Data!B485="","",Data!B485*100/Parametrar!B4)</f>
        <v>45.977292847206073</v>
      </c>
      <c r="C485" s="2">
        <f>IF(Data!C485="","",Data!C485*100/Parametrar!B5)</f>
        <v>57.270104772508731</v>
      </c>
    </row>
    <row r="486" spans="1:3" x14ac:dyDescent="0.35">
      <c r="A486" s="1">
        <f>Data!A486</f>
        <v>31898</v>
      </c>
      <c r="B486" s="2">
        <f>IF(Data!B486="","",Data!B486*100/Parametrar!B4)</f>
        <v>46.09968138184815</v>
      </c>
      <c r="C486" s="2">
        <f>IF(Data!C486="","",Data!C486*100/Parametrar!B5)</f>
        <v>57.632204802683724</v>
      </c>
    </row>
    <row r="487" spans="1:3" x14ac:dyDescent="0.35">
      <c r="A487" s="1">
        <f>Data!A487</f>
        <v>31929</v>
      </c>
      <c r="B487" s="2">
        <f>IF(Data!B487="","",Data!B487*100/Parametrar!B4)</f>
        <v>46.303662272918274</v>
      </c>
      <c r="C487" s="2">
        <f>IF(Data!C487="","",Data!C487*100/Parametrar!B5)</f>
        <v>57.930704827558728</v>
      </c>
    </row>
    <row r="488" spans="1:3" x14ac:dyDescent="0.35">
      <c r="A488" s="1">
        <f>Data!A488</f>
        <v>31959</v>
      </c>
      <c r="B488" s="2">
        <f>IF(Data!B488="","",Data!B488*100/Parametrar!B4)</f>
        <v>46.426050807560344</v>
      </c>
      <c r="C488" s="2">
        <f>IF(Data!C488="","",Data!C488*100/Parametrar!B5)</f>
        <v>58.325804860483736</v>
      </c>
    </row>
    <row r="489" spans="1:3" x14ac:dyDescent="0.35">
      <c r="A489" s="1">
        <f>Data!A489</f>
        <v>31990</v>
      </c>
      <c r="B489" s="2">
        <f>IF(Data!B489="","",Data!B489*100/Parametrar!B4)</f>
        <v>46.630031698630468</v>
      </c>
      <c r="C489" s="2">
        <f>IF(Data!C489="","",Data!C489*100/Parametrar!B5)</f>
        <v>58.763604896967067</v>
      </c>
    </row>
    <row r="490" spans="1:3" x14ac:dyDescent="0.35">
      <c r="A490" s="1">
        <f>Data!A490</f>
        <v>32021</v>
      </c>
      <c r="B490" s="2">
        <f>IF(Data!B490="","",Data!B490*100/Parametrar!B4)</f>
        <v>46.793216411486569</v>
      </c>
      <c r="C490" s="2">
        <f>IF(Data!C490="","",Data!C490*100/Parametrar!B5)</f>
        <v>58.99510491625874</v>
      </c>
    </row>
    <row r="491" spans="1:3" x14ac:dyDescent="0.35">
      <c r="A491" s="1">
        <f>Data!A491</f>
        <v>32051</v>
      </c>
      <c r="B491" s="2">
        <f>IF(Data!B491="","",Data!B491*100/Parametrar!B4)</f>
        <v>46.915604946128646</v>
      </c>
      <c r="C491" s="2">
        <f>IF(Data!C491="","",Data!C491*100/Parametrar!B5)</f>
        <v>59.781004981750407</v>
      </c>
    </row>
    <row r="492" spans="1:3" x14ac:dyDescent="0.35">
      <c r="A492" s="1">
        <f>Data!A492</f>
        <v>32082</v>
      </c>
      <c r="B492" s="2">
        <f>IF(Data!B492="","",Data!B492*100/Parametrar!B4)</f>
        <v>47.078789658984746</v>
      </c>
      <c r="C492" s="2">
        <f>IF(Data!C492="","",Data!C492*100/Parametrar!B5)</f>
        <v>60.072605006050416</v>
      </c>
    </row>
    <row r="493" spans="1:3" x14ac:dyDescent="0.35">
      <c r="A493" s="1">
        <f>Data!A493</f>
        <v>32112</v>
      </c>
      <c r="B493" s="2">
        <f>IF(Data!B493="","",Data!B493*100/Parametrar!B4)</f>
        <v>47.160382015412793</v>
      </c>
      <c r="C493" s="2">
        <f>IF(Data!C493="","",Data!C493*100/Parametrar!B5)</f>
        <v>60.409505034125417</v>
      </c>
    </row>
    <row r="494" spans="1:3" x14ac:dyDescent="0.35">
      <c r="A494" s="1">
        <f>Data!A494</f>
        <v>32143</v>
      </c>
      <c r="B494" s="2">
        <f>IF(Data!B494="","",Data!B494*100/Parametrar!B4)</f>
        <v>47.323566728268894</v>
      </c>
      <c r="C494" s="2">
        <f>IF(Data!C494="","",Data!C494*100/Parametrar!B5)</f>
        <v>60.397605033133743</v>
      </c>
    </row>
    <row r="495" spans="1:3" x14ac:dyDescent="0.35">
      <c r="A495" s="1">
        <f>Data!A495</f>
        <v>32174</v>
      </c>
      <c r="B495" s="2">
        <f>IF(Data!B495="","",Data!B495*100/Parametrar!B4)</f>
        <v>47.40515908469694</v>
      </c>
      <c r="C495" s="2">
        <f>IF(Data!C495="","",Data!C495*100/Parametrar!B5)</f>
        <v>60.700305058358751</v>
      </c>
    </row>
    <row r="496" spans="1:3" x14ac:dyDescent="0.35">
      <c r="A496" s="1">
        <f>Data!A496</f>
        <v>32203</v>
      </c>
      <c r="B496" s="2">
        <f>IF(Data!B496="","",Data!B496*100/Parametrar!B4)</f>
        <v>47.527547619339018</v>
      </c>
      <c r="C496" s="2">
        <f>IF(Data!C496="","",Data!C496*100/Parametrar!B5)</f>
        <v>60.850105070842091</v>
      </c>
    </row>
    <row r="497" spans="1:3" x14ac:dyDescent="0.35">
      <c r="A497" s="1">
        <f>Data!A497</f>
        <v>32234</v>
      </c>
      <c r="B497" s="2">
        <f>IF(Data!B497="","",Data!B497*100/Parametrar!B4)</f>
        <v>47.813120866837195</v>
      </c>
      <c r="C497" s="2">
        <f>IF(Data!C497="","",Data!C497*100/Parametrar!B5)</f>
        <v>61.203105100258746</v>
      </c>
    </row>
    <row r="498" spans="1:3" x14ac:dyDescent="0.35">
      <c r="A498" s="1">
        <f>Data!A498</f>
        <v>32264</v>
      </c>
      <c r="B498" s="2">
        <f>IF(Data!B498="","",Data!B498*100/Parametrar!B4)</f>
        <v>47.935509401479266</v>
      </c>
      <c r="C498" s="2">
        <f>IF(Data!C498="","",Data!C498*100/Parametrar!B5)</f>
        <v>61.07970508997542</v>
      </c>
    </row>
    <row r="499" spans="1:3" x14ac:dyDescent="0.35">
      <c r="A499" s="1">
        <f>Data!A499</f>
        <v>32295</v>
      </c>
      <c r="B499" s="2">
        <f>IF(Data!B499="","",Data!B499*100/Parametrar!B4)</f>
        <v>48.139490292549389</v>
      </c>
      <c r="C499" s="2">
        <f>IF(Data!C499="","",Data!C499*100/Parametrar!B5)</f>
        <v>61.256905104742096</v>
      </c>
    </row>
    <row r="500" spans="1:3" x14ac:dyDescent="0.35">
      <c r="A500" s="1">
        <f>Data!A500</f>
        <v>32325</v>
      </c>
      <c r="B500" s="2">
        <f>IF(Data!B500="","",Data!B500*100/Parametrar!B4)</f>
        <v>48.343471183619513</v>
      </c>
      <c r="C500" s="2">
        <f>IF(Data!C500="","",Data!C500*100/Parametrar!B5)</f>
        <v>61.265905105492088</v>
      </c>
    </row>
    <row r="501" spans="1:3" x14ac:dyDescent="0.35">
      <c r="A501" s="1">
        <f>Data!A501</f>
        <v>32356</v>
      </c>
      <c r="B501" s="2">
        <f>IF(Data!B501="","",Data!B501*100/Parametrar!B4)</f>
        <v>48.547452074689645</v>
      </c>
      <c r="C501" s="2">
        <f>IF(Data!C501="","",Data!C501*100/Parametrar!B5)</f>
        <v>61.573105131092085</v>
      </c>
    </row>
    <row r="502" spans="1:3" x14ac:dyDescent="0.35">
      <c r="A502" s="1">
        <f>Data!A502</f>
        <v>32387</v>
      </c>
      <c r="B502" s="2">
        <f>IF(Data!B502="","",Data!B502*100/Parametrar!B4)</f>
        <v>48.751432965759768</v>
      </c>
      <c r="C502" s="2">
        <f>IF(Data!C502="","",Data!C502*100/Parametrar!B5)</f>
        <v>61.380705115058753</v>
      </c>
    </row>
    <row r="503" spans="1:3" x14ac:dyDescent="0.35">
      <c r="A503" s="1">
        <f>Data!A503</f>
        <v>32417</v>
      </c>
      <c r="B503" s="2">
        <f>IF(Data!B503="","",Data!B503*100/Parametrar!B4)</f>
        <v>48.914617678615862</v>
      </c>
      <c r="C503" s="2">
        <f>IF(Data!C503="","",Data!C503*100/Parametrar!B5)</f>
        <v>61.645305137108757</v>
      </c>
    </row>
    <row r="504" spans="1:3" x14ac:dyDescent="0.35">
      <c r="A504" s="1">
        <f>Data!A504</f>
        <v>32448</v>
      </c>
      <c r="B504" s="2">
        <f>IF(Data!B504="","",Data!B504*100/Parametrar!B4)</f>
        <v>49.077802391471963</v>
      </c>
      <c r="C504" s="2">
        <f>IF(Data!C504="","",Data!C504*100/Parametrar!B5)</f>
        <v>61.794405149533766</v>
      </c>
    </row>
    <row r="505" spans="1:3" x14ac:dyDescent="0.35">
      <c r="A505" s="1">
        <f>Data!A505</f>
        <v>32478</v>
      </c>
      <c r="B505" s="2">
        <f>IF(Data!B505="","",Data!B505*100/Parametrar!B4)</f>
        <v>49.240987104328063</v>
      </c>
      <c r="C505" s="2">
        <f>IF(Data!C505="","",Data!C505*100/Parametrar!B5)</f>
        <v>62.074305172858764</v>
      </c>
    </row>
    <row r="506" spans="1:3" x14ac:dyDescent="0.35">
      <c r="A506" s="1">
        <f>Data!A506</f>
        <v>32509</v>
      </c>
      <c r="B506" s="2">
        <f>IF(Data!B506="","",Data!B506*100/Parametrar!B4)</f>
        <v>49.444967995398187</v>
      </c>
      <c r="C506" s="2">
        <f>IF(Data!C506="","",Data!C506*100/Parametrar!B5)</f>
        <v>62.25740518811709</v>
      </c>
    </row>
    <row r="507" spans="1:3" x14ac:dyDescent="0.35">
      <c r="A507" s="1">
        <f>Data!A507</f>
        <v>32540</v>
      </c>
      <c r="B507" s="2">
        <f>IF(Data!B507="","",Data!B507*100/Parametrar!B4)</f>
        <v>49.608152708254288</v>
      </c>
      <c r="C507" s="2">
        <f>IF(Data!C507="","",Data!C507*100/Parametrar!B5)</f>
        <v>61.981905165158764</v>
      </c>
    </row>
    <row r="508" spans="1:3" x14ac:dyDescent="0.35">
      <c r="A508" s="1">
        <f>Data!A508</f>
        <v>32568</v>
      </c>
      <c r="B508" s="2">
        <f>IF(Data!B508="","",Data!B508*100/Parametrar!B4)</f>
        <v>49.852929777538435</v>
      </c>
      <c r="C508" s="2">
        <f>IF(Data!C508="","",Data!C508*100/Parametrar!B5)</f>
        <v>62.136905178075423</v>
      </c>
    </row>
    <row r="509" spans="1:3" x14ac:dyDescent="0.35">
      <c r="A509" s="1">
        <f>Data!A509</f>
        <v>32599</v>
      </c>
      <c r="B509" s="2">
        <f>IF(Data!B509="","",Data!B509*100/Parametrar!B4)</f>
        <v>50.22009538146466</v>
      </c>
      <c r="C509" s="2">
        <f>IF(Data!C509="","",Data!C509*100/Parametrar!B5)</f>
        <v>62.127605177300431</v>
      </c>
    </row>
    <row r="510" spans="1:3" x14ac:dyDescent="0.35">
      <c r="A510" s="1">
        <f>Data!A510</f>
        <v>32629</v>
      </c>
      <c r="B510" s="2">
        <f>IF(Data!B510="","",Data!B510*100/Parametrar!B4)</f>
        <v>50.464872450748814</v>
      </c>
      <c r="C510" s="2">
        <f>IF(Data!C510="","",Data!C510*100/Parametrar!B5)</f>
        <v>61.774405147867085</v>
      </c>
    </row>
    <row r="511" spans="1:3" x14ac:dyDescent="0.35">
      <c r="A511" s="1">
        <f>Data!A511</f>
        <v>32660</v>
      </c>
      <c r="B511" s="2">
        <f>IF(Data!B511="","",Data!B511*100/Parametrar!B4)</f>
        <v>50.628057163604915</v>
      </c>
      <c r="C511" s="2">
        <f>IF(Data!C511="","",Data!C511*100/Parametrar!B5)</f>
        <v>61.769705147475428</v>
      </c>
    </row>
    <row r="512" spans="1:3" x14ac:dyDescent="0.35">
      <c r="A512" s="1">
        <f>Data!A512</f>
        <v>32690</v>
      </c>
      <c r="B512" s="2">
        <f>IF(Data!B512="","",Data!B512*100/Parametrar!B4)</f>
        <v>50.791241876461008</v>
      </c>
      <c r="C512" s="2">
        <f>IF(Data!C512="","",Data!C512*100/Parametrar!B5)</f>
        <v>61.173805097817088</v>
      </c>
    </row>
    <row r="513" spans="1:3" x14ac:dyDescent="0.35">
      <c r="A513" s="1">
        <f>Data!A513</f>
        <v>32721</v>
      </c>
      <c r="B513" s="2">
        <f>IF(Data!B513="","",Data!B513*100/Parametrar!B4)</f>
        <v>50.791241876461008</v>
      </c>
      <c r="C513" s="2">
        <f>IF(Data!C513="","",Data!C513*100/Parametrar!B5)</f>
        <v>61.773205147767101</v>
      </c>
    </row>
    <row r="514" spans="1:3" x14ac:dyDescent="0.35">
      <c r="A514" s="1">
        <f>Data!A514</f>
        <v>32752</v>
      </c>
      <c r="B514" s="2">
        <f>IF(Data!B514="","",Data!B514*100/Parametrar!B4)</f>
        <v>50.913630411103085</v>
      </c>
      <c r="C514" s="2">
        <f>IF(Data!C514="","",Data!C514*100/Parametrar!B5)</f>
        <v>61.579605131633755</v>
      </c>
    </row>
    <row r="515" spans="1:3" x14ac:dyDescent="0.35">
      <c r="A515" s="1">
        <f>Data!A515</f>
        <v>32782</v>
      </c>
      <c r="B515" s="2">
        <f>IF(Data!B515="","",Data!B515*100/Parametrar!B4)</f>
        <v>51.158407480387233</v>
      </c>
      <c r="C515" s="2">
        <f>IF(Data!C515="","",Data!C515*100/Parametrar!B5)</f>
        <v>61.496605124717085</v>
      </c>
    </row>
    <row r="516" spans="1:3" x14ac:dyDescent="0.35">
      <c r="A516" s="1">
        <f>Data!A516</f>
        <v>32813</v>
      </c>
      <c r="B516" s="2">
        <f>IF(Data!B516="","",Data!B516*100/Parametrar!B4)</f>
        <v>51.362388371457357</v>
      </c>
      <c r="C516" s="2">
        <f>IF(Data!C516="","",Data!C516*100/Parametrar!B5)</f>
        <v>61.704405142033757</v>
      </c>
    </row>
    <row r="517" spans="1:3" x14ac:dyDescent="0.35">
      <c r="A517" s="1">
        <f>Data!A517</f>
        <v>32843</v>
      </c>
      <c r="B517" s="2">
        <f>IF(Data!B517="","",Data!B517*100/Parametrar!B4)</f>
        <v>51.525573084313457</v>
      </c>
      <c r="C517" s="2">
        <f>IF(Data!C517="","",Data!C517*100/Parametrar!B5)</f>
        <v>62.042805170233756</v>
      </c>
    </row>
    <row r="518" spans="1:3" x14ac:dyDescent="0.35">
      <c r="A518" s="1">
        <f>Data!A518</f>
        <v>32874</v>
      </c>
      <c r="B518" s="2">
        <f>IF(Data!B518="","",Data!B518*100/Parametrar!B4)</f>
        <v>52.015127222881759</v>
      </c>
      <c r="C518" s="2">
        <f>IF(Data!C518="","",Data!C518*100/Parametrar!B5)</f>
        <v>61.729005144083757</v>
      </c>
    </row>
    <row r="519" spans="1:3" x14ac:dyDescent="0.35">
      <c r="A519" s="1">
        <f>Data!A519</f>
        <v>32905</v>
      </c>
      <c r="B519" s="2">
        <f>IF(Data!B519="","",Data!B519*100/Parametrar!B4)</f>
        <v>52.219108113951883</v>
      </c>
      <c r="C519" s="2">
        <f>IF(Data!C519="","",Data!C519*100/Parametrar!B5)</f>
        <v>62.28960519080043</v>
      </c>
    </row>
    <row r="520" spans="1:3" x14ac:dyDescent="0.35">
      <c r="A520" s="1">
        <f>Data!A520</f>
        <v>32933</v>
      </c>
      <c r="B520" s="2">
        <f>IF(Data!B520="","",Data!B520*100/Parametrar!B4)</f>
        <v>52.46388518323603</v>
      </c>
      <c r="C520" s="2">
        <f>IF(Data!C520="","",Data!C520*100/Parametrar!B5)</f>
        <v>62.599905216658762</v>
      </c>
    </row>
    <row r="521" spans="1:3" x14ac:dyDescent="0.35">
      <c r="A521" s="1">
        <f>Data!A521</f>
        <v>32964</v>
      </c>
      <c r="B521" s="2">
        <f>IF(Data!B521="","",Data!B521*100/Parametrar!B4)</f>
        <v>52.586273717878107</v>
      </c>
      <c r="C521" s="2">
        <f>IF(Data!C521="","",Data!C521*100/Parametrar!B5)</f>
        <v>62.435905202992089</v>
      </c>
    </row>
    <row r="522" spans="1:3" x14ac:dyDescent="0.35">
      <c r="A522" s="1">
        <f>Data!A522</f>
        <v>32994</v>
      </c>
      <c r="B522" s="2">
        <f>IF(Data!B522="","",Data!B522*100/Parametrar!B4)</f>
        <v>52.667866074306154</v>
      </c>
      <c r="C522" s="2">
        <f>IF(Data!C522="","",Data!C522*100/Parametrar!B5)</f>
        <v>62.625805218817099</v>
      </c>
    </row>
    <row r="523" spans="1:3" x14ac:dyDescent="0.35">
      <c r="A523" s="1">
        <f>Data!A523</f>
        <v>33025</v>
      </c>
      <c r="B523" s="2">
        <f>IF(Data!B523="","",Data!B523*100/Parametrar!B4)</f>
        <v>52.994235500018355</v>
      </c>
      <c r="C523" s="2">
        <f>IF(Data!C523="","",Data!C523*100/Parametrar!B5)</f>
        <v>62.838205236517098</v>
      </c>
    </row>
    <row r="524" spans="1:3" x14ac:dyDescent="0.35">
      <c r="A524" s="1">
        <f>Data!A524</f>
        <v>33055</v>
      </c>
      <c r="B524" s="2">
        <f>IF(Data!B524="","",Data!B524*100/Parametrar!B4)</f>
        <v>53.239012569302503</v>
      </c>
      <c r="C524" s="2">
        <f>IF(Data!C524="","",Data!C524*100/Parametrar!B5)</f>
        <v>62.728405227367098</v>
      </c>
    </row>
    <row r="525" spans="1:3" x14ac:dyDescent="0.35">
      <c r="A525" s="1">
        <f>Data!A525</f>
        <v>33086</v>
      </c>
      <c r="B525" s="2">
        <f>IF(Data!B525="","",Data!B525*100/Parametrar!B4)</f>
        <v>53.687770529656781</v>
      </c>
      <c r="C525" s="2">
        <f>IF(Data!C525="","",Data!C525*100/Parametrar!B5)</f>
        <v>62.947505245625436</v>
      </c>
    </row>
    <row r="526" spans="1:3" x14ac:dyDescent="0.35">
      <c r="A526" s="1">
        <f>Data!A526</f>
        <v>33117</v>
      </c>
      <c r="B526" s="2">
        <f>IF(Data!B526="","",Data!B526*100/Parametrar!B4)</f>
        <v>54.054936133583006</v>
      </c>
      <c r="C526" s="2">
        <f>IF(Data!C526="","",Data!C526*100/Parametrar!B5)</f>
        <v>62.952305246025439</v>
      </c>
    </row>
    <row r="527" spans="1:3" x14ac:dyDescent="0.35">
      <c r="A527" s="1">
        <f>Data!A527</f>
        <v>33147</v>
      </c>
      <c r="B527" s="2">
        <f>IF(Data!B527="","",Data!B527*100/Parametrar!B4)</f>
        <v>54.42210173750923</v>
      </c>
      <c r="C527" s="2">
        <f>IF(Data!C527="","",Data!C527*100/Parametrar!B5)</f>
        <v>62.58450521537543</v>
      </c>
    </row>
    <row r="528" spans="1:3" x14ac:dyDescent="0.35">
      <c r="A528" s="1">
        <f>Data!A528</f>
        <v>33178</v>
      </c>
      <c r="B528" s="2">
        <f>IF(Data!B528="","",Data!B528*100/Parametrar!B4)</f>
        <v>54.544490272151293</v>
      </c>
      <c r="C528" s="2">
        <f>IF(Data!C528="","",Data!C528*100/Parametrar!B5)</f>
        <v>61.788705149058757</v>
      </c>
    </row>
    <row r="529" spans="1:3" x14ac:dyDescent="0.35">
      <c r="A529" s="1">
        <f>Data!A529</f>
        <v>33208</v>
      </c>
      <c r="B529" s="2">
        <f>IF(Data!B529="","",Data!B529*100/Parametrar!B4)</f>
        <v>54.748471163221417</v>
      </c>
      <c r="C529" s="2">
        <f>IF(Data!C529="","",Data!C529*100/Parametrar!B5)</f>
        <v>61.335205111267094</v>
      </c>
    </row>
    <row r="530" spans="1:3" x14ac:dyDescent="0.35">
      <c r="A530" s="1">
        <f>Data!A530</f>
        <v>33239</v>
      </c>
      <c r="B530" s="2">
        <f>IF(Data!B530="","",Data!B530*100/Parametrar!B4)</f>
        <v>54.952452054291541</v>
      </c>
      <c r="C530" s="2">
        <f>IF(Data!C530="","",Data!C530*100/Parametrar!B5)</f>
        <v>61.135505094625422</v>
      </c>
    </row>
    <row r="531" spans="1:3" x14ac:dyDescent="0.35">
      <c r="A531" s="1">
        <f>Data!A531</f>
        <v>33270</v>
      </c>
      <c r="B531" s="2">
        <f>IF(Data!B531="","",Data!B531*100/Parametrar!B4)</f>
        <v>54.993248232505586</v>
      </c>
      <c r="C531" s="2">
        <f>IF(Data!C531="","",Data!C531*100/Parametrar!B5)</f>
        <v>60.683805056983751</v>
      </c>
    </row>
    <row r="532" spans="1:3" x14ac:dyDescent="0.35">
      <c r="A532" s="1">
        <f>Data!A532</f>
        <v>33298</v>
      </c>
      <c r="B532" s="2">
        <f>IF(Data!B532="","",Data!B532*100/Parametrar!B4)</f>
        <v>54.993248232505586</v>
      </c>
      <c r="C532" s="2">
        <f>IF(Data!C532="","",Data!C532*100/Parametrar!B5)</f>
        <v>60.334605027883747</v>
      </c>
    </row>
    <row r="533" spans="1:3" x14ac:dyDescent="0.35">
      <c r="A533" s="1">
        <f>Data!A533</f>
        <v>33329</v>
      </c>
      <c r="B533" s="2">
        <f>IF(Data!B533="","",Data!B533*100/Parametrar!B4)</f>
        <v>55.115636767147649</v>
      </c>
      <c r="C533" s="2">
        <f>IF(Data!C533="","",Data!C533*100/Parametrar!B5)</f>
        <v>60.493805041150416</v>
      </c>
    </row>
    <row r="534" spans="1:3" x14ac:dyDescent="0.35">
      <c r="A534" s="1">
        <f>Data!A534</f>
        <v>33359</v>
      </c>
      <c r="B534" s="2">
        <f>IF(Data!B534="","",Data!B534*100/Parametrar!B4)</f>
        <v>55.319617658217773</v>
      </c>
      <c r="C534" s="2">
        <f>IF(Data!C534="","",Data!C534*100/Parametrar!B5)</f>
        <v>61.06330508860875</v>
      </c>
    </row>
    <row r="535" spans="1:3" x14ac:dyDescent="0.35">
      <c r="A535" s="1">
        <f>Data!A535</f>
        <v>33390</v>
      </c>
      <c r="B535" s="2">
        <f>IF(Data!B535="","",Data!B535*100/Parametrar!B4)</f>
        <v>55.482802371073873</v>
      </c>
      <c r="C535" s="2">
        <f>IF(Data!C535="","",Data!C535*100/Parametrar!B5)</f>
        <v>61.558105129842097</v>
      </c>
    </row>
    <row r="536" spans="1:3" x14ac:dyDescent="0.35">
      <c r="A536" s="1">
        <f>Data!A536</f>
        <v>33420</v>
      </c>
      <c r="B536" s="2">
        <f>IF(Data!B536="","",Data!B536*100/Parametrar!B4)</f>
        <v>55.56439472750192</v>
      </c>
      <c r="C536" s="2">
        <f>IF(Data!C536="","",Data!C536*100/Parametrar!B5)</f>
        <v>61.730505144208763</v>
      </c>
    </row>
    <row r="537" spans="1:3" x14ac:dyDescent="0.35">
      <c r="A537" s="1">
        <f>Data!A537</f>
        <v>33451</v>
      </c>
      <c r="B537" s="2">
        <f>IF(Data!B537="","",Data!B537*100/Parametrar!B4)</f>
        <v>55.727579440358028</v>
      </c>
      <c r="C537" s="2">
        <f>IF(Data!C537="","",Data!C537*100/Parametrar!B5)</f>
        <v>61.729805144150419</v>
      </c>
    </row>
    <row r="538" spans="1:3" x14ac:dyDescent="0.35">
      <c r="A538" s="1">
        <f>Data!A538</f>
        <v>33482</v>
      </c>
      <c r="B538" s="2">
        <f>IF(Data!B538="","",Data!B538*100/Parametrar!B4)</f>
        <v>55.890764153214121</v>
      </c>
      <c r="C538" s="2">
        <f>IF(Data!C538="","",Data!C538*100/Parametrar!B5)</f>
        <v>62.219505184958763</v>
      </c>
    </row>
    <row r="539" spans="1:3" x14ac:dyDescent="0.35">
      <c r="A539" s="1">
        <f>Data!A539</f>
        <v>33512</v>
      </c>
      <c r="B539" s="2">
        <f>IF(Data!B539="","",Data!B539*100/Parametrar!B4)</f>
        <v>55.972356509642168</v>
      </c>
      <c r="C539" s="2">
        <f>IF(Data!C539="","",Data!C539*100/Parametrar!B5)</f>
        <v>62.185505182125432</v>
      </c>
    </row>
    <row r="540" spans="1:3" x14ac:dyDescent="0.35">
      <c r="A540" s="1">
        <f>Data!A540</f>
        <v>33543</v>
      </c>
      <c r="B540" s="2">
        <f>IF(Data!B540="","",Data!B540*100/Parametrar!B4)</f>
        <v>56.21713357892633</v>
      </c>
      <c r="C540" s="2">
        <f>IF(Data!C540="","",Data!C540*100/Parametrar!B5)</f>
        <v>62.08710517392543</v>
      </c>
    </row>
    <row r="541" spans="1:3" x14ac:dyDescent="0.35">
      <c r="A541" s="1">
        <f>Data!A541</f>
        <v>33573</v>
      </c>
      <c r="B541" s="2">
        <f>IF(Data!B541="","",Data!B541*100/Parametrar!B4)</f>
        <v>56.380318291782416</v>
      </c>
      <c r="C541" s="2">
        <f>IF(Data!C541="","",Data!C541*100/Parametrar!B5)</f>
        <v>61.785205148767098</v>
      </c>
    </row>
    <row r="542" spans="1:3" x14ac:dyDescent="0.35">
      <c r="A542" s="1">
        <f>Data!A542</f>
        <v>33604</v>
      </c>
      <c r="B542" s="2">
        <f>IF(Data!B542="","",Data!B542*100/Parametrar!B4)</f>
        <v>56.421114469996454</v>
      </c>
      <c r="C542" s="2">
        <f>IF(Data!C542="","",Data!C542*100/Parametrar!B5)</f>
        <v>61.461605121800424</v>
      </c>
    </row>
    <row r="543" spans="1:3" x14ac:dyDescent="0.35">
      <c r="A543" s="1">
        <f>Data!A543</f>
        <v>33635</v>
      </c>
      <c r="B543" s="2">
        <f>IF(Data!B543="","",Data!B543*100/Parametrar!B4)</f>
        <v>56.543503004638524</v>
      </c>
      <c r="C543" s="2">
        <f>IF(Data!C543="","",Data!C543*100/Parametrar!B5)</f>
        <v>61.895505157958759</v>
      </c>
    </row>
    <row r="544" spans="1:3" x14ac:dyDescent="0.35">
      <c r="A544" s="1">
        <f>Data!A544</f>
        <v>33664</v>
      </c>
      <c r="B544" s="2">
        <f>IF(Data!B544="","",Data!B544*100/Parametrar!B4)</f>
        <v>56.747483895708648</v>
      </c>
      <c r="C544" s="2">
        <f>IF(Data!C544="","",Data!C544*100/Parametrar!B5)</f>
        <v>62.423205201933762</v>
      </c>
    </row>
    <row r="545" spans="1:3" x14ac:dyDescent="0.35">
      <c r="A545" s="1">
        <f>Data!A545</f>
        <v>33695</v>
      </c>
      <c r="B545" s="2">
        <f>IF(Data!B545="","",Data!B545*100/Parametrar!B4)</f>
        <v>56.869872430350725</v>
      </c>
      <c r="C545" s="2">
        <f>IF(Data!C545="","",Data!C545*100/Parametrar!B5)</f>
        <v>62.897005241417098</v>
      </c>
    </row>
    <row r="546" spans="1:3" x14ac:dyDescent="0.35">
      <c r="A546" s="1">
        <f>Data!A546</f>
        <v>33725</v>
      </c>
      <c r="B546" s="2">
        <f>IF(Data!B546="","",Data!B546*100/Parametrar!B4)</f>
        <v>56.992260964992788</v>
      </c>
      <c r="C546" s="2">
        <f>IF(Data!C546="","",Data!C546*100/Parametrar!B5)</f>
        <v>63.104005258667094</v>
      </c>
    </row>
    <row r="547" spans="1:3" x14ac:dyDescent="0.35">
      <c r="A547" s="1">
        <f>Data!A547</f>
        <v>33756</v>
      </c>
      <c r="B547" s="2">
        <f>IF(Data!B547="","",Data!B547*100/Parametrar!B4)</f>
        <v>57.155445677848896</v>
      </c>
      <c r="C547" s="2">
        <f>IF(Data!C547="","",Data!C547*100/Parametrar!B5)</f>
        <v>63.136305261358771</v>
      </c>
    </row>
    <row r="548" spans="1:3" x14ac:dyDescent="0.35">
      <c r="A548" s="1">
        <f>Data!A548</f>
        <v>33786</v>
      </c>
      <c r="B548" s="2">
        <f>IF(Data!B548="","",Data!B548*100/Parametrar!B4)</f>
        <v>57.318630390704996</v>
      </c>
      <c r="C548" s="2">
        <f>IF(Data!C548="","",Data!C548*100/Parametrar!B5)</f>
        <v>63.717605309800433</v>
      </c>
    </row>
    <row r="549" spans="1:3" x14ac:dyDescent="0.35">
      <c r="A549" s="1">
        <f>Data!A549</f>
        <v>33817</v>
      </c>
      <c r="B549" s="2">
        <f>IF(Data!B549="","",Data!B549*100/Parametrar!B4)</f>
        <v>57.44101892534708</v>
      </c>
      <c r="C549" s="2">
        <f>IF(Data!C549="","",Data!C549*100/Parametrar!B5)</f>
        <v>63.361305280108773</v>
      </c>
    </row>
    <row r="550" spans="1:3" x14ac:dyDescent="0.35">
      <c r="A550" s="1">
        <f>Data!A550</f>
        <v>33848</v>
      </c>
      <c r="B550" s="2">
        <f>IF(Data!B550="","",Data!B550*100/Parametrar!B4)</f>
        <v>57.563407459989143</v>
      </c>
      <c r="C550" s="2">
        <f>IF(Data!C550="","",Data!C550*100/Parametrar!B5)</f>
        <v>63.570305297525444</v>
      </c>
    </row>
    <row r="551" spans="1:3" x14ac:dyDescent="0.35">
      <c r="A551" s="1">
        <f>Data!A551</f>
        <v>33878</v>
      </c>
      <c r="B551" s="2">
        <f>IF(Data!B551="","",Data!B551*100/Parametrar!B4)</f>
        <v>57.808184529273291</v>
      </c>
      <c r="C551" s="2">
        <f>IF(Data!C551="","",Data!C551*100/Parametrar!B5)</f>
        <v>63.999505333292106</v>
      </c>
    </row>
    <row r="552" spans="1:3" x14ac:dyDescent="0.35">
      <c r="A552" s="1">
        <f>Data!A552</f>
        <v>33909</v>
      </c>
      <c r="B552" s="2">
        <f>IF(Data!B552="","",Data!B552*100/Parametrar!B4)</f>
        <v>57.971369242129398</v>
      </c>
      <c r="C552" s="2">
        <f>IF(Data!C552="","",Data!C552*100/Parametrar!B5)</f>
        <v>64.242205353517107</v>
      </c>
    </row>
    <row r="553" spans="1:3" x14ac:dyDescent="0.35">
      <c r="A553" s="1">
        <f>Data!A553</f>
        <v>33939</v>
      </c>
      <c r="B553" s="2">
        <f>IF(Data!B553="","",Data!B553*100/Parametrar!B4)</f>
        <v>58.052961598557452</v>
      </c>
      <c r="C553" s="2">
        <f>IF(Data!C553="","",Data!C553*100/Parametrar!B5)</f>
        <v>64.350705362558784</v>
      </c>
    </row>
    <row r="554" spans="1:3" x14ac:dyDescent="0.35">
      <c r="A554" s="1">
        <f>Data!A554</f>
        <v>33970</v>
      </c>
      <c r="B554" s="2">
        <f>IF(Data!B554="","",Data!B554*100/Parametrar!B4)</f>
        <v>58.256942489627576</v>
      </c>
      <c r="C554" s="2">
        <f>IF(Data!C554="","",Data!C554*100/Parametrar!B5)</f>
        <v>64.597805383150444</v>
      </c>
    </row>
    <row r="555" spans="1:3" x14ac:dyDescent="0.35">
      <c r="A555" s="1">
        <f>Data!A555</f>
        <v>34001</v>
      </c>
      <c r="B555" s="2">
        <f>IF(Data!B555="","",Data!B555*100/Parametrar!B4)</f>
        <v>58.379331024269646</v>
      </c>
      <c r="C555" s="2">
        <f>IF(Data!C555="","",Data!C555*100/Parametrar!B5)</f>
        <v>64.908905409075444</v>
      </c>
    </row>
    <row r="556" spans="1:3" x14ac:dyDescent="0.35">
      <c r="A556" s="1">
        <f>Data!A556</f>
        <v>34029</v>
      </c>
      <c r="B556" s="2">
        <f>IF(Data!B556="","",Data!B556*100/Parametrar!B4)</f>
        <v>58.4609233806977</v>
      </c>
      <c r="C556" s="2">
        <f>IF(Data!C556="","",Data!C556*100/Parametrar!B5)</f>
        <v>64.852205404350443</v>
      </c>
    </row>
    <row r="557" spans="1:3" x14ac:dyDescent="0.35">
      <c r="A557" s="1">
        <f>Data!A557</f>
        <v>34060</v>
      </c>
      <c r="B557" s="2">
        <f>IF(Data!B557="","",Data!B557*100/Parametrar!B4)</f>
        <v>58.664904271767824</v>
      </c>
      <c r="C557" s="2">
        <f>IF(Data!C557="","",Data!C557*100/Parametrar!B5)</f>
        <v>65.030105419175456</v>
      </c>
    </row>
    <row r="558" spans="1:3" x14ac:dyDescent="0.35">
      <c r="A558" s="1">
        <f>Data!A558</f>
        <v>34090</v>
      </c>
      <c r="B558" s="2">
        <f>IF(Data!B558="","",Data!B558*100/Parametrar!B4)</f>
        <v>58.828088984623911</v>
      </c>
      <c r="C558" s="2">
        <f>IF(Data!C558="","",Data!C558*100/Parametrar!B5)</f>
        <v>64.784005398667119</v>
      </c>
    </row>
    <row r="559" spans="1:3" x14ac:dyDescent="0.35">
      <c r="A559" s="1">
        <f>Data!A559</f>
        <v>34121</v>
      </c>
      <c r="B559" s="2">
        <f>IF(Data!B559="","",Data!B559*100/Parametrar!B4)</f>
        <v>58.868885162837948</v>
      </c>
      <c r="C559" s="2">
        <f>IF(Data!C559="","",Data!C559*100/Parametrar!B5)</f>
        <v>64.930105410842103</v>
      </c>
    </row>
    <row r="560" spans="1:3" x14ac:dyDescent="0.35">
      <c r="A560" s="1">
        <f>Data!A560</f>
        <v>34151</v>
      </c>
      <c r="B560" s="2">
        <f>IF(Data!B560="","",Data!B560*100/Parametrar!B4)</f>
        <v>58.950477519265995</v>
      </c>
      <c r="C560" s="2">
        <f>IF(Data!C560="","",Data!C560*100/Parametrar!B5)</f>
        <v>65.10520542543378</v>
      </c>
    </row>
    <row r="561" spans="1:3" x14ac:dyDescent="0.35">
      <c r="A561" s="1">
        <f>Data!A561</f>
        <v>34182</v>
      </c>
      <c r="B561" s="2">
        <f>IF(Data!B561="","",Data!B561*100/Parametrar!B4)</f>
        <v>59.072866053908072</v>
      </c>
      <c r="C561" s="2">
        <f>IF(Data!C561="","",Data!C561*100/Parametrar!B5)</f>
        <v>65.026705418892121</v>
      </c>
    </row>
    <row r="562" spans="1:3" x14ac:dyDescent="0.35">
      <c r="A562" s="1">
        <f>Data!A562</f>
        <v>34213</v>
      </c>
      <c r="B562" s="2">
        <f>IF(Data!B562="","",Data!B562*100/Parametrar!B4)</f>
        <v>59.154458410336119</v>
      </c>
      <c r="C562" s="2">
        <f>IF(Data!C562="","",Data!C562*100/Parametrar!B5)</f>
        <v>65.371705447642114</v>
      </c>
    </row>
    <row r="563" spans="1:3" x14ac:dyDescent="0.35">
      <c r="A563" s="1">
        <f>Data!A563</f>
        <v>34243</v>
      </c>
      <c r="B563" s="2">
        <f>IF(Data!B563="","",Data!B563*100/Parametrar!B4)</f>
        <v>59.399235479620266</v>
      </c>
      <c r="C563" s="2">
        <f>IF(Data!C563="","",Data!C563*100/Parametrar!B5)</f>
        <v>65.850905487575446</v>
      </c>
    </row>
    <row r="564" spans="1:3" x14ac:dyDescent="0.35">
      <c r="A564" s="1">
        <f>Data!A564</f>
        <v>34274</v>
      </c>
      <c r="B564" s="2">
        <f>IF(Data!B564="","",Data!B564*100/Parametrar!B4)</f>
        <v>59.562420192476367</v>
      </c>
      <c r="C564" s="2">
        <f>IF(Data!C564="","",Data!C564*100/Parametrar!B5)</f>
        <v>66.151805512650455</v>
      </c>
    </row>
    <row r="565" spans="1:3" x14ac:dyDescent="0.35">
      <c r="A565" s="1">
        <f>Data!A565</f>
        <v>34304</v>
      </c>
      <c r="B565" s="2">
        <f>IF(Data!B565="","",Data!B565*100/Parametrar!B4)</f>
        <v>59.684808727118451</v>
      </c>
      <c r="C565" s="2">
        <f>IF(Data!C565="","",Data!C565*100/Parametrar!B5)</f>
        <v>66.543605545300451</v>
      </c>
    </row>
    <row r="566" spans="1:3" x14ac:dyDescent="0.35">
      <c r="A566" s="1">
        <f>Data!A566</f>
        <v>34335</v>
      </c>
      <c r="B566" s="2">
        <f>IF(Data!B566="","",Data!B566*100/Parametrar!B4)</f>
        <v>59.684808727118451</v>
      </c>
      <c r="C566" s="2">
        <f>IF(Data!C566="","",Data!C566*100/Parametrar!B5)</f>
        <v>66.735105561258791</v>
      </c>
    </row>
    <row r="567" spans="1:3" x14ac:dyDescent="0.35">
      <c r="A567" s="1">
        <f>Data!A567</f>
        <v>34366</v>
      </c>
      <c r="B567" s="2">
        <f>IF(Data!B567="","",Data!B567*100/Parametrar!B4)</f>
        <v>59.84799343997453</v>
      </c>
      <c r="C567" s="2">
        <f>IF(Data!C567="","",Data!C567*100/Parametrar!B5)</f>
        <v>66.774005564500456</v>
      </c>
    </row>
    <row r="568" spans="1:3" x14ac:dyDescent="0.35">
      <c r="A568" s="1">
        <f>Data!A568</f>
        <v>34394</v>
      </c>
      <c r="B568" s="2">
        <f>IF(Data!B568="","",Data!B568*100/Parametrar!B4)</f>
        <v>60.011178152830638</v>
      </c>
      <c r="C568" s="2">
        <f>IF(Data!C568="","",Data!C568*100/Parametrar!B5)</f>
        <v>67.45520562126714</v>
      </c>
    </row>
    <row r="569" spans="1:3" x14ac:dyDescent="0.35">
      <c r="A569" s="1">
        <f>Data!A569</f>
        <v>34425</v>
      </c>
      <c r="B569" s="2">
        <f>IF(Data!B569="","",Data!B569*100/Parametrar!B4)</f>
        <v>60.051974331044661</v>
      </c>
      <c r="C569" s="2">
        <f>IF(Data!C569="","",Data!C569*100/Parametrar!B5)</f>
        <v>67.8541056545088</v>
      </c>
    </row>
    <row r="570" spans="1:3" x14ac:dyDescent="0.35">
      <c r="A570" s="1">
        <f>Data!A570</f>
        <v>34455</v>
      </c>
      <c r="B570" s="2">
        <f>IF(Data!B570="","",Data!B570*100/Parametrar!B4)</f>
        <v>60.174362865686739</v>
      </c>
      <c r="C570" s="2">
        <f>IF(Data!C570="","",Data!C570*100/Parametrar!B5)</f>
        <v>68.166305680525483</v>
      </c>
    </row>
    <row r="571" spans="1:3" x14ac:dyDescent="0.35">
      <c r="A571" s="1">
        <f>Data!A571</f>
        <v>34486</v>
      </c>
      <c r="B571" s="2">
        <f>IF(Data!B571="","",Data!B571*100/Parametrar!B4)</f>
        <v>60.337547578542839</v>
      </c>
      <c r="C571" s="2">
        <f>IF(Data!C571="","",Data!C571*100/Parametrar!B5)</f>
        <v>68.626505718875464</v>
      </c>
    </row>
    <row r="572" spans="1:3" x14ac:dyDescent="0.35">
      <c r="A572" s="1">
        <f>Data!A572</f>
        <v>34516</v>
      </c>
      <c r="B572" s="2">
        <f>IF(Data!B572="","",Data!B572*100/Parametrar!B4)</f>
        <v>60.541528469612963</v>
      </c>
      <c r="C572" s="2">
        <f>IF(Data!C572="","",Data!C572*100/Parametrar!B5)</f>
        <v>68.717805726483803</v>
      </c>
    </row>
    <row r="573" spans="1:3" x14ac:dyDescent="0.35">
      <c r="A573" s="1">
        <f>Data!A573</f>
        <v>34547</v>
      </c>
      <c r="B573" s="2">
        <f>IF(Data!B573="","",Data!B573*100/Parametrar!B4)</f>
        <v>60.786305538897111</v>
      </c>
      <c r="C573" s="2">
        <f>IF(Data!C573="","",Data!C573*100/Parametrar!B5)</f>
        <v>69.178505764875482</v>
      </c>
    </row>
    <row r="574" spans="1:3" x14ac:dyDescent="0.35">
      <c r="A574" s="1">
        <f>Data!A574</f>
        <v>34578</v>
      </c>
      <c r="B574" s="2">
        <f>IF(Data!B574="","",Data!B574*100/Parametrar!B4)</f>
        <v>60.908694073539195</v>
      </c>
      <c r="C574" s="2">
        <f>IF(Data!C574="","",Data!C574*100/Parametrar!B5)</f>
        <v>69.396105783008821</v>
      </c>
    </row>
    <row r="575" spans="1:3" x14ac:dyDescent="0.35">
      <c r="A575" s="1">
        <f>Data!A575</f>
        <v>34608</v>
      </c>
      <c r="B575" s="2">
        <f>IF(Data!B575="","",Data!B575*100/Parametrar!B4)</f>
        <v>60.949490251753211</v>
      </c>
      <c r="C575" s="2">
        <f>IF(Data!C575="","",Data!C575*100/Parametrar!B5)</f>
        <v>69.954405829533826</v>
      </c>
    </row>
    <row r="576" spans="1:3" x14ac:dyDescent="0.35">
      <c r="A576" s="1">
        <f>Data!A576</f>
        <v>34639</v>
      </c>
      <c r="B576" s="2">
        <f>IF(Data!B576="","",Data!B576*100/Parametrar!B4)</f>
        <v>61.112674964609319</v>
      </c>
      <c r="C576" s="2">
        <f>IF(Data!C576="","",Data!C576*100/Parametrar!B5)</f>
        <v>70.432605869383806</v>
      </c>
    </row>
    <row r="577" spans="1:3" x14ac:dyDescent="0.35">
      <c r="A577" s="1">
        <f>Data!A577</f>
        <v>34669</v>
      </c>
      <c r="B577" s="2">
        <f>IF(Data!B577="","",Data!B577*100/Parametrar!B4)</f>
        <v>61.235063499251389</v>
      </c>
      <c r="C577" s="2">
        <f>IF(Data!C577="","",Data!C577*100/Parametrar!B5)</f>
        <v>71.152305929358818</v>
      </c>
    </row>
    <row r="578" spans="1:3" x14ac:dyDescent="0.35">
      <c r="A578" s="1">
        <f>Data!A578</f>
        <v>34700</v>
      </c>
      <c r="B578" s="2">
        <f>IF(Data!B578="","",Data!B578*100/Parametrar!B4)</f>
        <v>61.39824821210749</v>
      </c>
      <c r="C578" s="2">
        <f>IF(Data!C578="","",Data!C578*100/Parametrar!B5)</f>
        <v>71.273405939450484</v>
      </c>
    </row>
    <row r="579" spans="1:3" x14ac:dyDescent="0.35">
      <c r="A579" s="1">
        <f>Data!A579</f>
        <v>34731</v>
      </c>
      <c r="B579" s="2">
        <f>IF(Data!B579="","",Data!B579*100/Parametrar!B4)</f>
        <v>61.56143292496359</v>
      </c>
      <c r="C579" s="2">
        <f>IF(Data!C579="","",Data!C579*100/Parametrar!B5)</f>
        <v>71.193005932750495</v>
      </c>
    </row>
    <row r="580" spans="1:3" x14ac:dyDescent="0.35">
      <c r="A580" s="1">
        <f>Data!A580</f>
        <v>34759</v>
      </c>
      <c r="B580" s="2">
        <f>IF(Data!B580="","",Data!B580*100/Parametrar!B4)</f>
        <v>61.683821459605653</v>
      </c>
      <c r="C580" s="2">
        <f>IF(Data!C580="","",Data!C580*100/Parametrar!B5)</f>
        <v>71.311305942608826</v>
      </c>
    </row>
    <row r="581" spans="1:3" x14ac:dyDescent="0.35">
      <c r="A581" s="1">
        <f>Data!A581</f>
        <v>34790</v>
      </c>
      <c r="B581" s="2">
        <f>IF(Data!B581="","",Data!B581*100/Parametrar!B4)</f>
        <v>61.928598528889822</v>
      </c>
      <c r="C581" s="2">
        <f>IF(Data!C581="","",Data!C581*100/Parametrar!B5)</f>
        <v>71.188205932350485</v>
      </c>
    </row>
    <row r="582" spans="1:3" x14ac:dyDescent="0.35">
      <c r="A582" s="1">
        <f>Data!A582</f>
        <v>34820</v>
      </c>
      <c r="B582" s="2">
        <f>IF(Data!B582="","",Data!B582*100/Parametrar!B4)</f>
        <v>62.050987063531885</v>
      </c>
      <c r="C582" s="2">
        <f>IF(Data!C582="","",Data!C582*100/Parametrar!B5)</f>
        <v>71.537805961483826</v>
      </c>
    </row>
    <row r="583" spans="1:3" x14ac:dyDescent="0.35">
      <c r="A583" s="1">
        <f>Data!A583</f>
        <v>34851</v>
      </c>
      <c r="B583" s="2">
        <f>IF(Data!B583="","",Data!B583*100/Parametrar!B4)</f>
        <v>62.173375598173962</v>
      </c>
      <c r="C583" s="2">
        <f>IF(Data!C583="","",Data!C583*100/Parametrar!B5)</f>
        <v>71.774905981242156</v>
      </c>
    </row>
    <row r="584" spans="1:3" x14ac:dyDescent="0.35">
      <c r="A584" s="1">
        <f>Data!A584</f>
        <v>34881</v>
      </c>
      <c r="B584" s="2">
        <f>IF(Data!B584="","",Data!B584*100/Parametrar!B4)</f>
        <v>62.254967954602009</v>
      </c>
      <c r="C584" s="2">
        <f>IF(Data!C584="","",Data!C584*100/Parametrar!B5)</f>
        <v>71.474805956233823</v>
      </c>
    </row>
    <row r="585" spans="1:3" x14ac:dyDescent="0.35">
      <c r="A585" s="1">
        <f>Data!A585</f>
        <v>34912</v>
      </c>
      <c r="B585" s="2">
        <f>IF(Data!B585="","",Data!B585*100/Parametrar!B4)</f>
        <v>62.377356489244086</v>
      </c>
      <c r="C585" s="2">
        <f>IF(Data!C585="","",Data!C585*100/Parametrar!B5)</f>
        <v>72.422306035192165</v>
      </c>
    </row>
    <row r="586" spans="1:3" x14ac:dyDescent="0.35">
      <c r="A586" s="1">
        <f>Data!A586</f>
        <v>34943</v>
      </c>
      <c r="B586" s="2">
        <f>IF(Data!B586="","",Data!B586*100/Parametrar!B4)</f>
        <v>62.458948845672133</v>
      </c>
      <c r="C586" s="2">
        <f>IF(Data!C586="","",Data!C586*100/Parametrar!B5)</f>
        <v>72.714406059533829</v>
      </c>
    </row>
    <row r="587" spans="1:3" x14ac:dyDescent="0.35">
      <c r="A587" s="1">
        <f>Data!A587</f>
        <v>34973</v>
      </c>
      <c r="B587" s="2">
        <f>IF(Data!B587="","",Data!B587*100/Parametrar!B4)</f>
        <v>62.622133558528233</v>
      </c>
      <c r="C587" s="2">
        <f>IF(Data!C587="","",Data!C587*100/Parametrar!B5)</f>
        <v>72.586606048883837</v>
      </c>
    </row>
    <row r="588" spans="1:3" x14ac:dyDescent="0.35">
      <c r="A588" s="1">
        <f>Data!A588</f>
        <v>35004</v>
      </c>
      <c r="B588" s="2">
        <f>IF(Data!B588="","",Data!B588*100/Parametrar!B4)</f>
        <v>62.70372591495628</v>
      </c>
      <c r="C588" s="2">
        <f>IF(Data!C588="","",Data!C588*100/Parametrar!B5)</f>
        <v>72.777906064825501</v>
      </c>
    </row>
    <row r="589" spans="1:3" x14ac:dyDescent="0.35">
      <c r="A589" s="1">
        <f>Data!A589</f>
        <v>35034</v>
      </c>
      <c r="B589" s="2">
        <f>IF(Data!B589="","",Data!B589*100/Parametrar!B4)</f>
        <v>62.785318271384334</v>
      </c>
      <c r="C589" s="2">
        <f>IF(Data!C589="","",Data!C589*100/Parametrar!B5)</f>
        <v>73.030506085875501</v>
      </c>
    </row>
    <row r="590" spans="1:3" x14ac:dyDescent="0.35">
      <c r="A590" s="1">
        <f>Data!A590</f>
        <v>35065</v>
      </c>
      <c r="B590" s="2">
        <f>IF(Data!B590="","",Data!B590*100/Parametrar!B4)</f>
        <v>63.111687697096528</v>
      </c>
      <c r="C590" s="2">
        <f>IF(Data!C590="","",Data!C590*100/Parametrar!B5)</f>
        <v>72.61250605104216</v>
      </c>
    </row>
    <row r="591" spans="1:3" x14ac:dyDescent="0.35">
      <c r="A591" s="1">
        <f>Data!A591</f>
        <v>35096</v>
      </c>
      <c r="B591" s="2">
        <f>IF(Data!B591="","",Data!B591*100/Parametrar!B4)</f>
        <v>63.234076231738605</v>
      </c>
      <c r="C591" s="2">
        <f>IF(Data!C591="","",Data!C591*100/Parametrar!B5)</f>
        <v>73.675206139600505</v>
      </c>
    </row>
    <row r="592" spans="1:3" x14ac:dyDescent="0.35">
      <c r="A592" s="1">
        <f>Data!A592</f>
        <v>35125</v>
      </c>
      <c r="B592" s="2">
        <f>IF(Data!B592="","",Data!B592*100/Parametrar!B4)</f>
        <v>63.438057122808736</v>
      </c>
      <c r="C592" s="2">
        <f>IF(Data!C592="","",Data!C592*100/Parametrar!B5)</f>
        <v>73.585006132083834</v>
      </c>
    </row>
    <row r="593" spans="1:3" x14ac:dyDescent="0.35">
      <c r="A593" s="1">
        <f>Data!A593</f>
        <v>35156</v>
      </c>
      <c r="B593" s="2">
        <f>IF(Data!B593="","",Data!B593*100/Parametrar!B4)</f>
        <v>63.682834192092884</v>
      </c>
      <c r="C593" s="2">
        <f>IF(Data!C593="","",Data!C593*100/Parametrar!B5)</f>
        <v>74.317206193100517</v>
      </c>
    </row>
    <row r="594" spans="1:3" x14ac:dyDescent="0.35">
      <c r="A594" s="1">
        <f>Data!A594</f>
        <v>35186</v>
      </c>
      <c r="B594" s="2">
        <f>IF(Data!B594="","",Data!B594*100/Parametrar!B4)</f>
        <v>63.805222726734954</v>
      </c>
      <c r="C594" s="2">
        <f>IF(Data!C594="","",Data!C594*100/Parametrar!B5)</f>
        <v>74.872606239383856</v>
      </c>
    </row>
    <row r="595" spans="1:3" x14ac:dyDescent="0.35">
      <c r="A595" s="1">
        <f>Data!A595</f>
        <v>35217</v>
      </c>
      <c r="B595" s="2">
        <f>IF(Data!B595="","",Data!B595*100/Parametrar!B4)</f>
        <v>63.927611261377024</v>
      </c>
      <c r="C595" s="2">
        <f>IF(Data!C595="","",Data!C595*100/Parametrar!B5)</f>
        <v>75.443306286942175</v>
      </c>
    </row>
    <row r="596" spans="1:3" x14ac:dyDescent="0.35">
      <c r="A596" s="1">
        <f>Data!A596</f>
        <v>35247</v>
      </c>
      <c r="B596" s="2">
        <f>IF(Data!B596="","",Data!B596*100/Parametrar!B4)</f>
        <v>64.049999796019108</v>
      </c>
      <c r="C596" s="2">
        <f>IF(Data!C596="","",Data!C596*100/Parametrar!B5)</f>
        <v>75.454906287908855</v>
      </c>
    </row>
    <row r="597" spans="1:3" x14ac:dyDescent="0.35">
      <c r="A597" s="1">
        <f>Data!A597</f>
        <v>35278</v>
      </c>
      <c r="B597" s="2">
        <f>IF(Data!B597="","",Data!B597*100/Parametrar!B4)</f>
        <v>64.131592152447155</v>
      </c>
      <c r="C597" s="2">
        <f>IF(Data!C597="","",Data!C597*100/Parametrar!B5)</f>
        <v>75.84110632009218</v>
      </c>
    </row>
    <row r="598" spans="1:3" x14ac:dyDescent="0.35">
      <c r="A598" s="1">
        <f>Data!A598</f>
        <v>35309</v>
      </c>
      <c r="B598" s="2">
        <f>IF(Data!B598="","",Data!B598*100/Parametrar!B4)</f>
        <v>64.335573043517272</v>
      </c>
      <c r="C598" s="2">
        <f>IF(Data!C598="","",Data!C598*100/Parametrar!B5)</f>
        <v>76.315806359650523</v>
      </c>
    </row>
    <row r="599" spans="1:3" x14ac:dyDescent="0.35">
      <c r="A599" s="1">
        <f>Data!A599</f>
        <v>35339</v>
      </c>
      <c r="B599" s="2">
        <f>IF(Data!B599="","",Data!B599*100/Parametrar!B4)</f>
        <v>64.539553934587403</v>
      </c>
      <c r="C599" s="2">
        <f>IF(Data!C599="","",Data!C599*100/Parametrar!B5)</f>
        <v>76.338406361533856</v>
      </c>
    </row>
    <row r="600" spans="1:3" x14ac:dyDescent="0.35">
      <c r="A600" s="1">
        <f>Data!A600</f>
        <v>35370</v>
      </c>
      <c r="B600" s="2">
        <f>IF(Data!B600="","",Data!B600*100/Parametrar!B4)</f>
        <v>64.74353482565752</v>
      </c>
      <c r="C600" s="2">
        <f>IF(Data!C600="","",Data!C600*100/Parametrar!B5)</f>
        <v>77.039706419975516</v>
      </c>
    </row>
    <row r="601" spans="1:3" x14ac:dyDescent="0.35">
      <c r="A601" s="1">
        <f>Data!A601</f>
        <v>35400</v>
      </c>
      <c r="B601" s="2">
        <f>IF(Data!B601="","",Data!B601*100/Parametrar!B4)</f>
        <v>64.906719538513627</v>
      </c>
      <c r="C601" s="2">
        <f>IF(Data!C601="","",Data!C601*100/Parametrar!B5)</f>
        <v>77.533306461108864</v>
      </c>
    </row>
    <row r="602" spans="1:3" x14ac:dyDescent="0.35">
      <c r="A602" s="1">
        <f>Data!A602</f>
        <v>35431</v>
      </c>
      <c r="B602" s="2">
        <f>IF(Data!B602="","",Data!B602*100/Parametrar!B4)</f>
        <v>65.029108073155697</v>
      </c>
      <c r="C602" s="2">
        <f>IF(Data!C602="","",Data!C602*100/Parametrar!B5)</f>
        <v>77.656206471350529</v>
      </c>
    </row>
    <row r="603" spans="1:3" x14ac:dyDescent="0.35">
      <c r="A603" s="1">
        <f>Data!A603</f>
        <v>35462</v>
      </c>
      <c r="B603" s="2">
        <f>IF(Data!B603="","",Data!B603*100/Parametrar!B4)</f>
        <v>65.151496607797768</v>
      </c>
      <c r="C603" s="2">
        <f>IF(Data!C603="","",Data!C603*100/Parametrar!B5)</f>
        <v>78.58330654860886</v>
      </c>
    </row>
    <row r="604" spans="1:3" x14ac:dyDescent="0.35">
      <c r="A604" s="1">
        <f>Data!A604</f>
        <v>35490</v>
      </c>
      <c r="B604" s="2">
        <f>IF(Data!B604="","",Data!B604*100/Parametrar!B4)</f>
        <v>65.192292786011805</v>
      </c>
      <c r="C604" s="2">
        <f>IF(Data!C604="","",Data!C604*100/Parametrar!B5)</f>
        <v>79.082006590167197</v>
      </c>
    </row>
    <row r="605" spans="1:3" x14ac:dyDescent="0.35">
      <c r="A605" s="1">
        <f>Data!A605</f>
        <v>35521</v>
      </c>
      <c r="B605" s="2">
        <f>IF(Data!B605="","",Data!B605*100/Parametrar!B4)</f>
        <v>65.233088964225828</v>
      </c>
      <c r="C605" s="2">
        <f>IF(Data!C605="","",Data!C605*100/Parametrar!B5)</f>
        <v>79.174706597892211</v>
      </c>
    </row>
    <row r="606" spans="1:3" x14ac:dyDescent="0.35">
      <c r="A606" s="1">
        <f>Data!A606</f>
        <v>35551</v>
      </c>
      <c r="B606" s="2">
        <f>IF(Data!B606="","",Data!B606*100/Parametrar!B4)</f>
        <v>65.233088964225828</v>
      </c>
      <c r="C606" s="2">
        <f>IF(Data!C606="","",Data!C606*100/Parametrar!B5)</f>
        <v>79.61330663444221</v>
      </c>
    </row>
    <row r="607" spans="1:3" x14ac:dyDescent="0.35">
      <c r="A607" s="1">
        <f>Data!A607</f>
        <v>35582</v>
      </c>
      <c r="B607" s="2">
        <f>IF(Data!B607="","",Data!B607*100/Parametrar!B4)</f>
        <v>65.355477498867899</v>
      </c>
      <c r="C607" s="2">
        <f>IF(Data!C607="","",Data!C607*100/Parametrar!B5)</f>
        <v>79.979206664933898</v>
      </c>
    </row>
    <row r="608" spans="1:3" x14ac:dyDescent="0.35">
      <c r="A608" s="1">
        <f>Data!A608</f>
        <v>35612</v>
      </c>
      <c r="B608" s="2">
        <f>IF(Data!B608="","",Data!B608*100/Parametrar!B4)</f>
        <v>65.43706985529596</v>
      </c>
      <c r="C608" s="2">
        <f>IF(Data!C608="","",Data!C608*100/Parametrar!B5)</f>
        <v>80.662406721867228</v>
      </c>
    </row>
    <row r="609" spans="1:3" x14ac:dyDescent="0.35">
      <c r="A609" s="1">
        <f>Data!A609</f>
        <v>35643</v>
      </c>
      <c r="B609" s="2">
        <f>IF(Data!B609="","",Data!B609*100/Parametrar!B4)</f>
        <v>65.600254568152067</v>
      </c>
      <c r="C609" s="2">
        <f>IF(Data!C609="","",Data!C609*100/Parametrar!B5)</f>
        <v>81.46940678911723</v>
      </c>
    </row>
    <row r="610" spans="1:3" x14ac:dyDescent="0.35">
      <c r="A610" s="1">
        <f>Data!A610</f>
        <v>35674</v>
      </c>
      <c r="B610" s="2">
        <f>IF(Data!B610="","",Data!B610*100/Parametrar!B4)</f>
        <v>65.763439281008147</v>
      </c>
      <c r="C610" s="2">
        <f>IF(Data!C610="","",Data!C610*100/Parametrar!B5)</f>
        <v>82.215606851300564</v>
      </c>
    </row>
    <row r="611" spans="1:3" x14ac:dyDescent="0.35">
      <c r="A611" s="1">
        <f>Data!A611</f>
        <v>35704</v>
      </c>
      <c r="B611" s="2">
        <f>IF(Data!B611="","",Data!B611*100/Parametrar!B4)</f>
        <v>65.885827815650231</v>
      </c>
      <c r="C611" s="2">
        <f>IF(Data!C611="","",Data!C611*100/Parametrar!B5)</f>
        <v>82.94460691205056</v>
      </c>
    </row>
    <row r="612" spans="1:3" x14ac:dyDescent="0.35">
      <c r="A612" s="1">
        <f>Data!A612</f>
        <v>35735</v>
      </c>
      <c r="B612" s="2">
        <f>IF(Data!B612="","",Data!B612*100/Parametrar!B4)</f>
        <v>65.967420172078263</v>
      </c>
      <c r="C612" s="2">
        <f>IF(Data!C612="","",Data!C612*100/Parametrar!B5)</f>
        <v>83.597806966483915</v>
      </c>
    </row>
    <row r="613" spans="1:3" x14ac:dyDescent="0.35">
      <c r="A613" s="1">
        <f>Data!A613</f>
        <v>35765</v>
      </c>
      <c r="B613" s="2">
        <f>IF(Data!B613="","",Data!B613*100/Parametrar!B4)</f>
        <v>66.008216350292315</v>
      </c>
      <c r="C613" s="2">
        <f>IF(Data!C613="","",Data!C613*100/Parametrar!B5)</f>
        <v>83.95380699615059</v>
      </c>
    </row>
    <row r="614" spans="1:3" x14ac:dyDescent="0.35">
      <c r="A614" s="1">
        <f>Data!A614</f>
        <v>35796</v>
      </c>
      <c r="B614" s="2">
        <f>IF(Data!B614="","",Data!B614*100/Parametrar!B4)</f>
        <v>66.089808706720348</v>
      </c>
      <c r="C614" s="2">
        <f>IF(Data!C614="","",Data!C614*100/Parametrar!B5)</f>
        <v>84.321807026817254</v>
      </c>
    </row>
    <row r="615" spans="1:3" x14ac:dyDescent="0.35">
      <c r="A615" s="1">
        <f>Data!A615</f>
        <v>35827</v>
      </c>
      <c r="B615" s="2">
        <f>IF(Data!B615="","",Data!B615*100/Parametrar!B4)</f>
        <v>66.089808706720348</v>
      </c>
      <c r="C615" s="2">
        <f>IF(Data!C615="","",Data!C615*100/Parametrar!B5)</f>
        <v>84.458307038192245</v>
      </c>
    </row>
    <row r="616" spans="1:3" x14ac:dyDescent="0.35">
      <c r="A616" s="1">
        <f>Data!A616</f>
        <v>35855</v>
      </c>
      <c r="B616" s="2">
        <f>IF(Data!B616="","",Data!B616*100/Parametrar!B4)</f>
        <v>66.089808706720348</v>
      </c>
      <c r="C616" s="2">
        <f>IF(Data!C616="","",Data!C616*100/Parametrar!B5)</f>
        <v>84.488007040667242</v>
      </c>
    </row>
    <row r="617" spans="1:3" x14ac:dyDescent="0.35">
      <c r="A617" s="1">
        <f>Data!A617</f>
        <v>35886</v>
      </c>
      <c r="B617" s="2">
        <f>IF(Data!B617="","",Data!B617*100/Parametrar!B4)</f>
        <v>66.171401063148394</v>
      </c>
      <c r="C617" s="2">
        <f>IF(Data!C617="","",Data!C617*100/Parametrar!B5)</f>
        <v>84.777907064825598</v>
      </c>
    </row>
    <row r="618" spans="1:3" x14ac:dyDescent="0.35">
      <c r="A618" s="1">
        <f>Data!A618</f>
        <v>35916</v>
      </c>
      <c r="B618" s="2">
        <f>IF(Data!B618="","",Data!B618*100/Parametrar!B4)</f>
        <v>66.334585776004502</v>
      </c>
      <c r="C618" s="2">
        <f>IF(Data!C618="","",Data!C618*100/Parametrar!B5)</f>
        <v>85.336707111392258</v>
      </c>
    </row>
    <row r="619" spans="1:3" x14ac:dyDescent="0.35">
      <c r="A619" s="1">
        <f>Data!A619</f>
        <v>35947</v>
      </c>
      <c r="B619" s="2">
        <f>IF(Data!B619="","",Data!B619*100/Parametrar!B4)</f>
        <v>66.416178132432563</v>
      </c>
      <c r="C619" s="2">
        <f>IF(Data!C619="","",Data!C619*100/Parametrar!B5)</f>
        <v>84.824807068733918</v>
      </c>
    </row>
    <row r="620" spans="1:3" x14ac:dyDescent="0.35">
      <c r="A620" s="1">
        <f>Data!A620</f>
        <v>35977</v>
      </c>
      <c r="B620" s="2">
        <f>IF(Data!B620="","",Data!B620*100/Parametrar!B4)</f>
        <v>66.579362845288642</v>
      </c>
      <c r="C620" s="2">
        <f>IF(Data!C620="","",Data!C620*100/Parametrar!B5)</f>
        <v>84.498607041550571</v>
      </c>
    </row>
    <row r="621" spans="1:3" x14ac:dyDescent="0.35">
      <c r="A621" s="1">
        <f>Data!A621</f>
        <v>36008</v>
      </c>
      <c r="B621" s="2">
        <f>IF(Data!B621="","",Data!B621*100/Parametrar!B4)</f>
        <v>66.660955201716703</v>
      </c>
      <c r="C621" s="2">
        <f>IF(Data!C621="","",Data!C621*100/Parametrar!B5)</f>
        <v>86.24800718733394</v>
      </c>
    </row>
    <row r="622" spans="1:3" x14ac:dyDescent="0.35">
      <c r="A622" s="1">
        <f>Data!A622</f>
        <v>36039</v>
      </c>
      <c r="B622" s="2">
        <f>IF(Data!B622="","",Data!B622*100/Parametrar!B4)</f>
        <v>66.701751379930727</v>
      </c>
      <c r="C622" s="2">
        <f>IF(Data!C622="","",Data!C622*100/Parametrar!B5)</f>
        <v>86.202107183508929</v>
      </c>
    </row>
    <row r="623" spans="1:3" x14ac:dyDescent="0.35">
      <c r="A623" s="1">
        <f>Data!A623</f>
        <v>36069</v>
      </c>
      <c r="B623" s="2">
        <f>IF(Data!B623="","",Data!B623*100/Parametrar!B4)</f>
        <v>66.86493609278682</v>
      </c>
      <c r="C623" s="2">
        <f>IF(Data!C623="","",Data!C623*100/Parametrar!B5)</f>
        <v>86.79140723261726</v>
      </c>
    </row>
    <row r="624" spans="1:3" x14ac:dyDescent="0.35">
      <c r="A624" s="1">
        <f>Data!A624</f>
        <v>36100</v>
      </c>
      <c r="B624" s="2">
        <f>IF(Data!B624="","",Data!B624*100/Parametrar!B4)</f>
        <v>66.946528449214881</v>
      </c>
      <c r="C624" s="2">
        <f>IF(Data!C624="","",Data!C624*100/Parametrar!B5)</f>
        <v>86.725607227133921</v>
      </c>
    </row>
    <row r="625" spans="1:3" x14ac:dyDescent="0.35">
      <c r="A625" s="1">
        <f>Data!A625</f>
        <v>36130</v>
      </c>
      <c r="B625" s="2">
        <f>IF(Data!B625="","",Data!B625*100/Parametrar!B4)</f>
        <v>67.068916983856951</v>
      </c>
      <c r="C625" s="2">
        <f>IF(Data!C625="","",Data!C625*100/Parametrar!B5)</f>
        <v>87.118507259875599</v>
      </c>
    </row>
    <row r="626" spans="1:3" x14ac:dyDescent="0.35">
      <c r="A626" s="1">
        <f>Data!A626</f>
        <v>36161</v>
      </c>
      <c r="B626" s="2">
        <f>IF(Data!B626="","",Data!B626*100/Parametrar!B4)</f>
        <v>67.191305518499021</v>
      </c>
      <c r="C626" s="2">
        <f>IF(Data!C626="","",Data!C626*100/Parametrar!B5)</f>
        <v>87.494907291242271</v>
      </c>
    </row>
    <row r="627" spans="1:3" x14ac:dyDescent="0.35">
      <c r="A627" s="1">
        <f>Data!A627</f>
        <v>36192</v>
      </c>
      <c r="B627" s="2">
        <f>IF(Data!B627="","",Data!B627*100/Parametrar!B4)</f>
        <v>67.191305518499021</v>
      </c>
      <c r="C627" s="2">
        <f>IF(Data!C627="","",Data!C627*100/Parametrar!B5)</f>
        <v>88.027007335583946</v>
      </c>
    </row>
    <row r="628" spans="1:3" x14ac:dyDescent="0.35">
      <c r="A628" s="1">
        <f>Data!A628</f>
        <v>36220</v>
      </c>
      <c r="B628" s="2">
        <f>IF(Data!B628="","",Data!B628*100/Parametrar!B4)</f>
        <v>67.232101696713045</v>
      </c>
      <c r="C628" s="2">
        <f>IF(Data!C628="","",Data!C628*100/Parametrar!B5)</f>
        <v>88.226707352225603</v>
      </c>
    </row>
    <row r="629" spans="1:3" x14ac:dyDescent="0.35">
      <c r="A629" s="1">
        <f>Data!A629</f>
        <v>36251</v>
      </c>
      <c r="B629" s="2">
        <f>IF(Data!B629="","",Data!B629*100/Parametrar!B4)</f>
        <v>67.68085965706733</v>
      </c>
      <c r="C629" s="2">
        <f>IF(Data!C629="","",Data!C629*100/Parametrar!B5)</f>
        <v>88.429507369125616</v>
      </c>
    </row>
    <row r="630" spans="1:3" x14ac:dyDescent="0.35">
      <c r="A630" s="1">
        <f>Data!A630</f>
        <v>36281</v>
      </c>
      <c r="B630" s="2">
        <f>IF(Data!B630="","",Data!B630*100/Parametrar!B4)</f>
        <v>67.721655835281354</v>
      </c>
      <c r="C630" s="2">
        <f>IF(Data!C630="","",Data!C630*100/Parametrar!B5)</f>
        <v>88.988607415717283</v>
      </c>
    </row>
    <row r="631" spans="1:3" x14ac:dyDescent="0.35">
      <c r="A631" s="1">
        <f>Data!A631</f>
        <v>36312</v>
      </c>
      <c r="B631" s="2">
        <f>IF(Data!B631="","",Data!B631*100/Parametrar!B4)</f>
        <v>67.721655835281354</v>
      </c>
      <c r="C631" s="2">
        <f>IF(Data!C631="","",Data!C631*100/Parametrar!B5)</f>
        <v>88.918807409900623</v>
      </c>
    </row>
    <row r="632" spans="1:3" x14ac:dyDescent="0.35">
      <c r="A632" s="1">
        <f>Data!A632</f>
        <v>36342</v>
      </c>
      <c r="B632" s="2">
        <f>IF(Data!B632="","",Data!B632*100/Parametrar!B4)</f>
        <v>68.007229082779517</v>
      </c>
      <c r="C632" s="2">
        <f>IF(Data!C632="","",Data!C632*100/Parametrar!B5)</f>
        <v>89.433307452775608</v>
      </c>
    </row>
    <row r="633" spans="1:3" x14ac:dyDescent="0.35">
      <c r="A633" s="1">
        <f>Data!A633</f>
        <v>36373</v>
      </c>
      <c r="B633" s="2">
        <f>IF(Data!B633="","",Data!B633*100/Parametrar!B4)</f>
        <v>68.170413795635625</v>
      </c>
      <c r="C633" s="2">
        <f>IF(Data!C633="","",Data!C633*100/Parametrar!B5)</f>
        <v>89.792407482700611</v>
      </c>
    </row>
    <row r="634" spans="1:3" x14ac:dyDescent="0.35">
      <c r="A634" s="1">
        <f>Data!A634</f>
        <v>36404</v>
      </c>
      <c r="B634" s="2">
        <f>IF(Data!B634="","",Data!B634*100/Parametrar!B4)</f>
        <v>68.455987043133803</v>
      </c>
      <c r="C634" s="2">
        <f>IF(Data!C634="","",Data!C634*100/Parametrar!B5)</f>
        <v>89.429907452492273</v>
      </c>
    </row>
    <row r="635" spans="1:3" x14ac:dyDescent="0.35">
      <c r="A635" s="1">
        <f>Data!A635</f>
        <v>36434</v>
      </c>
      <c r="B635" s="2">
        <f>IF(Data!B635="","",Data!B635*100/Parametrar!B4)</f>
        <v>68.578375577775873</v>
      </c>
      <c r="C635" s="2">
        <f>IF(Data!C635="","",Data!C635*100/Parametrar!B5)</f>
        <v>90.523007543583944</v>
      </c>
    </row>
    <row r="636" spans="1:3" x14ac:dyDescent="0.35">
      <c r="A636" s="1">
        <f>Data!A636</f>
        <v>36465</v>
      </c>
      <c r="B636" s="2">
        <f>IF(Data!B636="","",Data!B636*100/Parametrar!B4)</f>
        <v>68.700764112417943</v>
      </c>
      <c r="C636" s="2">
        <f>IF(Data!C636="","",Data!C636*100/Parametrar!B5)</f>
        <v>90.961807580150634</v>
      </c>
    </row>
    <row r="637" spans="1:3" x14ac:dyDescent="0.35">
      <c r="A637" s="1">
        <f>Data!A637</f>
        <v>36495</v>
      </c>
      <c r="B637" s="2">
        <f>IF(Data!B637="","",Data!B637*100/Parametrar!B4)</f>
        <v>68.863948825274051</v>
      </c>
      <c r="C637" s="2">
        <f>IF(Data!C637="","",Data!C637*100/Parametrar!B5)</f>
        <v>91.663407638617301</v>
      </c>
    </row>
    <row r="638" spans="1:3" x14ac:dyDescent="0.35">
      <c r="A638" s="1">
        <f>Data!A638</f>
        <v>36526</v>
      </c>
      <c r="B638" s="2">
        <f>IF(Data!B638="","",Data!B638*100/Parametrar!B4)</f>
        <v>69.067929716344167</v>
      </c>
      <c r="C638" s="2">
        <f>IF(Data!C638="","",Data!C638*100/Parametrar!B5)</f>
        <v>91.538007628167293</v>
      </c>
    </row>
    <row r="639" spans="1:3" x14ac:dyDescent="0.35">
      <c r="A639" s="1">
        <f>Data!A639</f>
        <v>36557</v>
      </c>
      <c r="B639" s="2">
        <f>IF(Data!B639="","",Data!B639*100/Parametrar!B4)</f>
        <v>69.353502963842345</v>
      </c>
      <c r="C639" s="2">
        <f>IF(Data!C639="","",Data!C639*100/Parametrar!B5)</f>
        <v>91.823907651992286</v>
      </c>
    </row>
    <row r="640" spans="1:3" x14ac:dyDescent="0.35">
      <c r="A640" s="1">
        <f>Data!A640</f>
        <v>36586</v>
      </c>
      <c r="B640" s="2">
        <f>IF(Data!B640="","",Data!B640*100/Parametrar!B4)</f>
        <v>69.761464745982593</v>
      </c>
      <c r="C640" s="2">
        <f>IF(Data!C640="","",Data!C640*100/Parametrar!B5)</f>
        <v>92.15040767920064</v>
      </c>
    </row>
    <row r="641" spans="1:3" x14ac:dyDescent="0.35">
      <c r="A641" s="1">
        <f>Data!A641</f>
        <v>36617</v>
      </c>
      <c r="B641" s="2">
        <f>IF(Data!B641="","",Data!B641*100/Parametrar!B4)</f>
        <v>69.72066856776857</v>
      </c>
      <c r="C641" s="2">
        <f>IF(Data!C641="","",Data!C641*100/Parametrar!B5)</f>
        <v>92.698907724908963</v>
      </c>
    </row>
    <row r="642" spans="1:3" x14ac:dyDescent="0.35">
      <c r="A642" s="1">
        <f>Data!A642</f>
        <v>36647</v>
      </c>
      <c r="B642" s="2">
        <f>IF(Data!B642="","",Data!B642*100/Parametrar!B4)</f>
        <v>69.84305710241064</v>
      </c>
      <c r="C642" s="2">
        <f>IF(Data!C642="","",Data!C642*100/Parametrar!B5)</f>
        <v>92.949907745825641</v>
      </c>
    </row>
    <row r="643" spans="1:3" x14ac:dyDescent="0.35">
      <c r="A643" s="1">
        <f>Data!A643</f>
        <v>36678</v>
      </c>
      <c r="B643" s="2">
        <f>IF(Data!B643="","",Data!B643*100/Parametrar!B4)</f>
        <v>70.251018884550888</v>
      </c>
      <c r="C643" s="2">
        <f>IF(Data!C643="","",Data!C643*100/Parametrar!B5)</f>
        <v>92.986207748850632</v>
      </c>
    </row>
    <row r="644" spans="1:3" x14ac:dyDescent="0.35">
      <c r="A644" s="1">
        <f>Data!A644</f>
        <v>36708</v>
      </c>
      <c r="B644" s="2">
        <f>IF(Data!B644="","",Data!B644*100/Parametrar!B4)</f>
        <v>70.454999775621019</v>
      </c>
      <c r="C644" s="2">
        <f>IF(Data!C644="","",Data!C644*100/Parametrar!B5)</f>
        <v>92.804807733733966</v>
      </c>
    </row>
    <row r="645" spans="1:3" x14ac:dyDescent="0.35">
      <c r="A645" s="1">
        <f>Data!A645</f>
        <v>36739</v>
      </c>
      <c r="B645" s="2">
        <f>IF(Data!B645="","",Data!B645*100/Parametrar!B4)</f>
        <v>70.454999775621019</v>
      </c>
      <c r="C645" s="2">
        <f>IF(Data!C645="","",Data!C645*100/Parametrar!B5)</f>
        <v>92.552107712675621</v>
      </c>
    </row>
    <row r="646" spans="1:3" x14ac:dyDescent="0.35">
      <c r="A646" s="1">
        <f>Data!A646</f>
        <v>36770</v>
      </c>
      <c r="B646" s="2">
        <f>IF(Data!B646="","",Data!B646*100/Parametrar!B4)</f>
        <v>70.822165379547243</v>
      </c>
      <c r="C646" s="2">
        <f>IF(Data!C646="","",Data!C646*100/Parametrar!B5)</f>
        <v>92.979207748267314</v>
      </c>
    </row>
    <row r="647" spans="1:3" x14ac:dyDescent="0.35">
      <c r="A647" s="1">
        <f>Data!A647</f>
        <v>36800</v>
      </c>
      <c r="B647" s="2">
        <f>IF(Data!B647="","",Data!B647*100/Parametrar!B4)</f>
        <v>70.944553914189314</v>
      </c>
      <c r="C647" s="2">
        <f>IF(Data!C647="","",Data!C647*100/Parametrar!B5)</f>
        <v>92.617907718158975</v>
      </c>
    </row>
    <row r="648" spans="1:3" x14ac:dyDescent="0.35">
      <c r="A648" s="1">
        <f>Data!A648</f>
        <v>36831</v>
      </c>
      <c r="B648" s="2">
        <f>IF(Data!B648="","",Data!B648*100/Parametrar!B4)</f>
        <v>71.066942448831384</v>
      </c>
      <c r="C648" s="2">
        <f>IF(Data!C648="","",Data!C648*100/Parametrar!B5)</f>
        <v>92.643807720317298</v>
      </c>
    </row>
    <row r="649" spans="1:3" x14ac:dyDescent="0.35">
      <c r="A649" s="1">
        <f>Data!A649</f>
        <v>36861</v>
      </c>
      <c r="B649" s="2">
        <f>IF(Data!B649="","",Data!B649*100/Parametrar!B4)</f>
        <v>71.230127161687491</v>
      </c>
      <c r="C649" s="2">
        <f>IF(Data!C649="","",Data!C649*100/Parametrar!B5)</f>
        <v>92.341507695125628</v>
      </c>
    </row>
    <row r="650" spans="1:3" x14ac:dyDescent="0.35">
      <c r="A650" s="1">
        <f>Data!A650</f>
        <v>36892</v>
      </c>
      <c r="B650" s="2">
        <f>IF(Data!B650="","",Data!B650*100/Parametrar!B4)</f>
        <v>71.638088943827739</v>
      </c>
      <c r="C650" s="2">
        <f>IF(Data!C650="","",Data!C650*100/Parametrar!B5)</f>
        <v>91.902007658500636</v>
      </c>
    </row>
    <row r="651" spans="1:3" x14ac:dyDescent="0.35">
      <c r="A651" s="1">
        <f>Data!A651</f>
        <v>36923</v>
      </c>
      <c r="B651" s="2">
        <f>IF(Data!B651="","",Data!B651*100/Parametrar!B4)</f>
        <v>71.801273656683833</v>
      </c>
      <c r="C651" s="2">
        <f>IF(Data!C651="","",Data!C651*100/Parametrar!B5)</f>
        <v>91.303407608617292</v>
      </c>
    </row>
    <row r="652" spans="1:3" x14ac:dyDescent="0.35">
      <c r="A652" s="1">
        <f>Data!A652</f>
        <v>36951</v>
      </c>
      <c r="B652" s="2">
        <f>IF(Data!B652="","",Data!B652*100/Parametrar!B4)</f>
        <v>71.84206983489787</v>
      </c>
      <c r="C652" s="2">
        <f>IF(Data!C652="","",Data!C652*100/Parametrar!B5)</f>
        <v>91.116207593017307</v>
      </c>
    </row>
    <row r="653" spans="1:3" x14ac:dyDescent="0.35">
      <c r="A653" s="1">
        <f>Data!A653</f>
        <v>36982</v>
      </c>
      <c r="B653" s="2">
        <f>IF(Data!B653="","",Data!B653*100/Parametrar!B4)</f>
        <v>71.96445836953994</v>
      </c>
      <c r="C653" s="2">
        <f>IF(Data!C653="","",Data!C653*100/Parametrar!B5)</f>
        <v>90.789107565758954</v>
      </c>
    </row>
    <row r="654" spans="1:3" x14ac:dyDescent="0.35">
      <c r="A654" s="1">
        <f>Data!A654</f>
        <v>37012</v>
      </c>
      <c r="B654" s="2">
        <f>IF(Data!B654="","",Data!B654*100/Parametrar!B4)</f>
        <v>72.331623973466165</v>
      </c>
      <c r="C654" s="2">
        <f>IF(Data!C654="","",Data!C654*100/Parametrar!B5)</f>
        <v>90.355507529625626</v>
      </c>
    </row>
    <row r="655" spans="1:3" x14ac:dyDescent="0.35">
      <c r="A655" s="1">
        <f>Data!A655</f>
        <v>37043</v>
      </c>
      <c r="B655" s="2">
        <f>IF(Data!B655="","",Data!B655*100/Parametrar!B4)</f>
        <v>72.494808686322258</v>
      </c>
      <c r="C655" s="2">
        <f>IF(Data!C655="","",Data!C655*100/Parametrar!B5)</f>
        <v>89.878407489867286</v>
      </c>
    </row>
    <row r="656" spans="1:3" x14ac:dyDescent="0.35">
      <c r="A656" s="1">
        <f>Data!A656</f>
        <v>37073</v>
      </c>
      <c r="B656" s="2">
        <f>IF(Data!B656="","",Data!B656*100/Parametrar!B4)</f>
        <v>72.372420151680188</v>
      </c>
      <c r="C656" s="2">
        <f>IF(Data!C656="","",Data!C656*100/Parametrar!B5)</f>
        <v>89.302807441900626</v>
      </c>
    </row>
    <row r="657" spans="1:3" x14ac:dyDescent="0.35">
      <c r="A657" s="1">
        <f>Data!A657</f>
        <v>37104</v>
      </c>
      <c r="B657" s="2">
        <f>IF(Data!B657="","",Data!B657*100/Parametrar!B4)</f>
        <v>72.372420151680188</v>
      </c>
      <c r="C657" s="2">
        <f>IF(Data!C657="","",Data!C657*100/Parametrar!B5)</f>
        <v>89.200307433358958</v>
      </c>
    </row>
    <row r="658" spans="1:3" x14ac:dyDescent="0.35">
      <c r="A658" s="1">
        <f>Data!A658</f>
        <v>37135</v>
      </c>
      <c r="B658" s="2">
        <f>IF(Data!B658="","",Data!B658*100/Parametrar!B4)</f>
        <v>72.657993399178366</v>
      </c>
      <c r="C658" s="2">
        <f>IF(Data!C658="","",Data!C658*100/Parametrar!B5)</f>
        <v>88.748507395708941</v>
      </c>
    </row>
    <row r="659" spans="1:3" x14ac:dyDescent="0.35">
      <c r="A659" s="1">
        <f>Data!A659</f>
        <v>37165</v>
      </c>
      <c r="B659" s="2">
        <f>IF(Data!B659="","",Data!B659*100/Parametrar!B4)</f>
        <v>72.454012508108235</v>
      </c>
      <c r="C659" s="2">
        <f>IF(Data!C659="","",Data!C659*100/Parametrar!B5)</f>
        <v>88.50520737543394</v>
      </c>
    </row>
    <row r="660" spans="1:3" x14ac:dyDescent="0.35">
      <c r="A660" s="1">
        <f>Data!A660</f>
        <v>37196</v>
      </c>
      <c r="B660" s="2">
        <f>IF(Data!B660="","",Data!B660*100/Parametrar!B4)</f>
        <v>72.413216329894212</v>
      </c>
      <c r="C660" s="2">
        <f>IF(Data!C660="","",Data!C660*100/Parametrar!B5)</f>
        <v>87.970007330833937</v>
      </c>
    </row>
    <row r="661" spans="1:3" x14ac:dyDescent="0.35">
      <c r="A661" s="1">
        <f>Data!A661</f>
        <v>37226</v>
      </c>
      <c r="B661" s="2">
        <f>IF(Data!B661="","",Data!B661*100/Parametrar!B4)</f>
        <v>72.372420151680188</v>
      </c>
      <c r="C661" s="2">
        <f>IF(Data!C661="","",Data!C661*100/Parametrar!B5)</f>
        <v>87.932407327700602</v>
      </c>
    </row>
    <row r="662" spans="1:3" x14ac:dyDescent="0.35">
      <c r="A662" s="1">
        <f>Data!A662</f>
        <v>37257</v>
      </c>
      <c r="B662" s="2">
        <f>IF(Data!B662="","",Data!B662*100/Parametrar!B4)</f>
        <v>72.494808686322258</v>
      </c>
      <c r="C662" s="2">
        <f>IF(Data!C662="","",Data!C662*100/Parametrar!B5)</f>
        <v>88.517607376467282</v>
      </c>
    </row>
    <row r="663" spans="1:3" x14ac:dyDescent="0.35">
      <c r="A663" s="1">
        <f>Data!A663</f>
        <v>37288</v>
      </c>
      <c r="B663" s="2">
        <f>IF(Data!B663="","",Data!B663*100/Parametrar!B4)</f>
        <v>72.617197220964343</v>
      </c>
      <c r="C663" s="2">
        <f>IF(Data!C663="","",Data!C663*100/Parametrar!B5)</f>
        <v>88.527807377317288</v>
      </c>
    </row>
    <row r="664" spans="1:3" x14ac:dyDescent="0.35">
      <c r="A664" s="1">
        <f>Data!A664</f>
        <v>37316</v>
      </c>
      <c r="B664" s="2">
        <f>IF(Data!B664="","",Data!B664*100/Parametrar!B4)</f>
        <v>72.82117811203446</v>
      </c>
      <c r="C664" s="2">
        <f>IF(Data!C664="","",Data!C664*100/Parametrar!B5)</f>
        <v>89.168607430717287</v>
      </c>
    </row>
    <row r="665" spans="1:3" x14ac:dyDescent="0.35">
      <c r="A665" s="1">
        <f>Data!A665</f>
        <v>37347</v>
      </c>
      <c r="B665" s="2">
        <f>IF(Data!B665="","",Data!B665*100/Parametrar!B4)</f>
        <v>73.147547537746661</v>
      </c>
      <c r="C665" s="2">
        <f>IF(Data!C665="","",Data!C665*100/Parametrar!B5)</f>
        <v>89.604007467000613</v>
      </c>
    </row>
    <row r="666" spans="1:3" x14ac:dyDescent="0.35">
      <c r="A666" s="1">
        <f>Data!A666</f>
        <v>37377</v>
      </c>
      <c r="B666" s="2">
        <f>IF(Data!B666="","",Data!B666*100/Parametrar!B4)</f>
        <v>73.229139894174708</v>
      </c>
      <c r="C666" s="2">
        <f>IF(Data!C666="","",Data!C666*100/Parametrar!B5)</f>
        <v>89.964007497000608</v>
      </c>
    </row>
    <row r="667" spans="1:3" x14ac:dyDescent="0.35">
      <c r="A667" s="1">
        <f>Data!A667</f>
        <v>37408</v>
      </c>
      <c r="B667" s="2">
        <f>IF(Data!B667="","",Data!B667*100/Parametrar!B4)</f>
        <v>73.269936072388731</v>
      </c>
      <c r="C667" s="2">
        <f>IF(Data!C667="","",Data!C667*100/Parametrar!B5)</f>
        <v>90.706107558842291</v>
      </c>
    </row>
    <row r="668" spans="1:3" x14ac:dyDescent="0.35">
      <c r="A668" s="1">
        <f>Data!A668</f>
        <v>37438</v>
      </c>
      <c r="B668" s="2">
        <f>IF(Data!B668="","",Data!B668*100/Parametrar!B4)</f>
        <v>73.433120785244839</v>
      </c>
      <c r="C668" s="2">
        <f>IF(Data!C668="","",Data!C668*100/Parametrar!B5)</f>
        <v>90.676907556408963</v>
      </c>
    </row>
    <row r="669" spans="1:3" x14ac:dyDescent="0.35">
      <c r="A669" s="1">
        <f>Data!A669</f>
        <v>37469</v>
      </c>
      <c r="B669" s="2">
        <f>IF(Data!B669="","",Data!B669*100/Parametrar!B4)</f>
        <v>73.637101676314956</v>
      </c>
      <c r="C669" s="2">
        <f>IF(Data!C669="","",Data!C669*100/Parametrar!B5)</f>
        <v>90.576207548017294</v>
      </c>
    </row>
    <row r="670" spans="1:3" x14ac:dyDescent="0.35">
      <c r="A670" s="1">
        <f>Data!A670</f>
        <v>37500</v>
      </c>
      <c r="B670" s="2">
        <f>IF(Data!B670="","",Data!B670*100/Parametrar!B4)</f>
        <v>73.75949021095704</v>
      </c>
      <c r="C670" s="2">
        <f>IF(Data!C670="","",Data!C670*100/Parametrar!B5)</f>
        <v>90.653107554425617</v>
      </c>
    </row>
    <row r="671" spans="1:3" x14ac:dyDescent="0.35">
      <c r="A671" s="1">
        <f>Data!A671</f>
        <v>37530</v>
      </c>
      <c r="B671" s="2">
        <f>IF(Data!B671="","",Data!B671*100/Parametrar!B4)</f>
        <v>73.922674923813133</v>
      </c>
      <c r="C671" s="2">
        <f>IF(Data!C671="","",Data!C671*100/Parametrar!B5)</f>
        <v>90.464307538692296</v>
      </c>
    </row>
    <row r="672" spans="1:3" x14ac:dyDescent="0.35">
      <c r="A672" s="1">
        <f>Data!A672</f>
        <v>37561</v>
      </c>
      <c r="B672" s="2">
        <f>IF(Data!B672="","",Data!B672*100/Parametrar!B4)</f>
        <v>74.045063458455203</v>
      </c>
      <c r="C672" s="2">
        <f>IF(Data!C672="","",Data!C672*100/Parametrar!B5)</f>
        <v>90.971107580925633</v>
      </c>
    </row>
    <row r="673" spans="1:3" x14ac:dyDescent="0.35">
      <c r="A673" s="1">
        <f>Data!A673</f>
        <v>37591</v>
      </c>
      <c r="B673" s="2">
        <f>IF(Data!B673="","",Data!B673*100/Parametrar!B4)</f>
        <v>74.167451993097288</v>
      </c>
      <c r="C673" s="2">
        <f>IF(Data!C673="","",Data!C673*100/Parametrar!B5)</f>
        <v>90.465207538767288</v>
      </c>
    </row>
    <row r="674" spans="1:3" x14ac:dyDescent="0.35">
      <c r="A674" s="1">
        <f>Data!A674</f>
        <v>37622</v>
      </c>
      <c r="B674" s="2">
        <f>IF(Data!B674="","",Data!B674*100/Parametrar!B4)</f>
        <v>74.493821418809489</v>
      </c>
      <c r="C674" s="2">
        <f>IF(Data!C674="","",Data!C674*100/Parametrar!B5)</f>
        <v>91.236107603008946</v>
      </c>
    </row>
    <row r="675" spans="1:3" x14ac:dyDescent="0.35">
      <c r="A675" s="1">
        <f>Data!A675</f>
        <v>37653</v>
      </c>
      <c r="B675" s="2">
        <f>IF(Data!B675="","",Data!B675*100/Parametrar!B4)</f>
        <v>74.901783200949737</v>
      </c>
      <c r="C675" s="2">
        <f>IF(Data!C675="","",Data!C675*100/Parametrar!B5)</f>
        <v>91.344507612042278</v>
      </c>
    </row>
    <row r="676" spans="1:3" x14ac:dyDescent="0.35">
      <c r="A676" s="1">
        <f>Data!A676</f>
        <v>37681</v>
      </c>
      <c r="B676" s="2">
        <f>IF(Data!B676="","",Data!B676*100/Parametrar!B4)</f>
        <v>75.024171735591807</v>
      </c>
      <c r="C676" s="2">
        <f>IF(Data!C676="","",Data!C676*100/Parametrar!B5)</f>
        <v>91.104407592033965</v>
      </c>
    </row>
    <row r="677" spans="1:3" x14ac:dyDescent="0.35">
      <c r="A677" s="1">
        <f>Data!A677</f>
        <v>37712</v>
      </c>
      <c r="B677" s="2">
        <f>IF(Data!B677="","",Data!B677*100/Parametrar!B4)</f>
        <v>74.738598488093629</v>
      </c>
      <c r="C677" s="2">
        <f>IF(Data!C677="","",Data!C677*100/Parametrar!B5)</f>
        <v>90.561707546808961</v>
      </c>
    </row>
    <row r="678" spans="1:3" x14ac:dyDescent="0.35">
      <c r="A678" s="1">
        <f>Data!A678</f>
        <v>37742</v>
      </c>
      <c r="B678" s="2">
        <f>IF(Data!B678="","",Data!B678*100/Parametrar!B4)</f>
        <v>74.616209953451559</v>
      </c>
      <c r="C678" s="2">
        <f>IF(Data!C678="","",Data!C678*100/Parametrar!B5)</f>
        <v>90.537007544750637</v>
      </c>
    </row>
    <row r="679" spans="1:3" x14ac:dyDescent="0.35">
      <c r="A679" s="1">
        <f>Data!A679</f>
        <v>37773</v>
      </c>
      <c r="B679" s="2">
        <f>IF(Data!B679="","",Data!B679*100/Parametrar!B4)</f>
        <v>74.697802309879606</v>
      </c>
      <c r="C679" s="2">
        <f>IF(Data!C679="","",Data!C679*100/Parametrar!B5)</f>
        <v>90.652707554392293</v>
      </c>
    </row>
    <row r="680" spans="1:3" x14ac:dyDescent="0.35">
      <c r="A680" s="1">
        <f>Data!A680</f>
        <v>37803</v>
      </c>
      <c r="B680" s="2">
        <f>IF(Data!B680="","",Data!B680*100/Parametrar!B4)</f>
        <v>74.94257937916376</v>
      </c>
      <c r="C680" s="2">
        <f>IF(Data!C680="","",Data!C680*100/Parametrar!B5)</f>
        <v>91.11850759320896</v>
      </c>
    </row>
    <row r="681" spans="1:3" x14ac:dyDescent="0.35">
      <c r="A681" s="1">
        <f>Data!A681</f>
        <v>37834</v>
      </c>
      <c r="B681" s="2">
        <f>IF(Data!B681="","",Data!B681*100/Parametrar!B4)</f>
        <v>75.268948804875961</v>
      </c>
      <c r="C681" s="2">
        <f>IF(Data!C681="","",Data!C681*100/Parametrar!B5)</f>
        <v>90.91970757664231</v>
      </c>
    </row>
    <row r="682" spans="1:3" x14ac:dyDescent="0.35">
      <c r="A682" s="1">
        <f>Data!A682</f>
        <v>37865</v>
      </c>
      <c r="B682" s="2">
        <f>IF(Data!B682="","",Data!B682*100/Parametrar!B4)</f>
        <v>75.513725874160102</v>
      </c>
      <c r="C682" s="2">
        <f>IF(Data!C682="","",Data!C682*100/Parametrar!B5)</f>
        <v>91.505907625492299</v>
      </c>
    </row>
    <row r="683" spans="1:3" x14ac:dyDescent="0.35">
      <c r="A683" s="1">
        <f>Data!A683</f>
        <v>37895</v>
      </c>
      <c r="B683" s="2">
        <f>IF(Data!B683="","",Data!B683*100/Parametrar!B4)</f>
        <v>75.432133517732055</v>
      </c>
      <c r="C683" s="2">
        <f>IF(Data!C683="","",Data!C683*100/Parametrar!B5)</f>
        <v>91.618607634883972</v>
      </c>
    </row>
    <row r="684" spans="1:3" x14ac:dyDescent="0.35">
      <c r="A684" s="1">
        <f>Data!A684</f>
        <v>37926</v>
      </c>
      <c r="B684" s="2">
        <f>IF(Data!B684="","",Data!B684*100/Parametrar!B4)</f>
        <v>75.472929695946078</v>
      </c>
      <c r="C684" s="2">
        <f>IF(Data!C684="","",Data!C684*100/Parametrar!B5)</f>
        <v>92.232907686075649</v>
      </c>
    </row>
    <row r="685" spans="1:3" x14ac:dyDescent="0.35">
      <c r="A685" s="1">
        <f>Data!A685</f>
        <v>37956</v>
      </c>
      <c r="B685" s="2">
        <f>IF(Data!B685="","",Data!B685*100/Parametrar!B4)</f>
        <v>75.676910587016209</v>
      </c>
      <c r="C685" s="2">
        <f>IF(Data!C685="","",Data!C685*100/Parametrar!B5)</f>
        <v>92.260207688350633</v>
      </c>
    </row>
    <row r="686" spans="1:3" x14ac:dyDescent="0.35">
      <c r="A686" s="1">
        <f>Data!A686</f>
        <v>37987</v>
      </c>
      <c r="B686" s="2">
        <f>IF(Data!B686="","",Data!B686*100/Parametrar!B4)</f>
        <v>76.00328001272841</v>
      </c>
      <c r="C686" s="2">
        <f>IF(Data!C686="","",Data!C686*100/Parametrar!B5)</f>
        <v>92.400607700050628</v>
      </c>
    </row>
    <row r="687" spans="1:3" x14ac:dyDescent="0.35">
      <c r="A687" s="1">
        <f>Data!A687</f>
        <v>38018</v>
      </c>
      <c r="B687" s="2">
        <f>IF(Data!B687="","",Data!B687*100/Parametrar!B4)</f>
        <v>76.166464725584504</v>
      </c>
      <c r="C687" s="2">
        <f>IF(Data!C687="","",Data!C687*100/Parametrar!B5)</f>
        <v>92.958007746500627</v>
      </c>
    </row>
    <row r="688" spans="1:3" x14ac:dyDescent="0.35">
      <c r="A688" s="1">
        <f>Data!A688</f>
        <v>38047</v>
      </c>
      <c r="B688" s="2">
        <f>IF(Data!B688="","",Data!B688*100/Parametrar!B4)</f>
        <v>76.329649438440597</v>
      </c>
      <c r="C688" s="2">
        <f>IF(Data!C688="","",Data!C688*100/Parametrar!B5)</f>
        <v>92.586107715508973</v>
      </c>
    </row>
    <row r="689" spans="1:3" x14ac:dyDescent="0.35">
      <c r="A689" s="1">
        <f>Data!A689</f>
        <v>38078</v>
      </c>
      <c r="B689" s="2">
        <f>IF(Data!B689="","",Data!B689*100/Parametrar!B4)</f>
        <v>76.452037973082682</v>
      </c>
      <c r="C689" s="2">
        <f>IF(Data!C689="","",Data!C689*100/Parametrar!B5)</f>
        <v>92.930007744167312</v>
      </c>
    </row>
    <row r="690" spans="1:3" x14ac:dyDescent="0.35">
      <c r="A690" s="1">
        <f>Data!A690</f>
        <v>38108</v>
      </c>
      <c r="B690" s="2">
        <f>IF(Data!B690="","",Data!B690*100/Parametrar!B4)</f>
        <v>76.778407398794883</v>
      </c>
      <c r="C690" s="2">
        <f>IF(Data!C690="","",Data!C690*100/Parametrar!B5)</f>
        <v>93.60130780010897</v>
      </c>
    </row>
    <row r="691" spans="1:3" x14ac:dyDescent="0.35">
      <c r="A691" s="1">
        <f>Data!A691</f>
        <v>38139</v>
      </c>
      <c r="B691" s="2">
        <f>IF(Data!B691="","",Data!B691*100/Parametrar!B4)</f>
        <v>77.063980646293047</v>
      </c>
      <c r="C691" s="2">
        <f>IF(Data!C691="","",Data!C691*100/Parametrar!B5)</f>
        <v>92.871007739250643</v>
      </c>
    </row>
    <row r="692" spans="1:3" x14ac:dyDescent="0.35">
      <c r="A692" s="1">
        <f>Data!A692</f>
        <v>38169</v>
      </c>
      <c r="B692" s="2">
        <f>IF(Data!B692="","",Data!B692*100/Parametrar!B4)</f>
        <v>77.145573002721108</v>
      </c>
      <c r="C692" s="2">
        <f>IF(Data!C692="","",Data!C692*100/Parametrar!B5)</f>
        <v>93.564907797075648</v>
      </c>
    </row>
    <row r="693" spans="1:3" x14ac:dyDescent="0.35">
      <c r="A693" s="1">
        <f>Data!A693</f>
        <v>38200</v>
      </c>
      <c r="B693" s="2">
        <f>IF(Data!B693="","",Data!B693*100/Parametrar!B4)</f>
        <v>77.186369180935131</v>
      </c>
      <c r="C693" s="2">
        <f>IF(Data!C693="","",Data!C693*100/Parametrar!B5)</f>
        <v>93.627707802308976</v>
      </c>
    </row>
    <row r="694" spans="1:3" x14ac:dyDescent="0.35">
      <c r="A694" s="1">
        <f>Data!A694</f>
        <v>38231</v>
      </c>
      <c r="B694" s="2">
        <f>IF(Data!B694="","",Data!B694*100/Parametrar!B4)</f>
        <v>77.431146250219271</v>
      </c>
      <c r="C694" s="2">
        <f>IF(Data!C694="","",Data!C694*100/Parametrar!B5)</f>
        <v>93.746707812225651</v>
      </c>
    </row>
    <row r="695" spans="1:3" x14ac:dyDescent="0.35">
      <c r="A695" s="1">
        <f>Data!A695</f>
        <v>38261</v>
      </c>
      <c r="B695" s="2">
        <f>IF(Data!B695="","",Data!B695*100/Parametrar!B4)</f>
        <v>77.839108032359519</v>
      </c>
      <c r="C695" s="2">
        <f>IF(Data!C695="","",Data!C695*100/Parametrar!B5)</f>
        <v>94.546507878875644</v>
      </c>
    </row>
    <row r="696" spans="1:3" x14ac:dyDescent="0.35">
      <c r="A696" s="1">
        <f>Data!A696</f>
        <v>38292</v>
      </c>
      <c r="B696" s="2">
        <f>IF(Data!B696="","",Data!B696*100/Parametrar!B4)</f>
        <v>78.206273636285744</v>
      </c>
      <c r="C696" s="2">
        <f>IF(Data!C696="","",Data!C696*100/Parametrar!B5)</f>
        <v>94.781307898442336</v>
      </c>
    </row>
    <row r="697" spans="1:3" x14ac:dyDescent="0.35">
      <c r="A697" s="1">
        <f>Data!A697</f>
        <v>38322</v>
      </c>
      <c r="B697" s="2">
        <f>IF(Data!B697="","",Data!B697*100/Parametrar!B4)</f>
        <v>78.206273636285744</v>
      </c>
      <c r="C697" s="2">
        <f>IF(Data!C697="","",Data!C697*100/Parametrar!B5)</f>
        <v>95.536507961375648</v>
      </c>
    </row>
    <row r="698" spans="1:3" x14ac:dyDescent="0.35">
      <c r="A698" s="1">
        <f>Data!A698</f>
        <v>38353</v>
      </c>
      <c r="B698" s="2">
        <f>IF(Data!B698="","",Data!B698*100/Parametrar!B4)</f>
        <v>78.16547745807172</v>
      </c>
      <c r="C698" s="2">
        <f>IF(Data!C698="","",Data!C698*100/Parametrar!B5)</f>
        <v>95.880107990008995</v>
      </c>
    </row>
    <row r="699" spans="1:3" x14ac:dyDescent="0.35">
      <c r="A699" s="1">
        <f>Data!A699</f>
        <v>38384</v>
      </c>
      <c r="B699" s="2">
        <f>IF(Data!B699="","",Data!B699*100/Parametrar!B4)</f>
        <v>78.491846883783921</v>
      </c>
      <c r="C699" s="2">
        <f>IF(Data!C699="","",Data!C699*100/Parametrar!B5)</f>
        <v>96.576108048009004</v>
      </c>
    </row>
    <row r="700" spans="1:3" x14ac:dyDescent="0.35">
      <c r="A700" s="1">
        <f>Data!A700</f>
        <v>38412</v>
      </c>
      <c r="B700" s="2">
        <f>IF(Data!B700="","",Data!B700*100/Parametrar!B4)</f>
        <v>78.777420131282099</v>
      </c>
      <c r="C700" s="2">
        <f>IF(Data!C700="","",Data!C700*100/Parametrar!B5)</f>
        <v>96.445608037133994</v>
      </c>
    </row>
    <row r="701" spans="1:3" x14ac:dyDescent="0.35">
      <c r="A701" s="1">
        <f>Data!A701</f>
        <v>38443</v>
      </c>
      <c r="B701" s="2">
        <f>IF(Data!B701="","",Data!B701*100/Parametrar!B4)</f>
        <v>79.022197200566254</v>
      </c>
      <c r="C701" s="2">
        <f>IF(Data!C701="","",Data!C701*100/Parametrar!B5)</f>
        <v>96.653208054433989</v>
      </c>
    </row>
    <row r="702" spans="1:3" x14ac:dyDescent="0.35">
      <c r="A702" s="1">
        <f>Data!A702</f>
        <v>38473</v>
      </c>
      <c r="B702" s="2">
        <f>IF(Data!B702="","",Data!B702*100/Parametrar!B4)</f>
        <v>78.981401022352216</v>
      </c>
      <c r="C702" s="2">
        <f>IF(Data!C702="","",Data!C702*100/Parametrar!B5)</f>
        <v>96.740208061684001</v>
      </c>
    </row>
    <row r="703" spans="1:3" x14ac:dyDescent="0.35">
      <c r="A703" s="1">
        <f>Data!A703</f>
        <v>38504</v>
      </c>
      <c r="B703" s="2">
        <f>IF(Data!B703="","",Data!B703*100/Parametrar!B4)</f>
        <v>79.022197200566254</v>
      </c>
      <c r="C703" s="2">
        <f>IF(Data!C703="","",Data!C703*100/Parametrar!B5)</f>
        <v>97.17530809794232</v>
      </c>
    </row>
    <row r="704" spans="1:3" x14ac:dyDescent="0.35">
      <c r="A704" s="1">
        <f>Data!A704</f>
        <v>38534</v>
      </c>
      <c r="B704" s="2">
        <f>IF(Data!B704="","",Data!B704*100/Parametrar!B4)</f>
        <v>79.511751339134548</v>
      </c>
      <c r="C704" s="2">
        <f>IF(Data!C704="","",Data!C704*100/Parametrar!B5)</f>
        <v>96.867608072300669</v>
      </c>
    </row>
    <row r="705" spans="1:3" x14ac:dyDescent="0.35">
      <c r="A705" s="1">
        <f>Data!A705</f>
        <v>38565</v>
      </c>
      <c r="B705" s="2">
        <f>IF(Data!B705="","",Data!B705*100/Parametrar!B4)</f>
        <v>80.001305477702843</v>
      </c>
      <c r="C705" s="2">
        <f>IF(Data!C705="","",Data!C705*100/Parametrar!B5)</f>
        <v>97.183308098609004</v>
      </c>
    </row>
    <row r="706" spans="1:3" x14ac:dyDescent="0.35">
      <c r="A706" s="1">
        <f>Data!A706</f>
        <v>38596</v>
      </c>
      <c r="B706" s="2">
        <f>IF(Data!B706="","",Data!B706*100/Parametrar!B4)</f>
        <v>81.102802289481517</v>
      </c>
      <c r="C706" s="2">
        <f>IF(Data!C706="","",Data!C706*100/Parametrar!B5)</f>
        <v>95.300507941708986</v>
      </c>
    </row>
    <row r="707" spans="1:3" x14ac:dyDescent="0.35">
      <c r="A707" s="1">
        <f>Data!A707</f>
        <v>38626</v>
      </c>
      <c r="B707" s="2">
        <f>IF(Data!B707="","",Data!B707*100/Parametrar!B4)</f>
        <v>81.225190824123587</v>
      </c>
      <c r="C707" s="2">
        <f>IF(Data!C707="","",Data!C707*100/Parametrar!B5)</f>
        <v>96.45720803810066</v>
      </c>
    </row>
    <row r="708" spans="1:3" x14ac:dyDescent="0.35">
      <c r="A708" s="1">
        <f>Data!A708</f>
        <v>38657</v>
      </c>
      <c r="B708" s="2">
        <f>IF(Data!B708="","",Data!B708*100/Parametrar!B4)</f>
        <v>80.817229041983339</v>
      </c>
      <c r="C708" s="2">
        <f>IF(Data!C708="","",Data!C708*100/Parametrar!B5)</f>
        <v>97.541408128450669</v>
      </c>
    </row>
    <row r="709" spans="1:3" x14ac:dyDescent="0.35">
      <c r="A709" s="1">
        <f>Data!A709</f>
        <v>38687</v>
      </c>
      <c r="B709" s="2">
        <f>IF(Data!B709="","",Data!B709*100/Parametrar!B4)</f>
        <v>80.817229041983339</v>
      </c>
      <c r="C709" s="2">
        <f>IF(Data!C709="","",Data!C709*100/Parametrar!B5)</f>
        <v>98.045208170433995</v>
      </c>
    </row>
    <row r="710" spans="1:3" x14ac:dyDescent="0.35">
      <c r="A710" s="1">
        <f>Data!A710</f>
        <v>38718</v>
      </c>
      <c r="B710" s="2">
        <f>IF(Data!B710="","",Data!B710*100/Parametrar!B4)</f>
        <v>81.306783180551648</v>
      </c>
      <c r="C710" s="2">
        <f>IF(Data!C710="","",Data!C710*100/Parametrar!B5)</f>
        <v>98.199908183325675</v>
      </c>
    </row>
    <row r="711" spans="1:3" x14ac:dyDescent="0.35">
      <c r="A711" s="1">
        <f>Data!A711</f>
        <v>38749</v>
      </c>
      <c r="B711" s="2">
        <f>IF(Data!B711="","",Data!B711*100/Parametrar!B4)</f>
        <v>81.347579358765671</v>
      </c>
      <c r="C711" s="2">
        <f>IF(Data!C711="","",Data!C711*100/Parametrar!B5)</f>
        <v>98.241308186775669</v>
      </c>
    </row>
    <row r="712" spans="1:3" x14ac:dyDescent="0.35">
      <c r="A712" s="1">
        <f>Data!A712</f>
        <v>38777</v>
      </c>
      <c r="B712" s="2">
        <f>IF(Data!B712="","",Data!B712*100/Parametrar!B4)</f>
        <v>81.469967893407741</v>
      </c>
      <c r="C712" s="2">
        <f>IF(Data!C712="","",Data!C712*100/Parametrar!B5)</f>
        <v>98.462808205234012</v>
      </c>
    </row>
    <row r="713" spans="1:3" x14ac:dyDescent="0.35">
      <c r="A713" s="1">
        <f>Data!A713</f>
        <v>38808</v>
      </c>
      <c r="B713" s="2">
        <f>IF(Data!B713="","",Data!B713*100/Parametrar!B4)</f>
        <v>81.877929675547989</v>
      </c>
      <c r="C713" s="2">
        <f>IF(Data!C713="","",Data!C713*100/Parametrar!B5)</f>
        <v>98.761808230150677</v>
      </c>
    </row>
    <row r="714" spans="1:3" x14ac:dyDescent="0.35">
      <c r="A714" s="1">
        <f>Data!A714</f>
        <v>38838</v>
      </c>
      <c r="B714" s="2">
        <f>IF(Data!B714="","",Data!B714*100/Parametrar!B4)</f>
        <v>82.122706744832143</v>
      </c>
      <c r="C714" s="2">
        <f>IF(Data!C714="","",Data!C714*100/Parametrar!B5)</f>
        <v>98.786908232242354</v>
      </c>
    </row>
    <row r="715" spans="1:3" x14ac:dyDescent="0.35">
      <c r="A715" s="1">
        <f>Data!A715</f>
        <v>38869</v>
      </c>
      <c r="B715" s="2">
        <f>IF(Data!B715="","",Data!B715*100/Parametrar!B4)</f>
        <v>82.32668763590226</v>
      </c>
      <c r="C715" s="2">
        <f>IF(Data!C715="","",Data!C715*100/Parametrar!B5)</f>
        <v>99.099708258309008</v>
      </c>
    </row>
    <row r="716" spans="1:3" x14ac:dyDescent="0.35">
      <c r="A716" s="1">
        <f>Data!A716</f>
        <v>38899</v>
      </c>
      <c r="B716" s="2">
        <f>IF(Data!B716="","",Data!B716*100/Parametrar!B4)</f>
        <v>82.775445596256546</v>
      </c>
      <c r="C716" s="2">
        <f>IF(Data!C716="","",Data!C716*100/Parametrar!B5)</f>
        <v>99.04890825407567</v>
      </c>
    </row>
    <row r="717" spans="1:3" x14ac:dyDescent="0.35">
      <c r="A717" s="1">
        <f>Data!A717</f>
        <v>38930</v>
      </c>
      <c r="B717" s="2">
        <f>IF(Data!B717="","",Data!B717*100/Parametrar!B4)</f>
        <v>83.14261120018277</v>
      </c>
      <c r="C717" s="2">
        <f>IF(Data!C717="","",Data!C717*100/Parametrar!B5)</f>
        <v>99.483608290300666</v>
      </c>
    </row>
    <row r="718" spans="1:3" x14ac:dyDescent="0.35">
      <c r="A718" s="1">
        <f>Data!A718</f>
        <v>38961</v>
      </c>
      <c r="B718" s="2">
        <f>IF(Data!B718="","",Data!B718*100/Parametrar!B4)</f>
        <v>82.734649418042508</v>
      </c>
      <c r="C718" s="2">
        <f>IF(Data!C718="","",Data!C718*100/Parametrar!B5)</f>
        <v>99.318308276525684</v>
      </c>
    </row>
    <row r="719" spans="1:3" x14ac:dyDescent="0.35">
      <c r="A719" s="1">
        <f>Data!A719</f>
        <v>38991</v>
      </c>
      <c r="B719" s="2">
        <f>IF(Data!B719="","",Data!B719*100/Parametrar!B4)</f>
        <v>82.367483814116284</v>
      </c>
      <c r="C719" s="2">
        <f>IF(Data!C719="","",Data!C719*100/Parametrar!B5)</f>
        <v>99.204408267034026</v>
      </c>
    </row>
    <row r="720" spans="1:3" x14ac:dyDescent="0.35">
      <c r="A720" s="1">
        <f>Data!A720</f>
        <v>39022</v>
      </c>
      <c r="B720" s="2">
        <f>IF(Data!B720="","",Data!B720*100/Parametrar!B4)</f>
        <v>82.408279992330321</v>
      </c>
      <c r="C720" s="2">
        <f>IF(Data!C720="","",Data!C720*100/Parametrar!B5)</f>
        <v>99.162708263559026</v>
      </c>
    </row>
    <row r="721" spans="1:3" x14ac:dyDescent="0.35">
      <c r="A721" s="1">
        <f>Data!A721</f>
        <v>39052</v>
      </c>
      <c r="B721" s="2">
        <f>IF(Data!B721="","",Data!B721*100/Parametrar!B4)</f>
        <v>82.857037952684593</v>
      </c>
      <c r="C721" s="2">
        <f>IF(Data!C721="","",Data!C721*100/Parametrar!B5)</f>
        <v>100.17350834779236</v>
      </c>
    </row>
    <row r="722" spans="1:3" x14ac:dyDescent="0.35">
      <c r="A722" s="1">
        <f>Data!A722</f>
        <v>39083</v>
      </c>
      <c r="B722" s="2">
        <f>IF(Data!B722="","",Data!B722*100/Parametrar!B4)</f>
        <v>82.994521073265858</v>
      </c>
      <c r="C722" s="2">
        <f>IF(Data!C722="","",Data!C722*100/Parametrar!B5)</f>
        <v>99.834608319550682</v>
      </c>
    </row>
    <row r="723" spans="1:3" x14ac:dyDescent="0.35">
      <c r="A723" s="1">
        <f>Data!A723</f>
        <v>39114</v>
      </c>
      <c r="B723" s="2">
        <f>IF(Data!B723="","",Data!B723*100/Parametrar!B4)</f>
        <v>83.316402919374511</v>
      </c>
      <c r="C723" s="2">
        <f>IF(Data!C723="","",Data!C723*100/Parametrar!B5)</f>
        <v>100.77530839794237</v>
      </c>
    </row>
    <row r="724" spans="1:3" x14ac:dyDescent="0.35">
      <c r="A724" s="1">
        <f>Data!A724</f>
        <v>39142</v>
      </c>
      <c r="B724" s="2">
        <f>IF(Data!B724="","",Data!B724*100/Parametrar!B4)</f>
        <v>83.749658332007471</v>
      </c>
      <c r="C724" s="2">
        <f>IF(Data!C724="","",Data!C724*100/Parametrar!B5)</f>
        <v>100.95470841289237</v>
      </c>
    </row>
    <row r="725" spans="1:3" x14ac:dyDescent="0.35">
      <c r="A725" s="1">
        <f>Data!A725</f>
        <v>39173</v>
      </c>
      <c r="B725" s="2">
        <f>IF(Data!B725="","",Data!B725*100/Parametrar!B4)</f>
        <v>84.000962789805854</v>
      </c>
      <c r="C725" s="2">
        <f>IF(Data!C725="","",Data!C725*100/Parametrar!B5)</f>
        <v>101.6334084694507</v>
      </c>
    </row>
    <row r="726" spans="1:3" x14ac:dyDescent="0.35">
      <c r="A726" s="1">
        <f>Data!A726</f>
        <v>39203</v>
      </c>
      <c r="B726" s="2">
        <f>IF(Data!B726="","",Data!B726*100/Parametrar!B4)</f>
        <v>84.348138266407204</v>
      </c>
      <c r="C726" s="2">
        <f>IF(Data!C726="","",Data!C726*100/Parametrar!B5)</f>
        <v>101.73060847755069</v>
      </c>
    </row>
    <row r="727" spans="1:3" x14ac:dyDescent="0.35">
      <c r="A727" s="1">
        <f>Data!A727</f>
        <v>39234</v>
      </c>
      <c r="B727" s="2">
        <f>IF(Data!B727="","",Data!B727*100/Parametrar!B4)</f>
        <v>84.543551960052383</v>
      </c>
      <c r="C727" s="2">
        <f>IF(Data!C727="","",Data!C727*100/Parametrar!B5)</f>
        <v>101.78930848244237</v>
      </c>
    </row>
    <row r="728" spans="1:3" x14ac:dyDescent="0.35">
      <c r="A728" s="1">
        <f>Data!A728</f>
        <v>39264</v>
      </c>
      <c r="B728" s="2">
        <f>IF(Data!B728="","",Data!B728*100/Parametrar!B4)</f>
        <v>84.694089857662135</v>
      </c>
      <c r="C728" s="2">
        <f>IF(Data!C728="","",Data!C728*100/Parametrar!B5)</f>
        <v>101.66720847226736</v>
      </c>
    </row>
    <row r="729" spans="1:3" x14ac:dyDescent="0.35">
      <c r="A729" s="1">
        <f>Data!A729</f>
        <v>39295</v>
      </c>
      <c r="B729" s="2">
        <f>IF(Data!B729="","",Data!B729*100/Parametrar!B4)</f>
        <v>84.720199411719108</v>
      </c>
      <c r="C729" s="2">
        <f>IF(Data!C729="","",Data!C729*100/Parametrar!B5)</f>
        <v>101.86300848858403</v>
      </c>
    </row>
    <row r="730" spans="1:3" x14ac:dyDescent="0.35">
      <c r="A730" s="1">
        <f>Data!A730</f>
        <v>39326</v>
      </c>
      <c r="B730" s="2">
        <f>IF(Data!B730="","",Data!B730*100/Parametrar!B4)</f>
        <v>85.079205780002525</v>
      </c>
      <c r="C730" s="2">
        <f>IF(Data!C730="","",Data!C730*100/Parametrar!B5)</f>
        <v>102.08940850745071</v>
      </c>
    </row>
    <row r="731" spans="1:3" x14ac:dyDescent="0.35">
      <c r="A731" s="1">
        <f>Data!A731</f>
        <v>39356</v>
      </c>
      <c r="B731" s="2">
        <f>IF(Data!B731="","",Data!B731*100/Parametrar!B4)</f>
        <v>85.3415252059187</v>
      </c>
      <c r="C731" s="2">
        <f>IF(Data!C731="","",Data!C731*100/Parametrar!B5)</f>
        <v>101.80150848345903</v>
      </c>
    </row>
    <row r="732" spans="1:3" x14ac:dyDescent="0.35">
      <c r="A732" s="1">
        <f>Data!A732</f>
        <v>39387</v>
      </c>
      <c r="B732" s="2">
        <f>IF(Data!B732="","",Data!B732*100/Parametrar!B4)</f>
        <v>86.012214375757281</v>
      </c>
      <c r="C732" s="2">
        <f>IF(Data!C732="","",Data!C732*100/Parametrar!B5)</f>
        <v>102.34460852871736</v>
      </c>
    </row>
    <row r="733" spans="1:3" x14ac:dyDescent="0.35">
      <c r="A733" s="1">
        <f>Data!A733</f>
        <v>39417</v>
      </c>
      <c r="B733" s="2">
        <f>IF(Data!B733="","",Data!B733*100/Parametrar!B4)</f>
        <v>86.26147902464497</v>
      </c>
      <c r="C733" s="2">
        <f>IF(Data!C733="","",Data!C733*100/Parametrar!B5)</f>
        <v>102.38030853169238</v>
      </c>
    </row>
    <row r="734" spans="1:3" x14ac:dyDescent="0.35">
      <c r="A734" s="1">
        <f>Data!A734</f>
        <v>39448</v>
      </c>
      <c r="B734" s="2">
        <f>IF(Data!B734="","",Data!B734*100/Parametrar!B4)</f>
        <v>86.558883163825215</v>
      </c>
      <c r="C734" s="2">
        <f>IF(Data!C734="","",Data!C734*100/Parametrar!B5)</f>
        <v>102.2448085204007</v>
      </c>
    </row>
    <row r="735" spans="1:3" x14ac:dyDescent="0.35">
      <c r="A735" s="1">
        <f>Data!A735</f>
        <v>39479</v>
      </c>
      <c r="B735" s="2">
        <f>IF(Data!B735="","",Data!B735*100/Parametrar!B4)</f>
        <v>86.768167558063155</v>
      </c>
      <c r="C735" s="2">
        <f>IF(Data!C735="","",Data!C735*100/Parametrar!B5)</f>
        <v>101.84380848698405</v>
      </c>
    </row>
    <row r="736" spans="1:3" x14ac:dyDescent="0.35">
      <c r="A736" s="1">
        <f>Data!A736</f>
        <v>39508</v>
      </c>
      <c r="B736" s="2">
        <f>IF(Data!B736="","",Data!B736*100/Parametrar!B4)</f>
        <v>87.078626474271886</v>
      </c>
      <c r="C736" s="2">
        <f>IF(Data!C736="","",Data!C736*100/Parametrar!B5)</f>
        <v>101.53360846113404</v>
      </c>
    </row>
    <row r="737" spans="1:3" x14ac:dyDescent="0.35">
      <c r="A737" s="1">
        <f>Data!A737</f>
        <v>39539</v>
      </c>
      <c r="B737" s="2">
        <f>IF(Data!B737="","",Data!B737*100/Parametrar!B4)</f>
        <v>87.280159594649177</v>
      </c>
      <c r="C737" s="2">
        <f>IF(Data!C737="","",Data!C737*100/Parametrar!B5)</f>
        <v>100.87850840654237</v>
      </c>
    </row>
    <row r="738" spans="1:3" x14ac:dyDescent="0.35">
      <c r="A738" s="1">
        <f>Data!A738</f>
        <v>39569</v>
      </c>
      <c r="B738" s="2">
        <f>IF(Data!B738="","",Data!B738*100/Parametrar!B4)</f>
        <v>87.79663921083872</v>
      </c>
      <c r="C738" s="2">
        <f>IF(Data!C738="","",Data!C738*100/Parametrar!B5)</f>
        <v>100.26740835561735</v>
      </c>
    </row>
    <row r="739" spans="1:3" x14ac:dyDescent="0.35">
      <c r="A739" s="1">
        <f>Data!A739</f>
        <v>39600</v>
      </c>
      <c r="B739" s="2">
        <f>IF(Data!B739="","",Data!B739*100/Parametrar!B4)</f>
        <v>88.71659302956499</v>
      </c>
      <c r="C739" s="2">
        <f>IF(Data!C739="","",Data!C739*100/Parametrar!B5)</f>
        <v>100.03350833612569</v>
      </c>
    </row>
    <row r="740" spans="1:3" x14ac:dyDescent="0.35">
      <c r="A740" s="1">
        <f>Data!A740</f>
        <v>39630</v>
      </c>
      <c r="B740" s="2">
        <f>IF(Data!B740="","",Data!B740*100/Parametrar!B4)</f>
        <v>89.350157677228793</v>
      </c>
      <c r="C740" s="2">
        <f>IF(Data!C740="","",Data!C740*100/Parametrar!B5)</f>
        <v>99.676008306334026</v>
      </c>
    </row>
    <row r="741" spans="1:3" x14ac:dyDescent="0.35">
      <c r="A741" s="1">
        <f>Data!A741</f>
        <v>39661</v>
      </c>
      <c r="B741" s="2">
        <f>IF(Data!B741="","",Data!B741*100/Parametrar!B4)</f>
        <v>89.217162136251076</v>
      </c>
      <c r="C741" s="2">
        <f>IF(Data!C741="","",Data!C741*100/Parametrar!B5)</f>
        <v>98.111108175925665</v>
      </c>
    </row>
    <row r="742" spans="1:3" x14ac:dyDescent="0.35">
      <c r="A742" s="1">
        <f>Data!A742</f>
        <v>39692</v>
      </c>
      <c r="B742" s="2">
        <f>IF(Data!B742="","",Data!B742*100/Parametrar!B4)</f>
        <v>89.2934509895113</v>
      </c>
      <c r="C742" s="2">
        <f>IF(Data!C742="","",Data!C742*100/Parametrar!B5)</f>
        <v>93.789507815792319</v>
      </c>
    </row>
    <row r="743" spans="1:3" x14ac:dyDescent="0.35">
      <c r="A743" s="1">
        <f>Data!A743</f>
        <v>39722</v>
      </c>
      <c r="B743" s="2">
        <f>IF(Data!B743="","",Data!B743*100/Parametrar!B4)</f>
        <v>88.525666915523345</v>
      </c>
      <c r="C743" s="2">
        <f>IF(Data!C743="","",Data!C743*100/Parametrar!B5)</f>
        <v>94.721907893492329</v>
      </c>
    </row>
    <row r="744" spans="1:3" x14ac:dyDescent="0.35">
      <c r="A744" s="1">
        <f>Data!A744</f>
        <v>39753</v>
      </c>
      <c r="B744" s="2">
        <f>IF(Data!B744="","",Data!B744*100/Parametrar!B4)</f>
        <v>86.95827774854051</v>
      </c>
      <c r="C744" s="2">
        <f>IF(Data!C744="","",Data!C744*100/Parametrar!B5)</f>
        <v>93.471507789292318</v>
      </c>
    </row>
    <row r="745" spans="1:3" x14ac:dyDescent="0.35">
      <c r="A745" s="1">
        <f>Data!A745</f>
        <v>39783</v>
      </c>
      <c r="B745" s="2">
        <f>IF(Data!B745="","",Data!B745*100/Parametrar!B4)</f>
        <v>86.242304820884371</v>
      </c>
      <c r="C745" s="2">
        <f>IF(Data!C745="","",Data!C745*100/Parametrar!B5)</f>
        <v>90.835707569642295</v>
      </c>
    </row>
    <row r="746" spans="1:3" x14ac:dyDescent="0.35">
      <c r="A746" s="1">
        <f>Data!A746</f>
        <v>39814</v>
      </c>
      <c r="B746" s="2">
        <f>IF(Data!B746="","",Data!B746*100/Parametrar!B4)</f>
        <v>86.460564374329408</v>
      </c>
      <c r="C746" s="2">
        <f>IF(Data!C746="","",Data!C746*100/Parametrar!B5)</f>
        <v>88.570007380833943</v>
      </c>
    </row>
    <row r="747" spans="1:3" x14ac:dyDescent="0.35">
      <c r="A747" s="1">
        <f>Data!A747</f>
        <v>39845</v>
      </c>
      <c r="B747" s="2">
        <f>IF(Data!B747="","",Data!B747*100/Parametrar!B4)</f>
        <v>86.775510870141687</v>
      </c>
      <c r="C747" s="2">
        <f>IF(Data!C747="","",Data!C747*100/Parametrar!B5)</f>
        <v>88.03100733591728</v>
      </c>
    </row>
    <row r="748" spans="1:3" x14ac:dyDescent="0.35">
      <c r="A748" s="1">
        <f>Data!A748</f>
        <v>39873</v>
      </c>
      <c r="B748" s="2">
        <f>IF(Data!B748="","",Data!B748*100/Parametrar!B4)</f>
        <v>86.689838895892223</v>
      </c>
      <c r="C748" s="2">
        <f>IF(Data!C748="","",Data!C748*100/Parametrar!B5)</f>
        <v>86.652807221067263</v>
      </c>
    </row>
    <row r="749" spans="1:3" x14ac:dyDescent="0.35">
      <c r="A749" s="1">
        <f>Data!A749</f>
        <v>39904</v>
      </c>
      <c r="B749" s="2">
        <f>IF(Data!B749="","",Data!B749*100/Parametrar!B4)</f>
        <v>86.777142717270252</v>
      </c>
      <c r="C749" s="2">
        <f>IF(Data!C749="","",Data!C749*100/Parametrar!B5)</f>
        <v>85.934407161200596</v>
      </c>
    </row>
    <row r="750" spans="1:3" x14ac:dyDescent="0.35">
      <c r="A750" s="1">
        <f>Data!A750</f>
        <v>39934</v>
      </c>
      <c r="B750" s="2">
        <f>IF(Data!B750="","",Data!B750*100/Parametrar!B4)</f>
        <v>86.904834755080145</v>
      </c>
      <c r="C750" s="2">
        <f>IF(Data!C750="","",Data!C750*100/Parametrar!B5)</f>
        <v>85.066507088875582</v>
      </c>
    </row>
    <row r="751" spans="1:3" x14ac:dyDescent="0.35">
      <c r="A751" s="1">
        <f>Data!A751</f>
        <v>39965</v>
      </c>
      <c r="B751" s="2">
        <f>IF(Data!B751="","",Data!B751*100/Parametrar!B4)</f>
        <v>87.626111185904108</v>
      </c>
      <c r="C751" s="2">
        <f>IF(Data!C751="","",Data!C751*100/Parametrar!B5)</f>
        <v>84.745907062158921</v>
      </c>
    </row>
    <row r="752" spans="1:3" x14ac:dyDescent="0.35">
      <c r="A752" s="1">
        <f>Data!A752</f>
        <v>39995</v>
      </c>
      <c r="B752" s="2">
        <f>IF(Data!B752="","",Data!B752*100/Parametrar!B4)</f>
        <v>87.600001631847121</v>
      </c>
      <c r="C752" s="2">
        <f>IF(Data!C752="","",Data!C752*100/Parametrar!B5)</f>
        <v>85.702707141892247</v>
      </c>
    </row>
    <row r="753" spans="1:3" x14ac:dyDescent="0.35">
      <c r="A753" s="1">
        <f>Data!A753</f>
        <v>40026</v>
      </c>
      <c r="B753" s="2">
        <f>IF(Data!B753="","",Data!B753*100/Parametrar!B4)</f>
        <v>87.893326153205962</v>
      </c>
      <c r="C753" s="2">
        <f>IF(Data!C753="","",Data!C753*100/Parametrar!B5)</f>
        <v>86.642607220217258</v>
      </c>
    </row>
    <row r="754" spans="1:3" x14ac:dyDescent="0.35">
      <c r="A754" s="1">
        <f>Data!A754</f>
        <v>40057</v>
      </c>
      <c r="B754" s="2">
        <f>IF(Data!B754="","",Data!B754*100/Parametrar!B4)</f>
        <v>88.063038254576298</v>
      </c>
      <c r="C754" s="2">
        <f>IF(Data!C754="","",Data!C754*100/Parametrar!B5)</f>
        <v>87.406307283858951</v>
      </c>
    </row>
    <row r="755" spans="1:3" x14ac:dyDescent="0.35">
      <c r="A755" s="1">
        <f>Data!A755</f>
        <v>40087</v>
      </c>
      <c r="B755" s="2">
        <f>IF(Data!B755="","",Data!B755*100/Parametrar!B4)</f>
        <v>88.327397489403182</v>
      </c>
      <c r="C755" s="2">
        <f>IF(Data!C755="","",Data!C755*100/Parametrar!B5)</f>
        <v>87.641907303492275</v>
      </c>
    </row>
    <row r="756" spans="1:3" x14ac:dyDescent="0.35">
      <c r="A756" s="1">
        <f>Data!A756</f>
        <v>40118</v>
      </c>
      <c r="B756" s="2">
        <f>IF(Data!B756="","",Data!B756*100/Parametrar!B4)</f>
        <v>88.623169781454877</v>
      </c>
      <c r="C756" s="2">
        <f>IF(Data!C756="","",Data!C756*100/Parametrar!B5)</f>
        <v>88.02210733517559</v>
      </c>
    </row>
    <row r="757" spans="1:3" x14ac:dyDescent="0.35">
      <c r="A757" s="1">
        <f>Data!A757</f>
        <v>40148</v>
      </c>
      <c r="B757" s="2">
        <f>IF(Data!B757="","",Data!B757*100/Parametrar!B4)</f>
        <v>88.669269462836724</v>
      </c>
      <c r="C757" s="2">
        <f>IF(Data!C757="","",Data!C757*100/Parametrar!B5)</f>
        <v>88.379307364942278</v>
      </c>
    </row>
    <row r="758" spans="1:3" x14ac:dyDescent="0.35">
      <c r="A758" s="1">
        <f>Data!A758</f>
        <v>40179</v>
      </c>
      <c r="B758" s="2">
        <f>IF(Data!B758="","",Data!B758*100/Parametrar!B4)</f>
        <v>88.726792074118492</v>
      </c>
      <c r="C758" s="2">
        <f>IF(Data!C758="","",Data!C758*100/Parametrar!B5)</f>
        <v>89.342607445217283</v>
      </c>
    </row>
    <row r="759" spans="1:3" x14ac:dyDescent="0.35">
      <c r="A759" s="1">
        <f>Data!A759</f>
        <v>40210</v>
      </c>
      <c r="B759" s="2">
        <f>IF(Data!B759="","",Data!B759*100/Parametrar!B4)</f>
        <v>88.642343985215476</v>
      </c>
      <c r="C759" s="2">
        <f>IF(Data!C759="","",Data!C759*100/Parametrar!B5)</f>
        <v>89.677907473158939</v>
      </c>
    </row>
    <row r="760" spans="1:3" x14ac:dyDescent="0.35">
      <c r="A760" s="1">
        <f>Data!A760</f>
        <v>40238</v>
      </c>
      <c r="B760" s="2">
        <f>IF(Data!B760="","",Data!B760*100/Parametrar!B4)</f>
        <v>88.671717233529563</v>
      </c>
      <c r="C760" s="2">
        <f>IF(Data!C760="","",Data!C760*100/Parametrar!B5)</f>
        <v>90.292807524400629</v>
      </c>
    </row>
    <row r="761" spans="1:3" x14ac:dyDescent="0.35">
      <c r="A761" s="1">
        <f>Data!A761</f>
        <v>40269</v>
      </c>
      <c r="B761" s="2">
        <f>IF(Data!B761="","",Data!B761*100/Parametrar!B4)</f>
        <v>88.692115322636567</v>
      </c>
      <c r="C761" s="2">
        <f>IF(Data!C761="","",Data!C761*100/Parametrar!B5)</f>
        <v>90.59910754992562</v>
      </c>
    </row>
    <row r="762" spans="1:3" x14ac:dyDescent="0.35">
      <c r="A762" s="1">
        <f>Data!A762</f>
        <v>40299</v>
      </c>
      <c r="B762" s="2">
        <f>IF(Data!B762="","",Data!B762*100/Parametrar!B4)</f>
        <v>88.646015641254721</v>
      </c>
      <c r="C762" s="2">
        <f>IF(Data!C762="","",Data!C762*100/Parametrar!B5)</f>
        <v>91.823007651917294</v>
      </c>
    </row>
    <row r="763" spans="1:3" x14ac:dyDescent="0.35">
      <c r="A763" s="1">
        <f>Data!A763</f>
        <v>40330</v>
      </c>
      <c r="B763" s="2">
        <f>IF(Data!B763="","",Data!B763*100/Parametrar!B4)</f>
        <v>88.608891119079971</v>
      </c>
      <c r="C763" s="2">
        <f>IF(Data!C763="","",Data!C763*100/Parametrar!B5)</f>
        <v>91.992807666067307</v>
      </c>
    </row>
    <row r="764" spans="1:3" x14ac:dyDescent="0.35">
      <c r="A764" s="1">
        <f>Data!A764</f>
        <v>40360</v>
      </c>
      <c r="B764" s="2">
        <f>IF(Data!B764="","",Data!B764*100/Parametrar!B4)</f>
        <v>88.774523602628904</v>
      </c>
      <c r="C764" s="2">
        <f>IF(Data!C764="","",Data!C764*100/Parametrar!B5)</f>
        <v>92.342107695175642</v>
      </c>
    </row>
    <row r="765" spans="1:3" x14ac:dyDescent="0.35">
      <c r="A765" s="1">
        <f>Data!A765</f>
        <v>40391</v>
      </c>
      <c r="B765" s="2">
        <f>IF(Data!B765="","",Data!B765*100/Parametrar!B4)</f>
        <v>88.904255449349492</v>
      </c>
      <c r="C765" s="2">
        <f>IF(Data!C765="","",Data!C765*100/Parametrar!B5)</f>
        <v>92.680507723375626</v>
      </c>
    </row>
    <row r="766" spans="1:3" x14ac:dyDescent="0.35">
      <c r="A766" s="1">
        <f>Data!A766</f>
        <v>40422</v>
      </c>
      <c r="B766" s="2">
        <f>IF(Data!B766="","",Data!B766*100/Parametrar!B4)</f>
        <v>89.04785799666287</v>
      </c>
      <c r="C766" s="2">
        <f>IF(Data!C766="","",Data!C766*100/Parametrar!B5)</f>
        <v>92.9537077461423</v>
      </c>
    </row>
    <row r="767" spans="1:3" x14ac:dyDescent="0.35">
      <c r="A767" s="1">
        <f>Data!A767</f>
        <v>40452</v>
      </c>
      <c r="B767" s="2">
        <f>IF(Data!B767="","",Data!B767*100/Parametrar!B4)</f>
        <v>89.357908951089456</v>
      </c>
      <c r="C767" s="2">
        <f>IF(Data!C767="","",Data!C767*100/Parametrar!B5)</f>
        <v>92.690307724192294</v>
      </c>
    </row>
    <row r="768" spans="1:3" x14ac:dyDescent="0.35">
      <c r="A768" s="1">
        <f>Data!A768</f>
        <v>40483</v>
      </c>
      <c r="B768" s="2">
        <f>IF(Data!B768="","",Data!B768*100/Parametrar!B4)</f>
        <v>89.584327740177301</v>
      </c>
      <c r="C768" s="2">
        <f>IF(Data!C768="","",Data!C768*100/Parametrar!B5)</f>
        <v>92.770907730908974</v>
      </c>
    </row>
    <row r="769" spans="1:3" x14ac:dyDescent="0.35">
      <c r="A769" s="1">
        <f>Data!A769</f>
        <v>40513</v>
      </c>
      <c r="B769" s="2">
        <f>IF(Data!B769="","",Data!B769*100/Parametrar!B4)</f>
        <v>89.944150032024993</v>
      </c>
      <c r="C769" s="2">
        <f>IF(Data!C769="","",Data!C769*100/Parametrar!B5)</f>
        <v>93.67870780655899</v>
      </c>
    </row>
    <row r="770" spans="1:3" x14ac:dyDescent="0.35">
      <c r="A770" s="1">
        <f>Data!A770</f>
        <v>40544</v>
      </c>
      <c r="B770" s="2">
        <f>IF(Data!B770="","",Data!B770*100/Parametrar!B4)</f>
        <v>90.235842706255283</v>
      </c>
      <c r="C770" s="2">
        <f>IF(Data!C770="","",Data!C770*100/Parametrar!B5)</f>
        <v>93.481407790117302</v>
      </c>
    </row>
    <row r="771" spans="1:3" x14ac:dyDescent="0.35">
      <c r="A771" s="1">
        <f>Data!A771</f>
        <v>40575</v>
      </c>
      <c r="B771" s="2">
        <f>IF(Data!B771="","",Data!B771*100/Parametrar!B4)</f>
        <v>90.525903533356995</v>
      </c>
      <c r="C771" s="2">
        <f>IF(Data!C771="","",Data!C771*100/Parametrar!B5)</f>
        <v>93.110207759183979</v>
      </c>
    </row>
    <row r="772" spans="1:3" x14ac:dyDescent="0.35">
      <c r="A772" s="1">
        <f>Data!A772</f>
        <v>40603</v>
      </c>
      <c r="B772" s="2">
        <f>IF(Data!B772="","",Data!B772*100/Parametrar!B4)</f>
        <v>90.994243659253996</v>
      </c>
      <c r="C772" s="2">
        <f>IF(Data!C772="","",Data!C772*100/Parametrar!B5)</f>
        <v>94.078807839900662</v>
      </c>
    </row>
    <row r="773" spans="1:3" x14ac:dyDescent="0.35">
      <c r="A773" s="1">
        <f>Data!A773</f>
        <v>40634</v>
      </c>
      <c r="B773" s="2">
        <f>IF(Data!B773="","",Data!B773*100/Parametrar!B4)</f>
        <v>91.421379645154829</v>
      </c>
      <c r="C773" s="2">
        <f>IF(Data!C773="","",Data!C773*100/Parametrar!B5)</f>
        <v>93.774907814575641</v>
      </c>
    </row>
    <row r="774" spans="1:3" x14ac:dyDescent="0.35">
      <c r="A774" s="1">
        <f>Data!A774</f>
        <v>40664</v>
      </c>
      <c r="B774" s="2">
        <f>IF(Data!B774="","",Data!B774*100/Parametrar!B4)</f>
        <v>91.712256395820845</v>
      </c>
      <c r="C774" s="2">
        <f>IF(Data!C774="","",Data!C774*100/Parametrar!B5)</f>
        <v>93.888007824000653</v>
      </c>
    </row>
    <row r="775" spans="1:3" x14ac:dyDescent="0.35">
      <c r="A775" s="1">
        <f>Data!A775</f>
        <v>40695</v>
      </c>
      <c r="B775" s="2">
        <f>IF(Data!B775="","",Data!B775*100/Parametrar!B4)</f>
        <v>91.712256395820845</v>
      </c>
      <c r="C775" s="2">
        <f>IF(Data!C775="","",Data!C775*100/Parametrar!B5)</f>
        <v>94.172007847667302</v>
      </c>
    </row>
    <row r="776" spans="1:3" x14ac:dyDescent="0.35">
      <c r="A776" s="1">
        <f>Data!A776</f>
        <v>40725</v>
      </c>
      <c r="B776" s="2">
        <f>IF(Data!B776="","",Data!B776*100/Parametrar!B4)</f>
        <v>91.952545885501436</v>
      </c>
      <c r="C776" s="2">
        <f>IF(Data!C776="","",Data!C776*100/Parametrar!B5)</f>
        <v>94.636007886333985</v>
      </c>
    </row>
    <row r="777" spans="1:3" x14ac:dyDescent="0.35">
      <c r="A777" s="1">
        <f>Data!A777</f>
        <v>40756</v>
      </c>
      <c r="B777" s="2">
        <f>IF(Data!B777="","",Data!B777*100/Parametrar!B4)</f>
        <v>92.242606712603148</v>
      </c>
      <c r="C777" s="2">
        <f>IF(Data!C777="","",Data!C777*100/Parametrar!B5)</f>
        <v>95.274907939575655</v>
      </c>
    </row>
    <row r="778" spans="1:3" x14ac:dyDescent="0.35">
      <c r="A778" s="1">
        <f>Data!A778</f>
        <v>40787</v>
      </c>
      <c r="B778" s="2">
        <f>IF(Data!B778="","",Data!B778*100/Parametrar!B4)</f>
        <v>92.44291594763402</v>
      </c>
      <c r="C778" s="2">
        <f>IF(Data!C778="","",Data!C778*100/Parametrar!B5)</f>
        <v>95.196107933008989</v>
      </c>
    </row>
    <row r="779" spans="1:3" x14ac:dyDescent="0.35">
      <c r="A779" s="1">
        <f>Data!A779</f>
        <v>40817</v>
      </c>
      <c r="B779" s="2">
        <f>IF(Data!B779="","",Data!B779*100/Parametrar!B4)</f>
        <v>92.505334100301482</v>
      </c>
      <c r="C779" s="2">
        <f>IF(Data!C779="","",Data!C779*100/Parametrar!B5)</f>
        <v>95.856807988067331</v>
      </c>
    </row>
    <row r="780" spans="1:3" x14ac:dyDescent="0.35">
      <c r="A780" s="1">
        <f>Data!A780</f>
        <v>40848</v>
      </c>
      <c r="B780" s="2">
        <f>IF(Data!B780="","",Data!B780*100/Parametrar!B4)</f>
        <v>92.676270087018253</v>
      </c>
      <c r="C780" s="2">
        <f>IF(Data!C780="","",Data!C780*100/Parametrar!B5)</f>
        <v>95.848507987375669</v>
      </c>
    </row>
    <row r="781" spans="1:3" x14ac:dyDescent="0.35">
      <c r="A781" s="1">
        <f>Data!A781</f>
        <v>40878</v>
      </c>
      <c r="B781" s="2">
        <f>IF(Data!B781="","",Data!B781*100/Parametrar!B4)</f>
        <v>92.698300023253836</v>
      </c>
      <c r="C781" s="2">
        <f>IF(Data!C781="","",Data!C781*100/Parametrar!B5)</f>
        <v>96.357108029759004</v>
      </c>
    </row>
    <row r="782" spans="1:3" x14ac:dyDescent="0.35">
      <c r="A782" s="1">
        <f>Data!A782</f>
        <v>40909</v>
      </c>
      <c r="B782" s="2">
        <f>IF(Data!B782="","",Data!B782*100/Parametrar!B4)</f>
        <v>92.950828366398639</v>
      </c>
      <c r="C782" s="2">
        <f>IF(Data!C782="","",Data!C782*100/Parametrar!B5)</f>
        <v>96.931808077650672</v>
      </c>
    </row>
    <row r="783" spans="1:3" x14ac:dyDescent="0.35">
      <c r="A783" s="1">
        <f>Data!A783</f>
        <v>40940</v>
      </c>
      <c r="B783" s="2">
        <f>IF(Data!B783="","",Data!B783*100/Parametrar!B4)</f>
        <v>93.149505754300932</v>
      </c>
      <c r="C783" s="2">
        <f>IF(Data!C783="","",Data!C783*100/Parametrar!B5)</f>
        <v>97.243508103625672</v>
      </c>
    </row>
    <row r="784" spans="1:3" x14ac:dyDescent="0.35">
      <c r="A784" s="1">
        <f>Data!A784</f>
        <v>40969</v>
      </c>
      <c r="B784" s="2">
        <f>IF(Data!B784="","",Data!B784*100/Parametrar!B4)</f>
        <v>93.344511486163967</v>
      </c>
      <c r="C784" s="2">
        <f>IF(Data!C784="","",Data!C784*100/Parametrar!B5)</f>
        <v>96.740008061667325</v>
      </c>
    </row>
    <row r="785" spans="1:3" x14ac:dyDescent="0.35">
      <c r="A785" s="1">
        <f>Data!A785</f>
        <v>41000</v>
      </c>
      <c r="B785" s="2">
        <f>IF(Data!B785="","",Data!B785*100/Parametrar!B4)</f>
        <v>93.499536963377267</v>
      </c>
      <c r="C785" s="2">
        <f>IF(Data!C785="","",Data!C785*100/Parametrar!B5)</f>
        <v>97.435908119659004</v>
      </c>
    </row>
    <row r="786" spans="1:3" x14ac:dyDescent="0.35">
      <c r="A786" s="1">
        <f>Data!A786</f>
        <v>41030</v>
      </c>
      <c r="B786" s="2">
        <f>IF(Data!B786="","",Data!B786*100/Parametrar!B4)</f>
        <v>93.306163078642783</v>
      </c>
      <c r="C786" s="2">
        <f>IF(Data!C786="","",Data!C786*100/Parametrar!B5)</f>
        <v>97.660908138409013</v>
      </c>
    </row>
    <row r="787" spans="1:3" x14ac:dyDescent="0.35">
      <c r="A787" s="1">
        <f>Data!A787</f>
        <v>41061</v>
      </c>
      <c r="B787" s="2">
        <f>IF(Data!B787="","",Data!B787*100/Parametrar!B4)</f>
        <v>93.229058301818284</v>
      </c>
      <c r="C787" s="2">
        <f>IF(Data!C787="","",Data!C787*100/Parametrar!B5)</f>
        <v>97.666308138859009</v>
      </c>
    </row>
    <row r="788" spans="1:3" x14ac:dyDescent="0.35">
      <c r="A788" s="1">
        <f>Data!A788</f>
        <v>41091</v>
      </c>
      <c r="B788" s="2">
        <f>IF(Data!B788="","",Data!B788*100/Parametrar!B4)</f>
        <v>93.255983779439532</v>
      </c>
      <c r="C788" s="2">
        <f>IF(Data!C788="","",Data!C788*100/Parametrar!B5)</f>
        <v>97.871308155942344</v>
      </c>
    </row>
    <row r="789" spans="1:3" x14ac:dyDescent="0.35">
      <c r="A789" s="1">
        <f>Data!A789</f>
        <v>41122</v>
      </c>
      <c r="B789" s="2">
        <f>IF(Data!B789="","",Data!B789*100/Parametrar!B4)</f>
        <v>93.797757026121786</v>
      </c>
      <c r="C789" s="2">
        <f>IF(Data!C789="","",Data!C789*100/Parametrar!B5)</f>
        <v>97.452508121042342</v>
      </c>
    </row>
    <row r="790" spans="1:3" x14ac:dyDescent="0.35">
      <c r="A790" s="1">
        <f>Data!A790</f>
        <v>41153</v>
      </c>
      <c r="B790" s="2">
        <f>IF(Data!B790="","",Data!B790*100/Parametrar!B4)</f>
        <v>94.245291101129638</v>
      </c>
      <c r="C790" s="2">
        <f>IF(Data!C790="","",Data!C790*100/Parametrar!B5)</f>
        <v>97.381008115084001</v>
      </c>
    </row>
    <row r="791" spans="1:3" x14ac:dyDescent="0.35">
      <c r="A791" s="1">
        <f>Data!A791</f>
        <v>41183</v>
      </c>
      <c r="B791" s="2">
        <f>IF(Data!B791="","",Data!B791*100/Parametrar!B4)</f>
        <v>94.49945129140302</v>
      </c>
      <c r="C791" s="2">
        <f>IF(Data!C791="","",Data!C791*100/Parametrar!B5)</f>
        <v>97.719308143275668</v>
      </c>
    </row>
    <row r="792" spans="1:3" x14ac:dyDescent="0.35">
      <c r="A792" s="1">
        <f>Data!A792</f>
        <v>41214</v>
      </c>
      <c r="B792" s="2">
        <f>IF(Data!B792="","",Data!B792*100/Parametrar!B4)</f>
        <v>94.340754158150446</v>
      </c>
      <c r="C792" s="2">
        <f>IF(Data!C792="","",Data!C792*100/Parametrar!B5)</f>
        <v>98.077708173142327</v>
      </c>
    </row>
    <row r="793" spans="1:3" x14ac:dyDescent="0.35">
      <c r="A793" s="1">
        <f>Data!A793</f>
        <v>41244</v>
      </c>
      <c r="B793" s="2">
        <f>IF(Data!B793="","",Data!B793*100/Parametrar!B4)</f>
        <v>94.329331228250524</v>
      </c>
      <c r="C793" s="2">
        <f>IF(Data!C793="","",Data!C793*100/Parametrar!B5)</f>
        <v>98.310108192509006</v>
      </c>
    </row>
    <row r="794" spans="1:3" x14ac:dyDescent="0.35">
      <c r="A794" s="1">
        <f>Data!A794</f>
        <v>41275</v>
      </c>
      <c r="B794" s="2">
        <f>IF(Data!B794="","",Data!B794*100/Parametrar!B4)</f>
        <v>94.516177724470779</v>
      </c>
      <c r="C794" s="2">
        <f>IF(Data!C794="","",Data!C794*100/Parametrar!B5)</f>
        <v>98.334208194517345</v>
      </c>
    </row>
    <row r="795" spans="1:3" x14ac:dyDescent="0.35">
      <c r="A795" s="1">
        <f>Data!A795</f>
        <v>41306</v>
      </c>
      <c r="B795" s="2">
        <f>IF(Data!B795="","",Data!B795*100/Parametrar!B4)</f>
        <v>95.029393646403207</v>
      </c>
      <c r="C795" s="2">
        <f>IF(Data!C795="","",Data!C795*100/Parametrar!B5)</f>
        <v>98.794108232842348</v>
      </c>
    </row>
    <row r="796" spans="1:3" x14ac:dyDescent="0.35">
      <c r="A796" s="1">
        <f>Data!A796</f>
        <v>41334</v>
      </c>
      <c r="B796" s="2">
        <f>IF(Data!B796="","",Data!B796*100/Parametrar!B4)</f>
        <v>94.762178679101339</v>
      </c>
      <c r="C796" s="2">
        <f>IF(Data!C796="","",Data!C796*100/Parametrar!B5)</f>
        <v>99.192108266009001</v>
      </c>
    </row>
    <row r="797" spans="1:3" x14ac:dyDescent="0.35">
      <c r="A797" s="1">
        <f>Data!A797</f>
        <v>41365</v>
      </c>
      <c r="B797" s="2">
        <f>IF(Data!B797="","",Data!B797*100/Parametrar!B4)</f>
        <v>94.564317214763321</v>
      </c>
      <c r="C797" s="2">
        <f>IF(Data!C797="","",Data!C797*100/Parametrar!B5)</f>
        <v>99.106508258875678</v>
      </c>
    </row>
    <row r="798" spans="1:3" x14ac:dyDescent="0.35">
      <c r="A798" s="1">
        <f>Data!A798</f>
        <v>41395</v>
      </c>
      <c r="B798" s="2">
        <f>IF(Data!B798="","",Data!B798*100/Parametrar!B4)</f>
        <v>94.60348154584878</v>
      </c>
      <c r="C798" s="2">
        <f>IF(Data!C798="","",Data!C798*100/Parametrar!B5)</f>
        <v>99.18390826532567</v>
      </c>
    </row>
    <row r="799" spans="1:3" x14ac:dyDescent="0.35">
      <c r="A799" s="1">
        <f>Data!A799</f>
        <v>41426</v>
      </c>
      <c r="B799" s="2">
        <f>IF(Data!B799="","",Data!B799*100/Parametrar!B4)</f>
        <v>94.828676449590205</v>
      </c>
      <c r="C799" s="2">
        <f>IF(Data!C799="","",Data!C799*100/Parametrar!B5)</f>
        <v>99.389708282475695</v>
      </c>
    </row>
    <row r="800" spans="1:3" x14ac:dyDescent="0.35">
      <c r="A800" s="1">
        <f>Data!A800</f>
        <v>41456</v>
      </c>
      <c r="B800" s="2">
        <f>IF(Data!B800="","",Data!B800*100/Parametrar!B4)</f>
        <v>95.014299060464012</v>
      </c>
      <c r="C800" s="2">
        <f>IF(Data!C800="","",Data!C800*100/Parametrar!B5)</f>
        <v>99.081408256784002</v>
      </c>
    </row>
    <row r="801" spans="1:3" x14ac:dyDescent="0.35">
      <c r="A801" s="1">
        <f>Data!A801</f>
        <v>41487</v>
      </c>
      <c r="B801" s="2">
        <f>IF(Data!B801="","",Data!B801*100/Parametrar!B4)</f>
        <v>95.241125811333987</v>
      </c>
      <c r="C801" s="2">
        <f>IF(Data!C801="","",Data!C801*100/Parametrar!B5)</f>
        <v>99.654308304525685</v>
      </c>
    </row>
    <row r="802" spans="1:3" x14ac:dyDescent="0.35">
      <c r="A802" s="1">
        <f>Data!A802</f>
        <v>41518</v>
      </c>
      <c r="B802" s="2">
        <f>IF(Data!B802="","",Data!B802*100/Parametrar!B4)</f>
        <v>95.277026448162331</v>
      </c>
      <c r="C802" s="2">
        <f>IF(Data!C802="","",Data!C802*100/Parametrar!B5)</f>
        <v>100.16100834675069</v>
      </c>
    </row>
    <row r="803" spans="1:3" x14ac:dyDescent="0.35">
      <c r="A803" s="1">
        <f>Data!A803</f>
        <v>41548</v>
      </c>
      <c r="B803" s="2">
        <f>IF(Data!B803="","",Data!B803*100/Parametrar!B4)</f>
        <v>95.328021670929871</v>
      </c>
      <c r="C803" s="2">
        <f>IF(Data!C803="","",Data!C803*100/Parametrar!B5)</f>
        <v>100.08200834016735</v>
      </c>
    </row>
    <row r="804" spans="1:3" x14ac:dyDescent="0.35">
      <c r="A804" s="1">
        <f>Data!A804</f>
        <v>41579</v>
      </c>
      <c r="B804" s="2">
        <f>IF(Data!B804="","",Data!B804*100/Parametrar!B4)</f>
        <v>95.503853199032307</v>
      </c>
      <c r="C804" s="2">
        <f>IF(Data!C804="","",Data!C804*100/Parametrar!B5)</f>
        <v>100.31580835965069</v>
      </c>
    </row>
    <row r="805" spans="1:3" x14ac:dyDescent="0.35">
      <c r="A805" s="1">
        <f>Data!A805</f>
        <v>41609</v>
      </c>
      <c r="B805" s="2">
        <f>IF(Data!B805="","",Data!B805*100/Parametrar!B4)</f>
        <v>95.75638154217711</v>
      </c>
      <c r="C805" s="2">
        <f>IF(Data!C805="","",Data!C805*100/Parametrar!B5)</f>
        <v>100.51750837645902</v>
      </c>
    </row>
    <row r="806" spans="1:3" x14ac:dyDescent="0.35">
      <c r="A806" s="1">
        <f>Data!A806</f>
        <v>41640</v>
      </c>
      <c r="B806" s="2">
        <f>IF(Data!B806="","",Data!B806*100/Parametrar!B4)</f>
        <v>95.988511796214937</v>
      </c>
      <c r="C806" s="2">
        <f>IF(Data!C806="","",Data!C806*100/Parametrar!B5)</f>
        <v>100.15990834665902</v>
      </c>
    </row>
    <row r="807" spans="1:3" x14ac:dyDescent="0.35">
      <c r="A807" s="1">
        <f>Data!A807</f>
        <v>41671</v>
      </c>
      <c r="B807" s="2">
        <f>IF(Data!B807="","",Data!B807*100/Parametrar!B4)</f>
        <v>96.094173897789261</v>
      </c>
      <c r="C807" s="2">
        <f>IF(Data!C807="","",Data!C807*100/Parametrar!B5)</f>
        <v>100.91680840973403</v>
      </c>
    </row>
    <row r="808" spans="1:3" x14ac:dyDescent="0.35">
      <c r="A808" s="1">
        <f>Data!A808</f>
        <v>41699</v>
      </c>
      <c r="B808" s="2">
        <f>IF(Data!B808="","",Data!B808*100/Parametrar!B4)</f>
        <v>96.290403514998715</v>
      </c>
      <c r="C808" s="2">
        <f>IF(Data!C808="","",Data!C808*100/Parametrar!B5)</f>
        <v>101.89420849118403</v>
      </c>
    </row>
    <row r="809" spans="1:3" x14ac:dyDescent="0.35">
      <c r="A809" s="1">
        <f>Data!A809</f>
        <v>41730</v>
      </c>
      <c r="B809" s="2">
        <f>IF(Data!B809="","",Data!B809*100/Parametrar!B4)</f>
        <v>96.469906699140424</v>
      </c>
      <c r="C809" s="2">
        <f>IF(Data!C809="","",Data!C809*100/Parametrar!B5)</f>
        <v>101.99280849940071</v>
      </c>
    </row>
    <row r="810" spans="1:3" x14ac:dyDescent="0.35">
      <c r="A810" s="1">
        <f>Data!A810</f>
        <v>41760</v>
      </c>
      <c r="B810" s="2">
        <f>IF(Data!B810="","",Data!B810*100/Parametrar!B4)</f>
        <v>96.653489501103536</v>
      </c>
      <c r="C810" s="2">
        <f>IF(Data!C810="","",Data!C810*100/Parametrar!B5)</f>
        <v>102.38360853196738</v>
      </c>
    </row>
    <row r="811" spans="1:3" x14ac:dyDescent="0.35">
      <c r="A811" s="1">
        <f>Data!A811</f>
        <v>41791</v>
      </c>
      <c r="B811" s="2">
        <f>IF(Data!B811="","",Data!B811*100/Parametrar!B4)</f>
        <v>96.78118153891343</v>
      </c>
      <c r="C811" s="2">
        <f>IF(Data!C811="","",Data!C811*100/Parametrar!B5)</f>
        <v>102.73500856125071</v>
      </c>
    </row>
    <row r="812" spans="1:3" x14ac:dyDescent="0.35">
      <c r="A812" s="1">
        <f>Data!A812</f>
        <v>41821</v>
      </c>
      <c r="B812" s="2">
        <f>IF(Data!B812="","",Data!B812*100/Parametrar!B4)</f>
        <v>96.890107334744869</v>
      </c>
      <c r="C812" s="2">
        <f>IF(Data!C812="","",Data!C812*100/Parametrar!B5)</f>
        <v>102.96320858026738</v>
      </c>
    </row>
    <row r="813" spans="1:3" x14ac:dyDescent="0.35">
      <c r="A813" s="1">
        <f>Data!A813</f>
        <v>41852</v>
      </c>
      <c r="B813" s="2">
        <f>IF(Data!B813="","",Data!B813*100/Parametrar!B4)</f>
        <v>96.874604787023543</v>
      </c>
      <c r="C813" s="2">
        <f>IF(Data!C813="","",Data!C813*100/Parametrar!B5)</f>
        <v>102.76880856406737</v>
      </c>
    </row>
    <row r="814" spans="1:3" x14ac:dyDescent="0.35">
      <c r="A814" s="1">
        <f>Data!A814</f>
        <v>41883</v>
      </c>
      <c r="B814" s="2">
        <f>IF(Data!B814="","",Data!B814*100/Parametrar!B4)</f>
        <v>96.881540137319931</v>
      </c>
      <c r="C814" s="2">
        <f>IF(Data!C814="","",Data!C814*100/Parametrar!B5)</f>
        <v>103.06410858867571</v>
      </c>
    </row>
    <row r="815" spans="1:3" x14ac:dyDescent="0.35">
      <c r="A815" s="1">
        <f>Data!A815</f>
        <v>41913</v>
      </c>
      <c r="B815" s="2">
        <f>IF(Data!B815="","",Data!B815*100/Parametrar!B4)</f>
        <v>96.862365933559346</v>
      </c>
      <c r="C815" s="2">
        <f>IF(Data!C815="","",Data!C815*100/Parametrar!B5)</f>
        <v>103.07640858970072</v>
      </c>
    </row>
    <row r="816" spans="1:3" x14ac:dyDescent="0.35">
      <c r="A816" s="1">
        <f>Data!A816</f>
        <v>41944</v>
      </c>
      <c r="B816" s="2">
        <f>IF(Data!B816="","",Data!B816*100/Parametrar!B4)</f>
        <v>96.680007016942639</v>
      </c>
      <c r="C816" s="2">
        <f>IF(Data!C816="","",Data!C816*100/Parametrar!B5)</f>
        <v>103.71260864271738</v>
      </c>
    </row>
    <row r="817" spans="1:3" x14ac:dyDescent="0.35">
      <c r="A817" s="1">
        <f>Data!A817</f>
        <v>41974</v>
      </c>
      <c r="B817" s="2">
        <f>IF(Data!B817="","",Data!B817*100/Parametrar!B4)</f>
        <v>96.381786954198134</v>
      </c>
      <c r="C817" s="2">
        <f>IF(Data!C817="","",Data!C817*100/Parametrar!B5)</f>
        <v>103.70440864203405</v>
      </c>
    </row>
    <row r="818" spans="1:3" x14ac:dyDescent="0.35">
      <c r="A818" s="1">
        <f>Data!A818</f>
        <v>42005</v>
      </c>
      <c r="B818" s="2">
        <f>IF(Data!B818="","",Data!B818*100/Parametrar!B4)</f>
        <v>95.76780447207706</v>
      </c>
      <c r="C818" s="2">
        <f>IF(Data!C818="","",Data!C818*100/Parametrar!B5)</f>
        <v>102.89050857420905</v>
      </c>
    </row>
    <row r="819" spans="1:3" x14ac:dyDescent="0.35">
      <c r="A819" s="1">
        <f>Data!A819</f>
        <v>42036</v>
      </c>
      <c r="B819" s="2">
        <f>IF(Data!B819="","",Data!B819*100/Parametrar!B4)</f>
        <v>96.010541732450505</v>
      </c>
      <c r="C819" s="2">
        <f>IF(Data!C819="","",Data!C819*100/Parametrar!B5)</f>
        <v>102.23350851945904</v>
      </c>
    </row>
    <row r="820" spans="1:3" x14ac:dyDescent="0.35">
      <c r="A820" s="1">
        <f>Data!A820</f>
        <v>42064</v>
      </c>
      <c r="B820" s="2">
        <f>IF(Data!B820="","",Data!B820*100/Parametrar!B4)</f>
        <v>96.269189502327407</v>
      </c>
      <c r="C820" s="2">
        <f>IF(Data!C820="","",Data!C820*100/Parametrar!B5)</f>
        <v>101.89140849095071</v>
      </c>
    </row>
    <row r="821" spans="1:3" x14ac:dyDescent="0.35">
      <c r="A821" s="1">
        <f>Data!A821</f>
        <v>42095</v>
      </c>
      <c r="B821" s="2">
        <f>IF(Data!B821="","",Data!B821*100/Parametrar!B4)</f>
        <v>96.369548100733923</v>
      </c>
      <c r="C821" s="2">
        <f>IF(Data!C821="","",Data!C821*100/Parametrar!B5)</f>
        <v>101.33550844462569</v>
      </c>
    </row>
    <row r="822" spans="1:3" x14ac:dyDescent="0.35">
      <c r="A822" s="1">
        <f>Data!A822</f>
        <v>42125</v>
      </c>
      <c r="B822" s="2">
        <f>IF(Data!B822="","",Data!B822*100/Parametrar!B4)</f>
        <v>96.687350329021186</v>
      </c>
      <c r="C822" s="2">
        <f>IF(Data!C822="","",Data!C822*100/Parametrar!B5)</f>
        <v>100.88830840735902</v>
      </c>
    </row>
    <row r="823" spans="1:3" x14ac:dyDescent="0.35">
      <c r="A823" s="1">
        <f>Data!A823</f>
        <v>42156</v>
      </c>
      <c r="B823" s="2">
        <f>IF(Data!B823="","",Data!B823*100/Parametrar!B4)</f>
        <v>96.954973258105184</v>
      </c>
      <c r="C823" s="2">
        <f>IF(Data!C823="","",Data!C823*100/Parametrar!B5)</f>
        <v>100.57100838091736</v>
      </c>
    </row>
    <row r="824" spans="1:3" x14ac:dyDescent="0.35">
      <c r="A824" s="1">
        <f>Data!A824</f>
        <v>42186</v>
      </c>
      <c r="B824" s="2">
        <f>IF(Data!B824="","",Data!B824*100/Parametrar!B4)</f>
        <v>97.108774849972036</v>
      </c>
      <c r="C824" s="2">
        <f>IF(Data!C824="","",Data!C824*100/Parametrar!B5)</f>
        <v>101.22280843523403</v>
      </c>
    </row>
    <row r="825" spans="1:3" x14ac:dyDescent="0.35">
      <c r="A825" s="1">
        <f>Data!A825</f>
        <v>42217</v>
      </c>
      <c r="B825" s="2">
        <f>IF(Data!B825="","",Data!B825*100/Parametrar!B4)</f>
        <v>97.108366888189906</v>
      </c>
      <c r="C825" s="2">
        <f>IF(Data!C825="","",Data!C825*100/Parametrar!B5)</f>
        <v>101.0367084197257</v>
      </c>
    </row>
    <row r="826" spans="1:3" x14ac:dyDescent="0.35">
      <c r="A826" s="1">
        <f>Data!A826</f>
        <v>42248</v>
      </c>
      <c r="B826" s="2">
        <f>IF(Data!B826="","",Data!B826*100/Parametrar!B4)</f>
        <v>96.890107334744869</v>
      </c>
      <c r="C826" s="2">
        <f>IF(Data!C826="","",Data!C826*100/Parametrar!B5)</f>
        <v>100.75470839622568</v>
      </c>
    </row>
    <row r="827" spans="1:3" x14ac:dyDescent="0.35">
      <c r="A827" s="1">
        <f>Data!A827</f>
        <v>42278</v>
      </c>
      <c r="B827" s="2">
        <f>IF(Data!B827="","",Data!B827*100/Parametrar!B4)</f>
        <v>96.985978353547836</v>
      </c>
      <c r="C827" s="2">
        <f>IF(Data!C827="","",Data!C827*100/Parametrar!B5)</f>
        <v>100.26750835562569</v>
      </c>
    </row>
    <row r="828" spans="1:3" x14ac:dyDescent="0.35">
      <c r="A828" s="1">
        <f>Data!A828</f>
        <v>42309</v>
      </c>
      <c r="B828" s="2">
        <f>IF(Data!B828="","",Data!B828*100/Parametrar!B4)</f>
        <v>97.101839499675663</v>
      </c>
      <c r="C828" s="2">
        <f>IF(Data!C828="","",Data!C828*100/Parametrar!B5)</f>
        <v>99.529808294150683</v>
      </c>
    </row>
    <row r="829" spans="1:3" x14ac:dyDescent="0.35">
      <c r="A829" s="1">
        <f>Data!A829</f>
        <v>42339</v>
      </c>
      <c r="B829" s="2">
        <f>IF(Data!B829="","",Data!B829*100/Parametrar!B4)</f>
        <v>96.997401283447758</v>
      </c>
      <c r="C829" s="2">
        <f>IF(Data!C829="","",Data!C829*100/Parametrar!B5)</f>
        <v>99.041708253475676</v>
      </c>
    </row>
    <row r="830" spans="1:3" x14ac:dyDescent="0.35">
      <c r="A830" s="1">
        <f>Data!A830</f>
        <v>42370</v>
      </c>
      <c r="B830" s="2">
        <f>IF(Data!B830="","",Data!B830*100/Parametrar!B4)</f>
        <v>96.952933449194461</v>
      </c>
      <c r="C830" s="2">
        <f>IF(Data!C830="","",Data!C830*100/Parametrar!B5)</f>
        <v>99.560708296725679</v>
      </c>
    </row>
    <row r="831" spans="1:3" x14ac:dyDescent="0.35">
      <c r="A831" s="1">
        <f>Data!A831</f>
        <v>42401</v>
      </c>
      <c r="B831" s="2">
        <f>IF(Data!B831="","",Data!B831*100/Parametrar!B4)</f>
        <v>96.824017526038162</v>
      </c>
      <c r="C831" s="2">
        <f>IF(Data!C831="","",Data!C831*100/Parametrar!B5)</f>
        <v>99.044508253709026</v>
      </c>
    </row>
    <row r="832" spans="1:3" x14ac:dyDescent="0.35">
      <c r="A832" s="1">
        <f>Data!A832</f>
        <v>42430</v>
      </c>
      <c r="B832" s="2">
        <f>IF(Data!B832="","",Data!B832*100/Parametrar!B4)</f>
        <v>97.127541091950505</v>
      </c>
      <c r="C832" s="2">
        <f>IF(Data!C832="","",Data!C832*100/Parametrar!B5)</f>
        <v>98.309608192467351</v>
      </c>
    </row>
    <row r="833" spans="1:3" x14ac:dyDescent="0.35">
      <c r="A833" s="1">
        <f>Data!A833</f>
        <v>42461</v>
      </c>
      <c r="B833" s="2">
        <f>IF(Data!B833="","",Data!B833*100/Parametrar!B4)</f>
        <v>97.499602237262408</v>
      </c>
      <c r="C833" s="2">
        <f>IF(Data!C833="","",Data!C833*100/Parametrar!B5)</f>
        <v>98.642108220175672</v>
      </c>
    </row>
    <row r="834" spans="1:3" x14ac:dyDescent="0.35">
      <c r="A834" s="1">
        <f>Data!A834</f>
        <v>42491</v>
      </c>
      <c r="B834" s="2">
        <f>IF(Data!B834="","",Data!B834*100/Parametrar!B4)</f>
        <v>97.730100644171642</v>
      </c>
      <c r="C834" s="2">
        <f>IF(Data!C834="","",Data!C834*100/Parametrar!B5)</f>
        <v>98.418408201534007</v>
      </c>
    </row>
    <row r="835" spans="1:3" x14ac:dyDescent="0.35">
      <c r="A835" s="1">
        <f>Data!A835</f>
        <v>42522</v>
      </c>
      <c r="B835" s="2">
        <f>IF(Data!B835="","",Data!B835*100/Parametrar!B4)</f>
        <v>98.001395229294914</v>
      </c>
      <c r="C835" s="2">
        <f>IF(Data!C835="","",Data!C835*100/Parametrar!B5)</f>
        <v>98.883308240275682</v>
      </c>
    </row>
    <row r="836" spans="1:3" x14ac:dyDescent="0.35">
      <c r="A836" s="1">
        <f>Data!A836</f>
        <v>42552</v>
      </c>
      <c r="B836" s="2">
        <f>IF(Data!B836="","",Data!B836*100/Parametrar!B4)</f>
        <v>97.952031853655939</v>
      </c>
      <c r="C836" s="2">
        <f>IF(Data!C836="","",Data!C836*100/Parametrar!B5)</f>
        <v>98.999208249934014</v>
      </c>
    </row>
    <row r="837" spans="1:3" x14ac:dyDescent="0.35">
      <c r="A837" s="1">
        <f>Data!A837</f>
        <v>42583</v>
      </c>
      <c r="B837" s="2">
        <f>IF(Data!B837="","",Data!B837*100/Parametrar!B4)</f>
        <v>98.133166884926212</v>
      </c>
      <c r="C837" s="2">
        <f>IF(Data!C837="","",Data!C837*100/Parametrar!B5)</f>
        <v>98.850008237500674</v>
      </c>
    </row>
    <row r="838" spans="1:3" x14ac:dyDescent="0.35">
      <c r="A838" s="1">
        <f>Data!A838</f>
        <v>42614</v>
      </c>
      <c r="B838" s="2">
        <f>IF(Data!B838="","",Data!B838*100/Parametrar!B4)</f>
        <v>98.390590769456708</v>
      </c>
      <c r="C838" s="2">
        <f>IF(Data!C838="","",Data!C838*100/Parametrar!B5)</f>
        <v>98.745708228809008</v>
      </c>
    </row>
    <row r="839" spans="1:3" x14ac:dyDescent="0.35">
      <c r="A839" s="1">
        <f>Data!A839</f>
        <v>42644</v>
      </c>
      <c r="B839" s="2">
        <f>IF(Data!B839="","",Data!B839*100/Parametrar!B4)</f>
        <v>98.62108917636597</v>
      </c>
      <c r="C839" s="2">
        <f>IF(Data!C839="","",Data!C839*100/Parametrar!B5)</f>
        <v>98.761108230092347</v>
      </c>
    </row>
    <row r="840" spans="1:3" x14ac:dyDescent="0.35">
      <c r="A840" s="1">
        <f>Data!A840</f>
        <v>42675</v>
      </c>
      <c r="B840" s="2">
        <f>IF(Data!B840="","",Data!B840*100/Parametrar!B4)</f>
        <v>98.737358284275928</v>
      </c>
      <c r="C840" s="2">
        <f>IF(Data!C840="","",Data!C840*100/Parametrar!B5)</f>
        <v>98.349108195759001</v>
      </c>
    </row>
    <row r="841" spans="1:3" x14ac:dyDescent="0.35">
      <c r="A841" s="1">
        <f>Data!A841</f>
        <v>42705</v>
      </c>
      <c r="B841" s="2">
        <f>IF(Data!B841="","",Data!B841*100/Parametrar!B4)</f>
        <v>98.986622933163616</v>
      </c>
      <c r="C841" s="2">
        <f>IF(Data!C841="","",Data!C841*100/Parametrar!B5)</f>
        <v>99.02140825178401</v>
      </c>
    </row>
    <row r="842" spans="1:3" x14ac:dyDescent="0.35">
      <c r="A842" s="1">
        <f>Data!A842</f>
        <v>42736</v>
      </c>
      <c r="B842" s="2">
        <f>IF(Data!B842="","",Data!B842*100/Parametrar!B4)</f>
        <v>99.386833441443201</v>
      </c>
      <c r="C842" s="2">
        <f>IF(Data!C842="","",Data!C842*100/Parametrar!B5)</f>
        <v>98.761108230092347</v>
      </c>
    </row>
    <row r="843" spans="1:3" x14ac:dyDescent="0.35">
      <c r="A843" s="1">
        <f>Data!A843</f>
        <v>42767</v>
      </c>
      <c r="B843" s="2">
        <f>IF(Data!B843="","",Data!B843*100/Parametrar!B4)</f>
        <v>99.545122612913616</v>
      </c>
      <c r="C843" s="2">
        <f>IF(Data!C843="","",Data!C843*100/Parametrar!B5)</f>
        <v>98.364608197050671</v>
      </c>
    </row>
    <row r="844" spans="1:3" x14ac:dyDescent="0.35">
      <c r="A844" s="1">
        <f>Data!A844</f>
        <v>42795</v>
      </c>
      <c r="B844" s="2">
        <f>IF(Data!B844="","",Data!B844*100/Parametrar!B4)</f>
        <v>99.498614969749639</v>
      </c>
      <c r="C844" s="2">
        <f>IF(Data!C844="","",Data!C844*100/Parametrar!B5)</f>
        <v>99.013708251142361</v>
      </c>
    </row>
    <row r="845" spans="1:3" x14ac:dyDescent="0.35">
      <c r="A845" s="1">
        <f>Data!A845</f>
        <v>42826</v>
      </c>
      <c r="B845" s="2">
        <f>IF(Data!B845="","",Data!B845*100/Parametrar!B4)</f>
        <v>99.621411466173853</v>
      </c>
      <c r="C845" s="2">
        <f>IF(Data!C845="","",Data!C845*100/Parametrar!B5)</f>
        <v>100.02240833520068</v>
      </c>
    </row>
    <row r="846" spans="1:3" x14ac:dyDescent="0.35">
      <c r="A846" s="1">
        <f>Data!A846</f>
        <v>42856</v>
      </c>
      <c r="B846" s="2">
        <f>IF(Data!B846="","",Data!B846*100/Parametrar!B4)</f>
        <v>99.544306689349327</v>
      </c>
      <c r="C846" s="2">
        <f>IF(Data!C846="","",Data!C846*100/Parametrar!B5)</f>
        <v>100.14080834506736</v>
      </c>
    </row>
    <row r="847" spans="1:3" x14ac:dyDescent="0.35">
      <c r="A847" s="1">
        <f>Data!A847</f>
        <v>42887</v>
      </c>
      <c r="B847" s="2">
        <f>IF(Data!B847="","",Data!B847*100/Parametrar!B4)</f>
        <v>99.609172612709656</v>
      </c>
      <c r="C847" s="2">
        <f>IF(Data!C847="","",Data!C847*100/Parametrar!B5)</f>
        <v>100.34710836225902</v>
      </c>
    </row>
    <row r="848" spans="1:3" x14ac:dyDescent="0.35">
      <c r="A848" s="1">
        <f>Data!A848</f>
        <v>42917</v>
      </c>
      <c r="B848" s="2">
        <f>IF(Data!B848="","",Data!B848*100/Parametrar!B4)</f>
        <v>99.641809555280858</v>
      </c>
      <c r="C848" s="2">
        <f>IF(Data!C848="","",Data!C848*100/Parametrar!B5)</f>
        <v>100.10680834223402</v>
      </c>
    </row>
    <row r="849" spans="1:3" x14ac:dyDescent="0.35">
      <c r="A849" s="1">
        <f>Data!A849</f>
        <v>42948</v>
      </c>
      <c r="B849" s="2">
        <f>IF(Data!B849="","",Data!B849*100/Parametrar!B4)</f>
        <v>100.02529363049268</v>
      </c>
      <c r="C849" s="2">
        <f>IF(Data!C849="","",Data!C849*100/Parametrar!B5)</f>
        <v>99.692508307709019</v>
      </c>
    </row>
    <row r="850" spans="1:3" x14ac:dyDescent="0.35">
      <c r="A850" s="1">
        <f>Data!A850</f>
        <v>42979</v>
      </c>
      <c r="B850" s="2">
        <f>IF(Data!B850="","",Data!B850*100/Parametrar!B4)</f>
        <v>100.53606178173229</v>
      </c>
      <c r="C850" s="2">
        <f>IF(Data!C850="","",Data!C850*100/Parametrar!B5)</f>
        <v>99.795408316284025</v>
      </c>
    </row>
    <row r="851" spans="1:3" x14ac:dyDescent="0.35">
      <c r="A851" s="1">
        <f>Data!A851</f>
        <v>43009</v>
      </c>
      <c r="B851" s="2">
        <f>IF(Data!B851="","",Data!B851*100/Parametrar!B4)</f>
        <v>100.61398248212107</v>
      </c>
      <c r="C851" s="2">
        <f>IF(Data!C851="","",Data!C851*100/Parametrar!B5)</f>
        <v>101.02470841872569</v>
      </c>
    </row>
    <row r="852" spans="1:3" x14ac:dyDescent="0.35">
      <c r="A852" s="1">
        <f>Data!A852</f>
        <v>43040</v>
      </c>
      <c r="B852" s="2">
        <f>IF(Data!B852="","",Data!B852*100/Parametrar!B4)</f>
        <v>100.88242133476935</v>
      </c>
      <c r="C852" s="2">
        <f>IF(Data!C852="","",Data!C852*100/Parametrar!B5)</f>
        <v>101.26640843886737</v>
      </c>
    </row>
    <row r="853" spans="1:3" x14ac:dyDescent="0.35">
      <c r="A853" s="1">
        <f>Data!A853</f>
        <v>43070</v>
      </c>
      <c r="B853" s="2">
        <f>IF(Data!B853="","",Data!B853*100/Parametrar!B4)</f>
        <v>101.09496942326443</v>
      </c>
      <c r="C853" s="2">
        <f>IF(Data!C853="","",Data!C853*100/Parametrar!B5)</f>
        <v>101.46440845536738</v>
      </c>
    </row>
    <row r="854" spans="1:3" x14ac:dyDescent="0.35">
      <c r="A854" s="1">
        <f>Data!A854</f>
        <v>43101</v>
      </c>
      <c r="B854" s="2">
        <f>IF(Data!B854="","",Data!B854*100/Parametrar!B4)</f>
        <v>101.52496114164025</v>
      </c>
      <c r="C854" s="2">
        <f>IF(Data!C854="","",Data!C854*100/Parametrar!B5)</f>
        <v>101.46250845520903</v>
      </c>
    </row>
    <row r="855" spans="1:3" x14ac:dyDescent="0.35">
      <c r="A855" s="1">
        <f>Data!A855</f>
        <v>43132</v>
      </c>
      <c r="B855" s="2">
        <f>IF(Data!B855="","",Data!B855*100/Parametrar!B4)</f>
        <v>101.79829553567421</v>
      </c>
      <c r="C855" s="2">
        <f>IF(Data!C855="","",Data!C855*100/Parametrar!B5)</f>
        <v>101.70850847570904</v>
      </c>
    </row>
    <row r="856" spans="1:3" x14ac:dyDescent="0.35">
      <c r="A856" s="1">
        <f>Data!A856</f>
        <v>43160</v>
      </c>
      <c r="B856" s="2">
        <f>IF(Data!B856="","",Data!B856*100/Parametrar!B4)</f>
        <v>101.81787770121694</v>
      </c>
      <c r="C856" s="2">
        <f>IF(Data!C856="","",Data!C856*100/Parametrar!B5)</f>
        <v>102.20670851722571</v>
      </c>
    </row>
    <row r="857" spans="1:3" x14ac:dyDescent="0.35">
      <c r="A857" s="1">
        <f>Data!A857</f>
        <v>43191</v>
      </c>
      <c r="B857" s="2">
        <f>IF(Data!B857="","",Data!B857*100/Parametrar!B4)</f>
        <v>102.08305285960812</v>
      </c>
      <c r="C857" s="2">
        <f>IF(Data!C857="","",Data!C857*100/Parametrar!B5)</f>
        <v>103.33290861107569</v>
      </c>
    </row>
    <row r="858" spans="1:3" x14ac:dyDescent="0.35">
      <c r="A858" s="1">
        <f>Data!A858</f>
        <v>43221</v>
      </c>
      <c r="B858" s="2">
        <f>IF(Data!B858="","",Data!B858*100/Parametrar!B4)</f>
        <v>102.31355126651735</v>
      </c>
      <c r="C858" s="2">
        <f>IF(Data!C858="","",Data!C858*100/Parametrar!B5)</f>
        <v>102.40240853353403</v>
      </c>
    </row>
    <row r="859" spans="1:3" x14ac:dyDescent="0.35">
      <c r="A859" s="1">
        <f>Data!A859</f>
        <v>43252</v>
      </c>
      <c r="B859" s="2">
        <f>IF(Data!B859="","",Data!B859*100/Parametrar!B4)</f>
        <v>102.40575062928104</v>
      </c>
      <c r="C859" s="2">
        <f>IF(Data!C859="","",Data!C859*100/Parametrar!B5)</f>
        <v>103.19800859983404</v>
      </c>
    </row>
    <row r="860" spans="1:3" x14ac:dyDescent="0.35">
      <c r="A860" s="1">
        <f>Data!A860</f>
        <v>43282</v>
      </c>
      <c r="B860" s="2">
        <f>IF(Data!B860="","",Data!B860*100/Parametrar!B4)</f>
        <v>102.48571113858054</v>
      </c>
      <c r="C860" s="2">
        <f>IF(Data!C860="","",Data!C860*100/Parametrar!B5)</f>
        <v>103.36460861371737</v>
      </c>
    </row>
    <row r="861" spans="1:3" x14ac:dyDescent="0.35">
      <c r="A861" s="1">
        <f>Data!A861</f>
        <v>43313</v>
      </c>
      <c r="B861" s="2">
        <f>IF(Data!B861="","",Data!B861*100/Parametrar!B4)</f>
        <v>102.66888597876152</v>
      </c>
      <c r="C861" s="2">
        <f>IF(Data!C861="","",Data!C861*100/Parametrar!B5)</f>
        <v>104.03270866939239</v>
      </c>
    </row>
    <row r="862" spans="1:3" x14ac:dyDescent="0.35">
      <c r="A862" s="1">
        <f>Data!A862</f>
        <v>43344</v>
      </c>
      <c r="B862" s="2">
        <f>IF(Data!B862="","",Data!B862*100/Parametrar!B4)</f>
        <v>102.88061814369229</v>
      </c>
      <c r="C862" s="2">
        <f>IF(Data!C862="","",Data!C862*100/Parametrar!B5)</f>
        <v>104.10040867503405</v>
      </c>
    </row>
    <row r="863" spans="1:3" x14ac:dyDescent="0.35">
      <c r="A863" s="1">
        <f>Data!A863</f>
        <v>43374</v>
      </c>
      <c r="B863" s="2">
        <f>IF(Data!B863="","",Data!B863*100/Parametrar!B4)</f>
        <v>103.12131559515504</v>
      </c>
      <c r="C863" s="2">
        <f>IF(Data!C863="","",Data!C863*100/Parametrar!B5)</f>
        <v>103.9856086654674</v>
      </c>
    </row>
    <row r="864" spans="1:3" x14ac:dyDescent="0.35">
      <c r="A864" s="1">
        <f>Data!A864</f>
        <v>43405</v>
      </c>
      <c r="B864" s="2">
        <f>IF(Data!B864="","",Data!B864*100/Parametrar!B4)</f>
        <v>103.04869839793407</v>
      </c>
      <c r="C864" s="2">
        <f>IF(Data!C864="","",Data!C864*100/Parametrar!B5)</f>
        <v>104.06810867234238</v>
      </c>
    </row>
    <row r="865" spans="1:3" x14ac:dyDescent="0.35">
      <c r="A865" s="1">
        <f>Data!A865</f>
        <v>43435</v>
      </c>
      <c r="B865" s="2">
        <f>IF(Data!B865="","",Data!B865*100/Parametrar!B4)</f>
        <v>103.11927578624434</v>
      </c>
      <c r="C865" s="2">
        <f>IF(Data!C865="","",Data!C865*100/Parametrar!B5)</f>
        <v>104.09360867446738</v>
      </c>
    </row>
    <row r="866" spans="1:3" x14ac:dyDescent="0.35">
      <c r="A866" s="1">
        <f>Data!A866</f>
        <v>43466</v>
      </c>
      <c r="B866" s="2">
        <f>IF(Data!B866="","",Data!B866*100/Parametrar!B4)</f>
        <v>103.03523565912346</v>
      </c>
      <c r="C866" s="2">
        <f>IF(Data!C866="","",Data!C866*100/Parametrar!B5)</f>
        <v>103.40210861684238</v>
      </c>
    </row>
    <row r="867" spans="1:3" x14ac:dyDescent="0.35">
      <c r="A867" s="1">
        <f>Data!A867</f>
        <v>43497</v>
      </c>
      <c r="B867" s="2">
        <f>IF(Data!B867="","",Data!B867*100/Parametrar!B4)</f>
        <v>103.34447068998576</v>
      </c>
      <c r="C867" s="2">
        <f>IF(Data!C867="","",Data!C867*100/Parametrar!B5)</f>
        <v>102.83710856975905</v>
      </c>
    </row>
    <row r="868" spans="1:3" x14ac:dyDescent="0.35">
      <c r="A868" s="1">
        <f>Data!A868</f>
        <v>43525</v>
      </c>
      <c r="B868" s="2">
        <f>IF(Data!B868="","",Data!B868*100/Parametrar!B4)</f>
        <v>103.7352980772761</v>
      </c>
      <c r="C868" s="2">
        <f>IF(Data!C868="","",Data!C868*100/Parametrar!B5)</f>
        <v>102.87570857297571</v>
      </c>
    </row>
    <row r="869" spans="1:3" x14ac:dyDescent="0.35">
      <c r="A869" s="1">
        <f>Data!A869</f>
        <v>43556</v>
      </c>
      <c r="B869" s="2">
        <f>IF(Data!B869="","",Data!B869*100/Parametrar!B4)</f>
        <v>104.1253095410022</v>
      </c>
      <c r="C869" s="2">
        <f>IF(Data!C869="","",Data!C869*100/Parametrar!B5)</f>
        <v>102.27400852283404</v>
      </c>
    </row>
    <row r="870" spans="1:3" x14ac:dyDescent="0.35">
      <c r="A870" s="1">
        <f>Data!A870</f>
        <v>43586</v>
      </c>
      <c r="B870" s="2">
        <f>IF(Data!B870="","",Data!B870*100/Parametrar!B4)</f>
        <v>104.15101113327702</v>
      </c>
      <c r="C870" s="2">
        <f>IF(Data!C870="","",Data!C870*100/Parametrar!B5)</f>
        <v>102.39200853266736</v>
      </c>
    </row>
    <row r="871" spans="1:3" x14ac:dyDescent="0.35">
      <c r="A871" s="1">
        <f>Data!A871</f>
        <v>43617</v>
      </c>
      <c r="B871" s="2">
        <f>IF(Data!B871="","",Data!B871*100/Parametrar!B4)</f>
        <v>104.11715030535939</v>
      </c>
      <c r="C871" s="2">
        <f>IF(Data!C871="","",Data!C871*100/Parametrar!B5)</f>
        <v>102.43750853645903</v>
      </c>
    </row>
    <row r="872" spans="1:3" x14ac:dyDescent="0.35">
      <c r="A872" s="1">
        <f>Data!A872</f>
        <v>43647</v>
      </c>
      <c r="B872" s="2">
        <f>IF(Data!B872="","",Data!B872*100/Parametrar!B4)</f>
        <v>104.35743979503999</v>
      </c>
      <c r="C872" s="2">
        <f>IF(Data!C872="","",Data!C872*100/Parametrar!B5)</f>
        <v>101.94080849506737</v>
      </c>
    </row>
    <row r="873" spans="1:3" x14ac:dyDescent="0.35">
      <c r="A873" s="1">
        <f>Data!A873</f>
        <v>43678</v>
      </c>
      <c r="B873" s="2">
        <f>IF(Data!B873="","",Data!B873*100/Parametrar!B4)</f>
        <v>104.4529028520608</v>
      </c>
      <c r="C873" s="2">
        <f>IF(Data!C873="","",Data!C873*100/Parametrar!B5)</f>
        <v>102.6390085532507</v>
      </c>
    </row>
    <row r="874" spans="1:3" x14ac:dyDescent="0.35">
      <c r="A874" s="1">
        <f>Data!A874</f>
        <v>43709</v>
      </c>
      <c r="B874" s="2">
        <f>IF(Data!B874="","",Data!B874*100/Parametrar!B4)</f>
        <v>104.61363979422407</v>
      </c>
      <c r="C874" s="2">
        <f>IF(Data!C874="","",Data!C874*100/Parametrar!B5)</f>
        <v>102.29170852430904</v>
      </c>
    </row>
    <row r="875" spans="1:3" x14ac:dyDescent="0.35">
      <c r="A875" s="1">
        <f>Data!A875</f>
        <v>43739</v>
      </c>
      <c r="B875" s="2">
        <f>IF(Data!B875="","",Data!B875*100/Parametrar!B4)</f>
        <v>104.90941208627574</v>
      </c>
      <c r="C875" s="2">
        <f>IF(Data!C875="","",Data!C875*100/Parametrar!B5)</f>
        <v>101.42810845234236</v>
      </c>
    </row>
    <row r="876" spans="1:3" x14ac:dyDescent="0.35">
      <c r="A876" s="1">
        <f>Data!A876</f>
        <v>43770</v>
      </c>
      <c r="B876" s="2">
        <f>IF(Data!B876="","",Data!B876*100/Parametrar!B4)</f>
        <v>105.2047764165453</v>
      </c>
      <c r="C876" s="2">
        <f>IF(Data!C876="","",Data!C876*100/Parametrar!B5)</f>
        <v>101.93720849476738</v>
      </c>
    </row>
    <row r="877" spans="1:3" x14ac:dyDescent="0.35">
      <c r="A877" s="1">
        <f>Data!A877</f>
        <v>43800</v>
      </c>
      <c r="B877" s="2">
        <f>IF(Data!B877="","",Data!B877*100/Parametrar!B4)</f>
        <v>105.51115571493263</v>
      </c>
      <c r="C877" s="2">
        <f>IF(Data!C877="","",Data!C877*100/Parametrar!B5)</f>
        <v>101.70030847502571</v>
      </c>
    </row>
    <row r="878" spans="1:3" x14ac:dyDescent="0.35">
      <c r="A878" s="1">
        <f>Data!A878</f>
        <v>43831</v>
      </c>
      <c r="B878" s="2">
        <f>IF(Data!B878="","",Data!B878*100/Parametrar!B4)</f>
        <v>105.71391272065632</v>
      </c>
      <c r="C878" s="2">
        <f>IF(Data!C878="","",Data!C878*100/Parametrar!B5)</f>
        <v>101.03380841948402</v>
      </c>
    </row>
    <row r="879" spans="1:3" x14ac:dyDescent="0.35">
      <c r="A879" s="1">
        <f>Data!A879</f>
        <v>43862</v>
      </c>
      <c r="B879" s="2">
        <f>IF(Data!B879="","",Data!B879*100/Parametrar!B4)</f>
        <v>105.76409201985958</v>
      </c>
      <c r="C879" s="2">
        <f>IF(Data!C879="","",Data!C879*100/Parametrar!B5)</f>
        <v>101.37350844779236</v>
      </c>
    </row>
    <row r="880" spans="1:3" x14ac:dyDescent="0.35">
      <c r="A880" s="1">
        <f>Data!A880</f>
        <v>43891</v>
      </c>
      <c r="B880" s="2">
        <f>IF(Data!B880="","",Data!B880*100/Parametrar!B4)</f>
        <v>105.28514488762693</v>
      </c>
      <c r="C880" s="2">
        <f>IF(Data!C880="","",Data!C880*100/Parametrar!B5)</f>
        <v>97.40780811731733</v>
      </c>
    </row>
    <row r="881" spans="1:3" x14ac:dyDescent="0.35">
      <c r="A881" s="1">
        <f>Data!A881</f>
        <v>43922</v>
      </c>
      <c r="B881" s="2">
        <f>IF(Data!B881="","",Data!B881*100/Parametrar!B4)</f>
        <v>104.45127100493224</v>
      </c>
      <c r="C881" s="2">
        <f>IF(Data!C881="","",Data!C881*100/Parametrar!B5)</f>
        <v>84.561907046825567</v>
      </c>
    </row>
    <row r="882" spans="1:3" x14ac:dyDescent="0.35">
      <c r="A882" s="1">
        <f>Data!A882</f>
        <v>43952</v>
      </c>
      <c r="B882" s="2">
        <f>IF(Data!B882="","",Data!B882*100/Parametrar!B4)</f>
        <v>104.35743979503999</v>
      </c>
      <c r="C882" s="2">
        <f>IF(Data!C882="","",Data!C882*100/Parametrar!B5)</f>
        <v>85.960407163367265</v>
      </c>
    </row>
    <row r="883" spans="1:3" x14ac:dyDescent="0.35">
      <c r="A883" s="1">
        <f>Data!A883</f>
        <v>43983</v>
      </c>
      <c r="B883" s="2">
        <f>IF(Data!B883="","",Data!B883*100/Parametrar!B4)</f>
        <v>104.86331240489389</v>
      </c>
      <c r="C883" s="2">
        <f>IF(Data!C883="","",Data!C883*100/Parametrar!B5)</f>
        <v>91.593407632783965</v>
      </c>
    </row>
    <row r="884" spans="1:3" x14ac:dyDescent="0.35">
      <c r="A884" s="1">
        <f>Data!A884</f>
        <v>44013</v>
      </c>
      <c r="B884" s="2">
        <f>IF(Data!B884="","",Data!B884*100/Parametrar!B4)</f>
        <v>105.39774233949763</v>
      </c>
      <c r="C884" s="2">
        <f>IF(Data!C884="","",Data!C884*100/Parametrar!B5)</f>
        <v>95.025607918800645</v>
      </c>
    </row>
    <row r="885" spans="1:3" x14ac:dyDescent="0.35">
      <c r="A885" s="1">
        <f>Data!A885</f>
        <v>44044</v>
      </c>
      <c r="B885" s="2">
        <f>IF(Data!B885="","",Data!B885*100/Parametrar!B4)</f>
        <v>105.79101749748082</v>
      </c>
      <c r="C885" s="2">
        <f>IF(Data!C885="","",Data!C885*100/Parametrar!B5)</f>
        <v>95.954907996242326</v>
      </c>
    </row>
    <row r="886" spans="1:3" x14ac:dyDescent="0.35">
      <c r="A886" s="1">
        <f>Data!A886</f>
        <v>44075</v>
      </c>
      <c r="B886" s="2">
        <f>IF(Data!B886="","",Data!B886*100/Parametrar!B4)</f>
        <v>106.06883947111834</v>
      </c>
      <c r="C886" s="2">
        <f>IF(Data!C886="","",Data!C886*100/Parametrar!B5)</f>
        <v>95.966907997242316</v>
      </c>
    </row>
    <row r="887" spans="1:3" x14ac:dyDescent="0.35">
      <c r="A887" s="1">
        <f>Data!A887</f>
        <v>44105</v>
      </c>
      <c r="B887" s="2">
        <f>IF(Data!B887="","",Data!B887*100/Parametrar!B4)</f>
        <v>106.2002031649675</v>
      </c>
      <c r="C887" s="2">
        <f>IF(Data!C887="","",Data!C887*100/Parametrar!B5)</f>
        <v>96.73940806161734</v>
      </c>
    </row>
    <row r="888" spans="1:3" x14ac:dyDescent="0.35">
      <c r="A888" s="1">
        <f>Data!A888</f>
        <v>44136</v>
      </c>
      <c r="B888" s="2">
        <f>IF(Data!B888="","",Data!B888*100/Parametrar!B4)</f>
        <v>106.44171653999453</v>
      </c>
      <c r="C888" s="2">
        <f>IF(Data!C888="","",Data!C888*100/Parametrar!B5)</f>
        <v>97.081608090133997</v>
      </c>
    </row>
    <row r="889" spans="1:3" x14ac:dyDescent="0.35">
      <c r="A889" s="1">
        <f>Data!A889</f>
        <v>44166</v>
      </c>
      <c r="B889" s="2">
        <f>IF(Data!B889="","",Data!B889*100/Parametrar!B4)</f>
        <v>106.90434520094158</v>
      </c>
      <c r="C889" s="2">
        <f>IF(Data!C889="","",Data!C889*100/Parametrar!B5)</f>
        <v>98.363008196917335</v>
      </c>
    </row>
    <row r="890" spans="1:3" x14ac:dyDescent="0.35">
      <c r="A890" s="1">
        <f>Data!A890</f>
        <v>44197</v>
      </c>
      <c r="B890" s="2">
        <f>IF(Data!B890="","",Data!B890*100/Parametrar!B4)</f>
        <v>107.16625666507561</v>
      </c>
      <c r="C890" s="2">
        <f>IF(Data!C890="","",Data!C890*100/Parametrar!B5)</f>
        <v>98.882208240184013</v>
      </c>
    </row>
    <row r="891" spans="1:3" x14ac:dyDescent="0.35">
      <c r="A891" s="1">
        <f>Data!A891</f>
        <v>44228</v>
      </c>
      <c r="B891" s="2">
        <f>IF(Data!B891="","",Data!B891*100/Parametrar!B4)</f>
        <v>107.53015857474472</v>
      </c>
      <c r="C891" s="2">
        <f>IF(Data!C891="","",Data!C891*100/Parametrar!B5)</f>
        <v>95.614907967908991</v>
      </c>
    </row>
    <row r="892" spans="1:3" x14ac:dyDescent="0.35">
      <c r="A892" s="1">
        <f>Data!A892</f>
        <v>44256</v>
      </c>
      <c r="B892" s="2">
        <f>IF(Data!B892="","",Data!B892*100/Parametrar!B4)</f>
        <v>108.09396175766254</v>
      </c>
      <c r="C892" s="2">
        <f>IF(Data!C892="","",Data!C892*100/Parametrar!B5)</f>
        <v>98.385608198800668</v>
      </c>
    </row>
    <row r="893" spans="1:3" x14ac:dyDescent="0.35">
      <c r="A893" s="1">
        <f>Data!A893</f>
        <v>44287</v>
      </c>
      <c r="B893" s="2">
        <f>IF(Data!B893="","",Data!B893*100/Parametrar!B4)</f>
        <v>108.76832258354037</v>
      </c>
      <c r="C893" s="2">
        <f>IF(Data!C893="","",Data!C893*100/Parametrar!B5)</f>
        <v>98.558708213225685</v>
      </c>
    </row>
    <row r="894" spans="1:3" x14ac:dyDescent="0.35">
      <c r="A894" s="1">
        <f>Data!A894</f>
        <v>44317</v>
      </c>
      <c r="B894" s="2">
        <f>IF(Data!B894="","",Data!B894*100/Parametrar!B4)</f>
        <v>109.49000697614646</v>
      </c>
      <c r="C894" s="2">
        <f>IF(Data!C894="","",Data!C894*100/Parametrar!B5)</f>
        <v>99.433308286109011</v>
      </c>
    </row>
    <row r="895" spans="1:3" x14ac:dyDescent="0.35">
      <c r="A895" s="1">
        <f>Data!A895</f>
        <v>44348</v>
      </c>
      <c r="B895" s="2">
        <f>IF(Data!B895="","",Data!B895*100/Parametrar!B4)</f>
        <v>110.41648818338699</v>
      </c>
      <c r="C895" s="2">
        <f>IF(Data!C895="","",Data!C895*100/Parametrar!B5)</f>
        <v>99.798708316559015</v>
      </c>
    </row>
    <row r="896" spans="1:3" x14ac:dyDescent="0.35">
      <c r="A896" s="1">
        <f>Data!A896</f>
        <v>44378</v>
      </c>
      <c r="B896" s="2">
        <f>IF(Data!B896="","",Data!B896*100/Parametrar!B4)</f>
        <v>110.92603244928016</v>
      </c>
      <c r="C896" s="2">
        <f>IF(Data!C896="","",Data!C896*100/Parametrar!B5)</f>
        <v>100.25190835432569</v>
      </c>
    </row>
    <row r="897" spans="1:3" x14ac:dyDescent="0.35">
      <c r="A897" s="1">
        <f>Data!A897</f>
        <v>44409</v>
      </c>
      <c r="B897" s="2">
        <f>IF(Data!B897="","",Data!B897*100/Parametrar!B4)</f>
        <v>111.24138690687455</v>
      </c>
      <c r="C897" s="2">
        <f>IF(Data!C897="","",Data!C897*100/Parametrar!B5)</f>
        <v>100.0437083369757</v>
      </c>
    </row>
    <row r="898" spans="1:3" x14ac:dyDescent="0.35">
      <c r="A898" s="1">
        <f>Data!A898</f>
        <v>44440</v>
      </c>
      <c r="B898" s="2">
        <f>IF(Data!B898="","",Data!B898*100/Parametrar!B4)</f>
        <v>111.74481174603564</v>
      </c>
      <c r="C898" s="2">
        <f>IF(Data!C898="","",Data!C898*100/Parametrar!B5)</f>
        <v>98.857908238159027</v>
      </c>
    </row>
    <row r="899" spans="1:3" x14ac:dyDescent="0.35">
      <c r="A899" s="1">
        <f>Data!A899</f>
        <v>44470</v>
      </c>
      <c r="B899" s="2">
        <f>IF(Data!B899="","",Data!B899*100/Parametrar!B4)</f>
        <v>112.82183085088589</v>
      </c>
      <c r="C899" s="2">
        <f>IF(Data!C899="","",Data!C899*100/Parametrar!B5)</f>
        <v>100.18610834884234</v>
      </c>
    </row>
    <row r="900" spans="1:3" x14ac:dyDescent="0.35">
      <c r="A900" s="1">
        <f>Data!A900</f>
        <v>44501</v>
      </c>
      <c r="B900" s="2">
        <f>IF(Data!B900="","",Data!B900*100/Parametrar!B4)</f>
        <v>113.78829231277612</v>
      </c>
      <c r="C900" s="2">
        <f>IF(Data!C900="","",Data!C900*100/Parametrar!B5)</f>
        <v>100.86540840545068</v>
      </c>
    </row>
    <row r="901" spans="1:3" x14ac:dyDescent="0.35">
      <c r="A901" s="1">
        <f>Data!A901</f>
        <v>44531</v>
      </c>
      <c r="B901" s="2">
        <f>IF(Data!B901="","",Data!B901*100/Parametrar!B4)</f>
        <v>114.57402670517827</v>
      </c>
      <c r="C901" s="2">
        <f>IF(Data!C901="","",Data!C901*100/Parametrar!B5)</f>
        <v>100.5726083810507</v>
      </c>
    </row>
    <row r="902" spans="1:3" x14ac:dyDescent="0.35">
      <c r="A902" s="1">
        <f>Data!A902</f>
        <v>44562</v>
      </c>
      <c r="B902" s="2">
        <f>IF(Data!B902="","",Data!B902*100/Parametrar!B4)</f>
        <v>115.26674581125239</v>
      </c>
      <c r="C902" s="2">
        <f>IF(Data!C902="","",Data!C902*100/Parametrar!B5)</f>
        <v>100.18560834880068</v>
      </c>
    </row>
    <row r="903" spans="1:3" x14ac:dyDescent="0.35">
      <c r="A903" s="1">
        <f>Data!A903</f>
        <v>44593</v>
      </c>
      <c r="B903" s="2">
        <f>IF(Data!B903="","",Data!B903*100/Parametrar!B4)</f>
        <v>116.06512701890087</v>
      </c>
      <c r="C903" s="2">
        <f>IF(Data!C903="","",Data!C903*100/Parametrar!B5)</f>
        <v>100.80640840053402</v>
      </c>
    </row>
    <row r="904" spans="1:3" x14ac:dyDescent="0.35">
      <c r="A904" s="1">
        <f>Data!A904</f>
        <v>44621</v>
      </c>
      <c r="B904" s="2">
        <f>IF(Data!B904="","",Data!B904*100/Parametrar!B4)</f>
        <v>117.35999771541401</v>
      </c>
      <c r="C904" s="2">
        <f>IF(Data!C904="","",Data!C904*100/Parametrar!B5)</f>
        <v>101.3907084492257</v>
      </c>
    </row>
    <row r="905" spans="1:3" x14ac:dyDescent="0.35">
      <c r="A905" s="1">
        <f>Data!A905</f>
        <v>44652</v>
      </c>
      <c r="B905" s="2">
        <f>IF(Data!B905="","",Data!B905*100/Parametrar!B4)</f>
        <v>117.72185981617241</v>
      </c>
      <c r="C905" s="2">
        <f>IF(Data!C905="","",Data!C905*100/Parametrar!B5)</f>
        <v>101.44000845333403</v>
      </c>
    </row>
    <row r="906" spans="1:3" x14ac:dyDescent="0.35">
      <c r="A906" s="1">
        <f>Data!A906</f>
        <v>44682</v>
      </c>
      <c r="B906" s="2">
        <f>IF(Data!B906="","",Data!B906*100/Parametrar!B4)</f>
        <v>118.83845121389028</v>
      </c>
      <c r="C906" s="2">
        <f>IF(Data!C906="","",Data!C906*100/Parametrar!B5)</f>
        <v>101.33350844445903</v>
      </c>
    </row>
    <row r="907" spans="1:3" x14ac:dyDescent="0.35">
      <c r="A907" s="1">
        <f>Data!A907</f>
        <v>44713</v>
      </c>
      <c r="B907" s="2">
        <f>IF(Data!B907="","",Data!B907*100/Parametrar!B4)</f>
        <v>120.33118337474146</v>
      </c>
      <c r="C907" s="2">
        <f>IF(Data!C907="","",Data!C907*100/Parametrar!B5)</f>
        <v>101.01800841816735</v>
      </c>
    </row>
    <row r="908" spans="1:3" x14ac:dyDescent="0.35">
      <c r="A908" s="1">
        <f>Data!A908</f>
        <v>44743</v>
      </c>
      <c r="B908" s="2">
        <f>IF(Data!B908="","",Data!B908*100/Parametrar!B4)</f>
        <v>120.31323305632729</v>
      </c>
      <c r="C908" s="2">
        <f>IF(Data!C908="","",Data!C908*100/Parametrar!B5)</f>
        <v>101.22300843525069</v>
      </c>
    </row>
    <row r="909" spans="1:3" x14ac:dyDescent="0.35">
      <c r="A909" s="1">
        <f>Data!A909</f>
        <v>44774</v>
      </c>
      <c r="B909" s="2">
        <f>IF(Data!B909="","",Data!B909*100/Parametrar!B4)</f>
        <v>120.38829802424107</v>
      </c>
      <c r="C909" s="2">
        <f>IF(Data!C909="","",Data!C909*100/Parametrar!B5)</f>
        <v>101.09630842469235</v>
      </c>
    </row>
    <row r="910" spans="1:3" x14ac:dyDescent="0.35">
      <c r="A910" s="1">
        <f>Data!A910</f>
        <v>44805</v>
      </c>
      <c r="B910" s="2">
        <f>IF(Data!B910="","",Data!B910*100/Parametrar!B4)</f>
        <v>120.89906617548067</v>
      </c>
      <c r="C910" s="2">
        <f>IF(Data!C910="","",Data!C910*100/Parametrar!B5)</f>
        <v>101.29180844098403</v>
      </c>
    </row>
    <row r="911" spans="1:3" x14ac:dyDescent="0.35">
      <c r="A911" s="1">
        <f>Data!A911</f>
        <v>44835</v>
      </c>
      <c r="B911" s="2">
        <f>IF(Data!B911="","",Data!B911*100/Parametrar!B4)</f>
        <v>121.57546681026922</v>
      </c>
      <c r="C911" s="2">
        <f>IF(Data!C911="","",Data!C911*100/Parametrar!B5)</f>
        <v>101.25290843774235</v>
      </c>
    </row>
    <row r="912" spans="1:3" x14ac:dyDescent="0.35">
      <c r="A912" s="1">
        <f>Data!A912</f>
        <v>44866</v>
      </c>
      <c r="B912" s="2">
        <f>IF(Data!B912="","",Data!B912*100/Parametrar!B4)</f>
        <v>121.89326903855645</v>
      </c>
      <c r="C912" s="2">
        <f>IF(Data!C912="","",Data!C912*100/Parametrar!B5)</f>
        <v>100.95520841293403</v>
      </c>
    </row>
    <row r="913" spans="1:3" x14ac:dyDescent="0.35">
      <c r="A913" s="1">
        <f>Data!A913</f>
        <v>44896</v>
      </c>
      <c r="B913" s="2">
        <f>IF(Data!B913="","",Data!B913*100/Parametrar!B4)</f>
        <v>121.91203528053492</v>
      </c>
      <c r="C913" s="2">
        <f>IF(Data!C913="","",Data!C913*100/Parametrar!B5)</f>
        <v>99.766408313867359</v>
      </c>
    </row>
    <row r="914" spans="1:3" x14ac:dyDescent="0.35">
      <c r="A914" s="1">
        <f>Data!A914</f>
        <v>44927</v>
      </c>
      <c r="B914" s="2">
        <f>IF(Data!B914="","",Data!B914*100/Parametrar!B4)</f>
        <v>122.55987859057363</v>
      </c>
      <c r="C914" s="2">
        <f>IF(Data!C914="","",Data!C914*100/Parametrar!B5)</f>
        <v>100.50500837541736</v>
      </c>
    </row>
    <row r="915" spans="1:3" x14ac:dyDescent="0.35">
      <c r="A915" s="1">
        <f>Data!A915</f>
        <v>44958</v>
      </c>
      <c r="B915" s="2">
        <f>IF(Data!B915="","",Data!B915*100/Parametrar!B4)</f>
        <v>122.98007922617809</v>
      </c>
      <c r="C915" s="2">
        <f>IF(Data!C915="","",Data!C915*100/Parametrar!B5)</f>
        <v>100.64160838680068</v>
      </c>
    </row>
    <row r="916" spans="1:3" x14ac:dyDescent="0.35">
      <c r="A916" s="1">
        <f>Data!A916</f>
        <v>44986</v>
      </c>
      <c r="B916" s="2">
        <f>IF(Data!B916="","",Data!B916*100/Parametrar!B4)</f>
        <v>123.13143304735213</v>
      </c>
      <c r="C916" s="2">
        <f>IF(Data!C916="","",Data!C916*100/Parametrar!B5)</f>
        <v>101.02050841837568</v>
      </c>
    </row>
    <row r="917" spans="1:3" x14ac:dyDescent="0.35">
      <c r="A917" s="1">
        <f>Data!A917</f>
        <v>45017</v>
      </c>
      <c r="B917" s="2">
        <f>IF(Data!B917="","",Data!B917*100/Parametrar!B4)</f>
        <v>123.54918591226375</v>
      </c>
      <c r="C917" s="2">
        <f>IF(Data!C917="","",Data!C917*100/Parametrar!B5)</f>
        <v>101.25300843775069</v>
      </c>
    </row>
    <row r="918" spans="1:3" x14ac:dyDescent="0.35">
      <c r="A918" s="1">
        <f>Data!A918</f>
        <v>45047</v>
      </c>
      <c r="B918" s="2">
        <f>IF(Data!B918="","",Data!B918*100/Parametrar!B4)</f>
        <v>123.74867922373032</v>
      </c>
      <c r="C918" s="2">
        <f>IF(Data!C918="","",Data!C918*100/Parametrar!B5)</f>
        <v>100.92860841071737</v>
      </c>
    </row>
    <row r="919" spans="1:3" x14ac:dyDescent="0.35">
      <c r="A919" s="1">
        <f>Data!A919</f>
        <v>45078</v>
      </c>
      <c r="B919" s="2">
        <f>IF(Data!B919="","",Data!B919*100/Parametrar!B4)</f>
        <v>124.02609323558569</v>
      </c>
      <c r="C919" s="2">
        <f>IF(Data!C919="","",Data!C919*100/Parametrar!B5)</f>
        <v>100.1196083433007</v>
      </c>
    </row>
    <row r="920" spans="1:3" x14ac:dyDescent="0.35">
      <c r="A920" s="1">
        <f>Data!A920</f>
        <v>45108</v>
      </c>
      <c r="B920" s="2">
        <f>IF(Data!B920="","",Data!B920*100/Parametrar!B4)</f>
        <v>124.26883049595912</v>
      </c>
      <c r="C920" s="2">
        <f>IF(Data!C920="","",Data!C920*100/Parametrar!B5)</f>
        <v>100.90670840889236</v>
      </c>
    </row>
    <row r="921" spans="1:3" x14ac:dyDescent="0.35">
      <c r="A921" s="1">
        <f>Data!A921</f>
        <v>45139</v>
      </c>
      <c r="B921" s="2">
        <f>IF(Data!B921="","",Data!B921*100/Parametrar!B4)</f>
        <v>124.86975820105172</v>
      </c>
      <c r="C921" s="2">
        <f>IF(Data!C921="","",Data!C921*100/Parametrar!B5)</f>
        <v>100.83930840327569</v>
      </c>
    </row>
    <row r="922" spans="1:3" x14ac:dyDescent="0.35">
      <c r="A922" s="1">
        <f>Data!A922</f>
        <v>45170</v>
      </c>
      <c r="B922" s="2">
        <f>IF(Data!B922="","",Data!B922*100/Parametrar!B4)</f>
        <v>125.35686456892719</v>
      </c>
      <c r="C922" s="2">
        <f>IF(Data!C922="","",Data!C922*100/Parametrar!B5)</f>
        <v>101.0211084184257</v>
      </c>
    </row>
    <row r="923" spans="1:3" x14ac:dyDescent="0.35">
      <c r="A923" s="1">
        <f>Data!A923</f>
        <v>45200</v>
      </c>
      <c r="B923" s="2">
        <f>IF(Data!B923="","",Data!B923*100/Parametrar!B4)</f>
        <v>125.52820851742609</v>
      </c>
      <c r="C923" s="2">
        <f>IF(Data!C923="","",Data!C923*100/Parametrar!B5)</f>
        <v>100.46890837240903</v>
      </c>
    </row>
    <row r="924" spans="1:3" x14ac:dyDescent="0.35">
      <c r="A924" s="1">
        <f>Data!A924</f>
        <v>45231</v>
      </c>
      <c r="B924" s="2">
        <f>IF(Data!B924="","",Data!B924*100/Parametrar!B4)</f>
        <v>125.71260724295348</v>
      </c>
      <c r="C924" s="2">
        <f>IF(Data!C924="","",Data!C924*100/Parametrar!B5)</f>
        <v>100.86390840532569</v>
      </c>
    </row>
    <row r="925" spans="1:3" x14ac:dyDescent="0.35">
      <c r="A925" s="1">
        <f>Data!A925</f>
        <v>45261</v>
      </c>
      <c r="B925" s="2">
        <f>IF(Data!B925="","",Data!B925*100/Parametrar!B4)</f>
        <v>125.95452857976264</v>
      </c>
      <c r="C925" s="2">
        <f>IF(Data!C925="","",Data!C925*100/Parametrar!B5)</f>
        <v>100.60310838359236</v>
      </c>
    </row>
    <row r="926" spans="1:3" x14ac:dyDescent="0.35">
      <c r="A926" s="1">
        <f>Data!A926</f>
        <v>45292</v>
      </c>
      <c r="B926" s="2">
        <f>IF(Data!B926="","",Data!B926*100/Parametrar!B4)</f>
        <v>126.34494800527087</v>
      </c>
      <c r="C926" s="2">
        <f>IF(Data!C926="","",Data!C926*100/Parametrar!B5)</f>
        <v>99.22230826852568</v>
      </c>
    </row>
    <row r="927" spans="1:3" x14ac:dyDescent="0.35">
      <c r="A927" s="1">
        <f>Data!A927</f>
        <v>45323</v>
      </c>
      <c r="B927" s="2">
        <f>IF(Data!B927="","",Data!B927*100/Parametrar!B4)</f>
        <v>126.86265150680683</v>
      </c>
      <c r="C927" s="2">
        <f>IF(Data!C927="","",Data!C927*100/Parametrar!B5)</f>
        <v>100.28500835708402</v>
      </c>
    </row>
    <row r="928" spans="1:3" x14ac:dyDescent="0.35">
      <c r="A928" s="1">
        <f>Data!A928</f>
        <v>45352</v>
      </c>
      <c r="B928" s="2">
        <f>IF(Data!B928="","",Data!B928*100/Parametrar!B4)</f>
        <v>127.42482284259611</v>
      </c>
      <c r="C928" s="2">
        <f>IF(Data!C928="","",Data!C928*100/Parametrar!B5)</f>
        <v>100.45750837145903</v>
      </c>
    </row>
    <row r="929" spans="1:3" x14ac:dyDescent="0.35">
      <c r="A929" s="1">
        <f>Data!A929</f>
        <v>45383</v>
      </c>
      <c r="B929" s="2">
        <f>IF(Data!B929="","",Data!B929*100/Parametrar!B4)</f>
        <v>127.7014209308872</v>
      </c>
      <c r="C929" s="2">
        <f>IF(Data!C929="","",Data!C929*100/Parametrar!B5)</f>
        <v>100.24340835361735</v>
      </c>
    </row>
    <row r="930" spans="1:3" x14ac:dyDescent="0.35">
      <c r="A930" s="1">
        <f>Data!A930</f>
        <v>45413</v>
      </c>
      <c r="B930" s="2">
        <f>IF(Data!B930="","",Data!B930*100/Parametrar!B4)</f>
        <v>127.76343112177251</v>
      </c>
      <c r="C930" s="2">
        <f>IF(Data!C930="","",Data!C930*100/Parametrar!B5)</f>
        <v>100.86300840525068</v>
      </c>
    </row>
    <row r="931" spans="1:3" x14ac:dyDescent="0.35">
      <c r="A931" s="1">
        <f>Data!A931</f>
        <v>45444</v>
      </c>
      <c r="B931" s="2">
        <f>IF(Data!B931="","",Data!B931*100/Parametrar!B4)</f>
        <v>127.70998812831212</v>
      </c>
      <c r="C931" s="2">
        <f>IF(Data!C931="","",Data!C931*100/Parametrar!B5)</f>
        <v>100.89400840783404</v>
      </c>
    </row>
    <row r="932" spans="1:3" x14ac:dyDescent="0.35">
      <c r="A932" s="1">
        <f>Data!A932</f>
        <v>45474</v>
      </c>
      <c r="B932" s="2">
        <f>IF(Data!B932="","",Data!B932*100/Parametrar!B4)</f>
        <v>127.92416806393577</v>
      </c>
      <c r="C932" s="2">
        <f>IF(Data!C932="","",Data!C932*100/Parametrar!B5)</f>
        <v>99.975708331309022</v>
      </c>
    </row>
    <row r="933" spans="1:3" x14ac:dyDescent="0.35">
      <c r="A933" s="1">
        <f>Data!A933</f>
        <v>45505</v>
      </c>
      <c r="B933" s="2">
        <f>IF(Data!B933="","",Data!B933*100/Parametrar!B4)</f>
        <v>128.1252932225309</v>
      </c>
      <c r="C933" s="2">
        <f>IF(Data!C933="","",Data!C933*100/Parametrar!B5)</f>
        <v>100.43090836924236</v>
      </c>
    </row>
    <row r="934" spans="1:3" x14ac:dyDescent="0.35">
      <c r="A934" s="1">
        <f>Data!A934</f>
        <v>45536</v>
      </c>
      <c r="B934" s="2">
        <f>IF(Data!B934="","",Data!B934*100/Parametrar!B4)</f>
        <v>128.39862761656488</v>
      </c>
      <c r="C934" s="2">
        <f>IF(Data!C934="","",Data!C934*100/Parametrar!B5)</f>
        <v>99.808408317367352</v>
      </c>
    </row>
    <row r="935" spans="1:3" x14ac:dyDescent="0.35">
      <c r="A935" s="1">
        <f>Data!A935</f>
        <v>45566</v>
      </c>
      <c r="B935" s="2">
        <f>IF(Data!B935="","",Data!B935*100/Parametrar!B4)</f>
        <v>128.76538525870896</v>
      </c>
      <c r="C935" s="2">
        <f>IF(Data!C935="","",Data!C935*100/Parametrar!B5)</f>
        <v>99.46950828912567</v>
      </c>
    </row>
    <row r="936" spans="1:3" x14ac:dyDescent="0.35">
      <c r="A936" s="1">
        <f>Data!A936</f>
        <v>45597</v>
      </c>
      <c r="B936" s="2">
        <f>IF(Data!B936="","",Data!B936*100/Parametrar!B4)</f>
        <v>129.13132697728878</v>
      </c>
      <c r="C936" s="2">
        <f>IF(Data!C936="","",Data!C936*100/Parametrar!B5)</f>
        <v>99.292508274375678</v>
      </c>
    </row>
    <row r="937" spans="1:3" x14ac:dyDescent="0.35">
      <c r="A937" s="1">
        <f>Data!A937</f>
        <v>45627</v>
      </c>
      <c r="B937" s="2">
        <f>IF(Data!B937="","",Data!B937*100/Parametrar!B4)</f>
        <v>129.57029385487166</v>
      </c>
      <c r="C937" s="2">
        <f>IF(Data!C937="","",Data!C937*100/Parametrar!B5)</f>
        <v>100.32730836060902</v>
      </c>
    </row>
    <row r="938" spans="1:3" x14ac:dyDescent="0.35">
      <c r="A938" s="1">
        <f>Data!A938</f>
        <v>45658</v>
      </c>
      <c r="B938" s="2">
        <f>IF(Data!B938="","",Data!B938*100/Parametrar!B4)</f>
        <v>130.123897993236</v>
      </c>
      <c r="C938" s="2">
        <f>IF(Data!C938="","",Data!C938*100/Parametrar!B5)</f>
        <v>100.06470833872568</v>
      </c>
    </row>
    <row r="939" spans="1:3" x14ac:dyDescent="0.35">
      <c r="A939" s="1">
        <f>Data!A939</f>
        <v>45689</v>
      </c>
      <c r="B939" s="2">
        <f>IF(Data!B939="","",Data!B939*100/Parametrar!B4)</f>
        <v>130.41681455281267</v>
      </c>
      <c r="C939" s="2">
        <f>IF(Data!C939="","",Data!C939*100/Parametrar!B5)</f>
        <v>101.09930842494236</v>
      </c>
    </row>
    <row r="940" spans="1:3" x14ac:dyDescent="0.35">
      <c r="A940" s="1">
        <f>Data!A940</f>
        <v>45717</v>
      </c>
      <c r="B940" s="2">
        <f>IF(Data!B940="","",Data!B940*100/Parametrar!B4)</f>
        <v>130.46005850171957</v>
      </c>
      <c r="C940" s="2">
        <f>IF(Data!C940="","",Data!C940*100/Parametrar!B5)</f>
        <v>101.04040842003404</v>
      </c>
    </row>
    <row r="941" spans="1:3" x14ac:dyDescent="0.35">
      <c r="A941" s="1">
        <f>Data!A941</f>
        <v>45748</v>
      </c>
      <c r="B941" s="2">
        <f>IF(Data!B941="","",Data!B941*100/Parametrar!B4)</f>
        <v>130.67097474308608</v>
      </c>
      <c r="C941" s="2">
        <f>IF(Data!C941="","",Data!C941*100/Parametrar!B5)</f>
        <v>101.12790842732569</v>
      </c>
    </row>
    <row r="942" spans="1:3" x14ac:dyDescent="0.35">
      <c r="A942" s="1">
        <f>Data!A942</f>
        <v>45778</v>
      </c>
      <c r="B942" s="2">
        <f>IF(Data!B942="","",Data!B942*100/Parametrar!B4)</f>
        <v>130.80070658980665</v>
      </c>
      <c r="C942" s="2">
        <f>IF(Data!C942="","",Data!C942*100/Parametrar!B5)</f>
        <v>100.96550841379238</v>
      </c>
    </row>
    <row r="943" spans="1:3" x14ac:dyDescent="0.35">
      <c r="A943" s="1">
        <f>Data!A943</f>
        <v>45809</v>
      </c>
      <c r="B943" s="2">
        <f>IF(Data!B943="","",Data!B943*100/Parametrar!B4)</f>
        <v>131.13319544225095</v>
      </c>
      <c r="C943" s="2">
        <f>IF(Data!C943="","",Data!C943*100/Parametrar!B5)</f>
        <v>101.47850845654237</v>
      </c>
    </row>
    <row r="944" spans="1:3" x14ac:dyDescent="0.35">
      <c r="A944" s="1">
        <f>Data!A944</f>
        <v>45839</v>
      </c>
      <c r="B944" s="2">
        <f>IF(Data!B944="","",Data!B944*100/Parametrar!B4)</f>
        <v>131.4326393903419</v>
      </c>
      <c r="C944" s="2">
        <f>IF(Data!C944="","",Data!C944*100/Parametrar!B5)</f>
        <v>101.89400849116738</v>
      </c>
    </row>
    <row r="945" spans="1:3" x14ac:dyDescent="0.35">
      <c r="A945" s="1">
        <f>Data!A945</f>
        <v>45870</v>
      </c>
      <c r="B945" s="2">
        <f>IF(Data!B945="","",Data!B945*100/Parametrar!B4)</f>
        <v>131.89037250990327</v>
      </c>
      <c r="C945" s="2">
        <f>IF(Data!C945="","",Data!C945*100/Parametrar!B5)</f>
        <v>101.62470846872571</v>
      </c>
    </row>
    <row r="946" spans="1:3" x14ac:dyDescent="0.35">
      <c r="A946" s="1">
        <f>Data!A946</f>
        <v>45901</v>
      </c>
      <c r="B946" s="2">
        <f>IF(Data!B946="","",Data!B946*100/Parametrar!B4)</f>
        <v>132.27956805006505</v>
      </c>
      <c r="C946" s="2">
        <f>IF(Data!C946="","",Data!C946*100/Parametrar!B5)</f>
        <v>101.66800847233404</v>
      </c>
    </row>
    <row r="947" spans="1:3" x14ac:dyDescent="0.35">
      <c r="A947" s="1">
        <f>Data!A947</f>
        <v>45931</v>
      </c>
      <c r="B947" s="2" t="str">
        <f>IF(Data!B947="","",Data!B947*100/Parametrar!B4)</f>
        <v/>
      </c>
      <c r="C947" s="2">
        <f>IF(Data!C947="","",Data!C947*100/Parametrar!B5)</f>
        <v>101.20750843395903</v>
      </c>
    </row>
    <row r="948" spans="1:3" x14ac:dyDescent="0.35">
      <c r="A948" s="1">
        <f>Data!A948</f>
        <v>45962</v>
      </c>
      <c r="B948" s="2">
        <f>IF(Data!B948="","",Data!B948*100/Parametrar!B4)</f>
        <v>132.61328078785579</v>
      </c>
      <c r="C948" s="2">
        <f>IF(Data!C948="","",Data!C948*100/Parametrar!B5)</f>
        <v>101.36050844670902</v>
      </c>
    </row>
    <row r="949" spans="1:3" x14ac:dyDescent="0.35">
      <c r="A949" s="1">
        <f>Data!A949</f>
        <v>45992</v>
      </c>
      <c r="B949" s="2">
        <f>IF(Data!B949="","",Data!B949*100/Parametrar!B4)</f>
        <v>133.00818779296756</v>
      </c>
      <c r="C949" s="2">
        <f>IF(Data!C949="","",Data!C949*100/Parametrar!B5)</f>
        <v>101.6781084731757</v>
      </c>
    </row>
    <row r="950" spans="1:3" x14ac:dyDescent="0.35">
      <c r="A950" s="1">
        <f>Data!A950</f>
        <v>46023</v>
      </c>
      <c r="B950" s="2">
        <f>IF(Data!B950="","",Data!B950*100/Parametrar!B4)</f>
        <v>133.23542250561968</v>
      </c>
      <c r="C950" s="2">
        <f>IF(Data!C950="","",Data!C950*100/Parametrar!B5)</f>
        <v>102.3963085330257</v>
      </c>
    </row>
    <row r="951" spans="1:3" x14ac:dyDescent="0.35">
      <c r="A951" s="1">
        <f>Data!A951</f>
        <v>46054</v>
      </c>
      <c r="B951" s="2">
        <f>IF(Data!B951="","",Data!B951*100/Parametrar!B4)</f>
        <v>133.59116517964594</v>
      </c>
      <c r="C951" s="2">
        <f>IF(Data!C951="","",Data!C951*100/Parametrar!B5)</f>
        <v>102.55100854591737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51"/>
  <sheetViews>
    <sheetView tabSelected="1" topLeftCell="H1" zoomScale="64" workbookViewId="0">
      <selection activeCell="S5" sqref="S5"/>
    </sheetView>
  </sheetViews>
  <sheetFormatPr defaultRowHeight="14.5" x14ac:dyDescent="0.35"/>
  <cols>
    <col min="1" max="1" width="12" customWidth="1"/>
    <col min="2" max="3" width="42" customWidth="1"/>
    <col min="4" max="4" width="13.81640625" bestFit="1" customWidth="1"/>
    <col min="5" max="5" width="9.7265625" bestFit="1" customWidth="1"/>
    <col min="6" max="6" width="13.26953125" bestFit="1" customWidth="1"/>
    <col min="7" max="8" width="18.1796875" bestFit="1" customWidth="1"/>
    <col min="9" max="11" width="18.1796875" customWidth="1"/>
    <col min="12" max="12" width="16.1796875" bestFit="1" customWidth="1"/>
    <col min="13" max="13" width="12.7265625" bestFit="1" customWidth="1"/>
    <col min="14" max="14" width="13.26953125" bestFit="1" customWidth="1"/>
    <col min="16" max="16" width="26.453125" bestFit="1" customWidth="1"/>
    <col min="17" max="17" width="22.26953125" bestFit="1" customWidth="1"/>
    <col min="18" max="18" width="19.54296875" bestFit="1" customWidth="1"/>
    <col min="19" max="19" width="29.36328125" bestFit="1" customWidth="1"/>
    <col min="20" max="20" width="15.453125" bestFit="1" customWidth="1"/>
    <col min="21" max="21" width="25.36328125" bestFit="1" customWidth="1"/>
    <col min="22" max="22" width="19.54296875" bestFit="1" customWidth="1"/>
    <col min="23" max="23" width="26.7265625" bestFit="1" customWidth="1"/>
    <col min="24" max="24" width="19.81640625" bestFit="1" customWidth="1"/>
  </cols>
  <sheetData>
    <row r="1" spans="1:25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33</v>
      </c>
      <c r="I1" t="s">
        <v>29</v>
      </c>
      <c r="J1" t="s">
        <v>28</v>
      </c>
      <c r="K1" t="s">
        <v>30</v>
      </c>
      <c r="L1" t="s">
        <v>33</v>
      </c>
      <c r="M1" t="s">
        <v>34</v>
      </c>
      <c r="P1" t="s">
        <v>24</v>
      </c>
      <c r="Q1" t="s">
        <v>23</v>
      </c>
      <c r="R1" t="s">
        <v>21</v>
      </c>
      <c r="S1" t="s">
        <v>31</v>
      </c>
      <c r="T1" t="s">
        <v>22</v>
      </c>
      <c r="U1" t="s">
        <v>32</v>
      </c>
      <c r="V1" t="s">
        <v>35</v>
      </c>
      <c r="W1" t="s">
        <v>25</v>
      </c>
      <c r="X1" t="s">
        <v>26</v>
      </c>
      <c r="Y1" t="s">
        <v>27</v>
      </c>
    </row>
    <row r="2" spans="1:25" x14ac:dyDescent="0.35">
      <c r="A2" s="1">
        <f>Data!A2</f>
        <v>17168</v>
      </c>
      <c r="B2" s="2" t="str">
        <f>IFERROR((Data!B2/Data!B1-1)*100,"")</f>
        <v/>
      </c>
      <c r="C2" s="2" t="str">
        <f>IFERROR((Data!C2/Data!C1-1)*100,"")</f>
        <v/>
      </c>
    </row>
    <row r="3" spans="1:25" x14ac:dyDescent="0.35">
      <c r="A3" s="1">
        <f>Data!A3</f>
        <v>17199</v>
      </c>
      <c r="B3" s="2">
        <f>IFERROR((Data!B3/Data!B2-1)*100,"")</f>
        <v>0.65176908752329066</v>
      </c>
      <c r="C3" s="2">
        <f>IFERROR((Data!C3/Data!C2-1)*100,"")</f>
        <v>0.59067781741621861</v>
      </c>
    </row>
    <row r="4" spans="1:25" x14ac:dyDescent="0.35">
      <c r="A4" s="1">
        <f>Data!A4</f>
        <v>17227</v>
      </c>
      <c r="B4" s="2">
        <f>IFERROR((Data!B4/Data!B3-1)*100,"")</f>
        <v>1.7576318223866849</v>
      </c>
      <c r="C4" s="2">
        <f>IFERROR((Data!C4/Data!C3-1)*100,"")</f>
        <v>0.58648255813953387</v>
      </c>
    </row>
    <row r="5" spans="1:25" x14ac:dyDescent="0.35">
      <c r="A5" s="1">
        <f>Data!A5</f>
        <v>17258</v>
      </c>
      <c r="B5" s="2">
        <f>IFERROR((Data!B5/Data!B4-1)*100,"")</f>
        <v>0</v>
      </c>
      <c r="C5" s="2">
        <f>IFERROR((Data!C5/Data!C4-1)*100,"")</f>
        <v>-0.77813983396792796</v>
      </c>
      <c r="D5">
        <f t="shared" ref="D5:D68" si="0">SUM(C3:C5)/3</f>
        <v>0.1330068471959415</v>
      </c>
      <c r="E5">
        <f t="shared" ref="E5:E68" si="1">SUM(B3:B5)/3</f>
        <v>0.80313363663665849</v>
      </c>
      <c r="F5">
        <f>_xlfn.STDEV.P(C3:C951)</f>
        <v>1.0642489930713908</v>
      </c>
      <c r="G5">
        <f>_xlfn.STDEV.P(B3:B951)</f>
        <v>3.2732212017445685</v>
      </c>
      <c r="H5">
        <f>0.32*F5</f>
        <v>0.34055967778284507</v>
      </c>
      <c r="I5">
        <v>0.05</v>
      </c>
      <c r="J5">
        <f>I5*$F$5</f>
        <v>5.3212449653569541E-2</v>
      </c>
      <c r="K5">
        <f>I5*$G$5</f>
        <v>0.16366106008722844</v>
      </c>
      <c r="L5">
        <f>0.32*F5</f>
        <v>0.34055967778284507</v>
      </c>
      <c r="M5">
        <f>0.32*G5</f>
        <v>1.047430784558262</v>
      </c>
      <c r="P5" t="str" cm="1">
        <f t="array" ref="P5">_xlfn.IFS(
  AND(D5&gt;0,E5&gt;0),"Expansion",
  AND(D5&lt;0,E5&gt;0),"Slowdown",
  AND(D5&lt;0,E5&lt;0),"Contraction",
  AND(D5&gt;0,E5&lt;0),"Recovery",
  TRUE,"Undefined"
)</f>
        <v>Expansion</v>
      </c>
      <c r="Q5" t="s">
        <v>20</v>
      </c>
      <c r="R5">
        <f>IF(D5&gt;-0.26, 1, -1)</f>
        <v>1</v>
      </c>
      <c r="S5">
        <f>IF(R5=1, IF(D5 &lt; -$L$5, -1, 1), IF(D5 &gt; $L$5, 1, -1))</f>
        <v>1</v>
      </c>
      <c r="T5">
        <f>IF(E5&gt;0, 1, -1)</f>
        <v>1</v>
      </c>
      <c r="U5">
        <f>IF(T5=1, IF(E5 &lt; -$M$5, -1, 1), IF(E5 &gt; $M$5, 1, -1))</f>
        <v>1</v>
      </c>
      <c r="V5" t="str" cm="1">
        <f t="array" ref="V5">_xlfn.IFS(
  AND(S5&gt;0,U5&gt;0),"Expansion",
  AND(S5&lt;0,U5&gt;0),"Slowdown",
  AND(S5&lt;0,U5&lt;0),"Contraction",
  AND(S5&gt;0,U5&lt;0),"Recovery",
  TRUE,"Undefined"
)</f>
        <v>Expansion</v>
      </c>
      <c r="W5">
        <f>IF(Q5="Contraction", 1, 0)</f>
        <v>0</v>
      </c>
      <c r="X5">
        <f>IF(V5="Contraction", 1, 0)</f>
        <v>0</v>
      </c>
      <c r="Y5">
        <v>0</v>
      </c>
    </row>
    <row r="6" spans="1:25" x14ac:dyDescent="0.35">
      <c r="A6" s="1">
        <f>Data!A6</f>
        <v>17288</v>
      </c>
      <c r="B6" s="2">
        <f>IFERROR((Data!B6/Data!B5-1)*100,"")</f>
        <v>-0.22727272727273151</v>
      </c>
      <c r="C6" s="2">
        <f>IFERROR((Data!C6/Data!C5-1)*100,"")</f>
        <v>0.39248525449646632</v>
      </c>
      <c r="D6">
        <f t="shared" si="0"/>
        <v>6.6942659556024076E-2</v>
      </c>
      <c r="E6">
        <f t="shared" si="1"/>
        <v>0.51011969837131776</v>
      </c>
      <c r="I6">
        <v>0.1</v>
      </c>
      <c r="J6">
        <f t="shared" ref="J6:J24" si="2">I6*$F$5</f>
        <v>0.10642489930713908</v>
      </c>
      <c r="K6">
        <f t="shared" ref="K6:K24" si="3">I6*$G$5</f>
        <v>0.32732212017445689</v>
      </c>
      <c r="P6" t="str" cm="1">
        <f t="array" ref="P6">_xlfn.IFS(
  AND(D6&gt;0,E6&gt;0),"Expansion",
  AND(D6&lt;0,E6&gt;0),"Slowdown",
  AND(D6&lt;0,E6&lt;0),"Contraction",
  AND(D6&gt;0,E6&lt;0),"Recovery",
  TRUE,"Undefined"
)</f>
        <v>Expansion</v>
      </c>
      <c r="Q6" t="s">
        <v>20</v>
      </c>
      <c r="R6">
        <f t="shared" ref="R6:R69" si="4">IF(D6&gt;-0.26, 1, -1)</f>
        <v>1</v>
      </c>
      <c r="S6">
        <f t="shared" ref="S6:S69" si="5">IF(R6=1, IF(D6 &lt; -$L$5, -1, 1), IF(D6 &gt; $L$5, 1, -1))</f>
        <v>1</v>
      </c>
      <c r="T6">
        <f t="shared" ref="T6:T69" si="6">IF(E6&gt;0, 1, -1)</f>
        <v>1</v>
      </c>
      <c r="U6">
        <f t="shared" ref="U6:U69" si="7">IF(T6=1, IF(E6 &lt; -$M$5, -1, 1), IF(E6 &gt; $M$5, 1, -1))</f>
        <v>1</v>
      </c>
      <c r="V6" t="str" cm="1">
        <f t="array" ref="V6">_xlfn.IFS(
  AND(S6&gt;0,U6&gt;0),"Expansion",
  AND(S6&lt;0,U6&gt;0),"Slowdown",
  AND(S6&lt;0,U6&lt;0),"Contraction",
  AND(S6&gt;0,U6&lt;0),"Recovery",
  TRUE,"Undefined"
)</f>
        <v>Expansion</v>
      </c>
      <c r="W6">
        <f t="shared" ref="W6:W69" si="8">IF(Q6="Contraction", 1, 0)</f>
        <v>0</v>
      </c>
      <c r="X6">
        <f t="shared" ref="X6:X69" si="9">IF(V6="Contraction", 1, 0)</f>
        <v>0</v>
      </c>
      <c r="Y6">
        <v>0</v>
      </c>
    </row>
    <row r="7" spans="1:25" x14ac:dyDescent="0.35">
      <c r="A7" s="1">
        <f>Data!A7</f>
        <v>17319</v>
      </c>
      <c r="B7" s="2">
        <f>IFERROR((Data!B7/Data!B6-1)*100,"")</f>
        <v>0.59225512528473523</v>
      </c>
      <c r="C7" s="2">
        <f>IFERROR((Data!C7/Data!C6-1)*100,"")</f>
        <v>0</v>
      </c>
      <c r="D7">
        <f t="shared" si="0"/>
        <v>-0.12855152649048721</v>
      </c>
      <c r="E7">
        <f t="shared" si="1"/>
        <v>0.12166079933733458</v>
      </c>
      <c r="I7">
        <v>0.15</v>
      </c>
      <c r="J7">
        <f t="shared" si="2"/>
        <v>0.15963734896070861</v>
      </c>
      <c r="K7">
        <f t="shared" si="3"/>
        <v>0.49098318026168525</v>
      </c>
      <c r="P7" t="str" cm="1">
        <f t="array" ref="P7">_xlfn.IFS(
  AND(D7&gt;0,E7&gt;0),"Expansion",
  AND(D7&lt;0,E7&gt;0),"Slowdown",
  AND(D7&lt;0,E7&lt;0),"Contraction",
  AND(D7&gt;0,E7&lt;0),"Recovery",
  TRUE,"Undefined"
)</f>
        <v>Slowdown</v>
      </c>
      <c r="Q7" t="s">
        <v>20</v>
      </c>
      <c r="R7">
        <f t="shared" si="4"/>
        <v>1</v>
      </c>
      <c r="S7">
        <f t="shared" si="5"/>
        <v>1</v>
      </c>
      <c r="T7">
        <f t="shared" si="6"/>
        <v>1</v>
      </c>
      <c r="U7">
        <f t="shared" si="7"/>
        <v>1</v>
      </c>
      <c r="V7" t="str" cm="1">
        <f t="array" ref="V7">_xlfn.IFS(
  AND(S7&gt;0,U7&gt;0),"Expansion",
  AND(S7&lt;0,U7&gt;0),"Slowdown",
  AND(S7&lt;0,U7&lt;0),"Contraction",
  AND(S7&gt;0,U7&lt;0),"Recovery",
  TRUE,"Undefined"
)</f>
        <v>Expansion</v>
      </c>
      <c r="W7">
        <f t="shared" si="8"/>
        <v>0</v>
      </c>
      <c r="X7">
        <f t="shared" si="9"/>
        <v>0</v>
      </c>
      <c r="Y7">
        <v>0</v>
      </c>
    </row>
    <row r="8" spans="1:25" x14ac:dyDescent="0.35">
      <c r="A8" s="1">
        <f>Data!A8</f>
        <v>17349</v>
      </c>
      <c r="B8" s="2">
        <f>IFERROR((Data!B8/Data!B7-1)*100,"")</f>
        <v>0.67934782608696231</v>
      </c>
      <c r="C8" s="2">
        <f>IFERROR((Data!C8/Data!C7-1)*100,"")</f>
        <v>-0.58606358209605247</v>
      </c>
      <c r="D8">
        <f t="shared" si="0"/>
        <v>-6.4526109199862056E-2</v>
      </c>
      <c r="E8">
        <f t="shared" si="1"/>
        <v>0.34811007469965533</v>
      </c>
      <c r="I8">
        <v>0.2</v>
      </c>
      <c r="J8">
        <f t="shared" si="2"/>
        <v>0.21284979861427816</v>
      </c>
      <c r="K8">
        <f t="shared" si="3"/>
        <v>0.65464424034891378</v>
      </c>
      <c r="P8" t="str" cm="1">
        <f t="array" ref="P8">_xlfn.IFS(
  AND(D8&gt;0,E8&gt;0),"Expansion",
  AND(D8&lt;0,E8&gt;0),"Slowdown",
  AND(D8&lt;0,E8&lt;0),"Contraction",
  AND(D8&gt;0,E8&lt;0),"Recovery",
  TRUE,"Undefined"
)</f>
        <v>Slowdown</v>
      </c>
      <c r="Q8" t="s">
        <v>20</v>
      </c>
      <c r="R8">
        <f t="shared" si="4"/>
        <v>1</v>
      </c>
      <c r="S8">
        <f t="shared" si="5"/>
        <v>1</v>
      </c>
      <c r="T8">
        <f t="shared" si="6"/>
        <v>1</v>
      </c>
      <c r="U8">
        <f t="shared" si="7"/>
        <v>1</v>
      </c>
      <c r="V8" t="str" cm="1">
        <f t="array" ref="V8">_xlfn.IFS(
  AND(S8&gt;0,U8&gt;0),"Expansion",
  AND(S8&lt;0,U8&gt;0),"Slowdown",
  AND(S8&lt;0,U8&lt;0),"Contraction",
  AND(S8&gt;0,U8&lt;0),"Recovery",
  TRUE,"Undefined"
)</f>
        <v>Expansion</v>
      </c>
      <c r="W8">
        <f t="shared" si="8"/>
        <v>0</v>
      </c>
      <c r="X8">
        <f t="shared" si="9"/>
        <v>0</v>
      </c>
      <c r="Y8">
        <v>0</v>
      </c>
    </row>
    <row r="9" spans="1:25" x14ac:dyDescent="0.35">
      <c r="A9" s="1">
        <f>Data!A9</f>
        <v>17380</v>
      </c>
      <c r="B9" s="2">
        <f>IFERROR((Data!B9/Data!B8-1)*100,"")</f>
        <v>0.76473234367970822</v>
      </c>
      <c r="C9" s="2">
        <f>IFERROR((Data!C9/Data!C8-1)*100,"")</f>
        <v>0.58951853554256584</v>
      </c>
      <c r="D9">
        <f t="shared" si="0"/>
        <v>1.1516511488377883E-3</v>
      </c>
      <c r="E9">
        <f t="shared" si="1"/>
        <v>0.67877843168380192</v>
      </c>
      <c r="I9">
        <v>0.25</v>
      </c>
      <c r="J9">
        <f t="shared" si="2"/>
        <v>0.26606224826784769</v>
      </c>
      <c r="K9">
        <f t="shared" si="3"/>
        <v>0.81830530043614214</v>
      </c>
      <c r="P9" t="str" cm="1">
        <f t="array" ref="P9">_xlfn.IFS(
  AND(D9&gt;0,E9&gt;0),"Expansion",
  AND(D9&lt;0,E9&gt;0),"Slowdown",
  AND(D9&lt;0,E9&lt;0),"Contraction",
  AND(D9&gt;0,E9&lt;0),"Recovery",
  TRUE,"Undefined"
)</f>
        <v>Expansion</v>
      </c>
      <c r="Q9" t="s">
        <v>20</v>
      </c>
      <c r="R9">
        <f t="shared" si="4"/>
        <v>1</v>
      </c>
      <c r="S9">
        <f t="shared" si="5"/>
        <v>1</v>
      </c>
      <c r="T9">
        <f t="shared" si="6"/>
        <v>1</v>
      </c>
      <c r="U9">
        <f t="shared" si="7"/>
        <v>1</v>
      </c>
      <c r="V9" t="str" cm="1">
        <f t="array" ref="V9">_xlfn.IFS(
  AND(S9&gt;0,U9&gt;0),"Expansion",
  AND(S9&lt;0,U9&gt;0),"Slowdown",
  AND(S9&lt;0,U9&lt;0),"Contraction",
  AND(S9&gt;0,U9&lt;0),"Recovery",
  TRUE,"Undefined"
)</f>
        <v>Expansion</v>
      </c>
      <c r="W9">
        <f t="shared" si="8"/>
        <v>0</v>
      </c>
      <c r="X9">
        <f t="shared" si="9"/>
        <v>0</v>
      </c>
      <c r="Y9">
        <v>0</v>
      </c>
    </row>
    <row r="10" spans="1:25" x14ac:dyDescent="0.35">
      <c r="A10" s="1">
        <f>Data!A10</f>
        <v>17411</v>
      </c>
      <c r="B10" s="2">
        <f>IFERROR((Data!B10/Data!B9-1)*100,"")</f>
        <v>1.9642857142857295</v>
      </c>
      <c r="C10" s="2">
        <f>IFERROR((Data!C10/Data!C9-1)*100,"")</f>
        <v>0.78117633405625497</v>
      </c>
      <c r="D10">
        <f t="shared" si="0"/>
        <v>0.26154376250092276</v>
      </c>
      <c r="E10">
        <f t="shared" si="1"/>
        <v>1.1361219613508</v>
      </c>
      <c r="I10">
        <v>0.3</v>
      </c>
      <c r="J10">
        <f t="shared" si="2"/>
        <v>0.31927469792141722</v>
      </c>
      <c r="K10">
        <f t="shared" si="3"/>
        <v>0.9819663605233705</v>
      </c>
      <c r="P10" t="str" cm="1">
        <f t="array" ref="P10">_xlfn.IFS(
  AND(D10&gt;0,E10&gt;0),"Expansion",
  AND(D10&lt;0,E10&gt;0),"Slowdown",
  AND(D10&lt;0,E10&lt;0),"Contraction",
  AND(D10&gt;0,E10&lt;0),"Recovery",
  TRUE,"Undefined"
)</f>
        <v>Expansion</v>
      </c>
      <c r="Q10" t="s">
        <v>20</v>
      </c>
      <c r="R10">
        <f t="shared" si="4"/>
        <v>1</v>
      </c>
      <c r="S10">
        <f t="shared" si="5"/>
        <v>1</v>
      </c>
      <c r="T10">
        <f t="shared" si="6"/>
        <v>1</v>
      </c>
      <c r="U10">
        <f t="shared" si="7"/>
        <v>1</v>
      </c>
      <c r="V10" t="str" cm="1">
        <f t="array" ref="V10">_xlfn.IFS(
  AND(S10&gt;0,U10&gt;0),"Expansion",
  AND(S10&lt;0,U10&gt;0),"Slowdown",
  AND(S10&lt;0,U10&lt;0),"Contraction",
  AND(S10&gt;0,U10&lt;0),"Recovery",
  TRUE,"Undefined"
)</f>
        <v>Expansion</v>
      </c>
      <c r="W10">
        <f t="shared" si="8"/>
        <v>0</v>
      </c>
      <c r="X10">
        <f t="shared" si="9"/>
        <v>0</v>
      </c>
      <c r="Y10">
        <v>0</v>
      </c>
    </row>
    <row r="11" spans="1:25" x14ac:dyDescent="0.35">
      <c r="A11" s="1">
        <f>Data!A11</f>
        <v>17441</v>
      </c>
      <c r="B11" s="2">
        <f>IFERROR((Data!B11/Data!B10-1)*100,"")</f>
        <v>0.30647985989491477</v>
      </c>
      <c r="C11" s="2">
        <f>IFERROR((Data!C11/Data!C10-1)*100,"")</f>
        <v>0.96872166165271612</v>
      </c>
      <c r="D11">
        <f t="shared" si="0"/>
        <v>0.77980551041717894</v>
      </c>
      <c r="E11">
        <f t="shared" si="1"/>
        <v>1.0118326392867842</v>
      </c>
      <c r="I11">
        <v>0.35</v>
      </c>
      <c r="J11">
        <f t="shared" si="2"/>
        <v>0.37248714757498674</v>
      </c>
      <c r="K11">
        <f t="shared" si="3"/>
        <v>1.145627420610599</v>
      </c>
      <c r="P11" t="str" cm="1">
        <f t="array" ref="P11">_xlfn.IFS(
  AND(D11&gt;0,E11&gt;0),"Expansion",
  AND(D11&lt;0,E11&gt;0),"Slowdown",
  AND(D11&lt;0,E11&lt;0),"Contraction",
  AND(D11&gt;0,E11&lt;0),"Recovery",
  TRUE,"Undefined"
)</f>
        <v>Expansion</v>
      </c>
      <c r="Q11" t="str">
        <f t="shared" ref="Q11:Q71" si="10">IF(AND(P11=P10, P10=P9), P11, Q10)</f>
        <v>Expansion</v>
      </c>
      <c r="R11">
        <f t="shared" si="4"/>
        <v>1</v>
      </c>
      <c r="S11">
        <f t="shared" si="5"/>
        <v>1</v>
      </c>
      <c r="T11">
        <f t="shared" si="6"/>
        <v>1</v>
      </c>
      <c r="U11">
        <f t="shared" si="7"/>
        <v>1</v>
      </c>
      <c r="V11" t="str" cm="1">
        <f t="array" ref="V11">_xlfn.IFS(
  AND(S11&gt;0,U11&gt;0),"Expansion",
  AND(S11&lt;0,U11&gt;0),"Slowdown",
  AND(S11&lt;0,U11&lt;0),"Contraction",
  AND(S11&gt;0,U11&lt;0),"Recovery",
  TRUE,"Undefined"
)</f>
        <v>Expansion</v>
      </c>
      <c r="W11">
        <f t="shared" si="8"/>
        <v>0</v>
      </c>
      <c r="X11">
        <f t="shared" si="9"/>
        <v>0</v>
      </c>
      <c r="Y11">
        <v>0</v>
      </c>
    </row>
    <row r="12" spans="1:25" x14ac:dyDescent="0.35">
      <c r="A12" s="1">
        <f>Data!A12</f>
        <v>17472</v>
      </c>
      <c r="B12" s="2">
        <f>IFERROR((Data!B12/Data!B11-1)*100,"")</f>
        <v>0.65473592317764062</v>
      </c>
      <c r="C12" s="2">
        <f>IFERROR((Data!C12/Data!C11-1)*100,"")</f>
        <v>1.3436261511704295</v>
      </c>
      <c r="D12">
        <f t="shared" si="0"/>
        <v>1.0311747156264668</v>
      </c>
      <c r="E12">
        <f t="shared" si="1"/>
        <v>0.97516716578609497</v>
      </c>
      <c r="I12">
        <v>0.4</v>
      </c>
      <c r="J12">
        <f t="shared" si="2"/>
        <v>0.42569959722855633</v>
      </c>
      <c r="K12">
        <f t="shared" si="3"/>
        <v>1.3092884806978276</v>
      </c>
      <c r="P12" t="str" cm="1">
        <f t="array" ref="P12">_xlfn.IFS(
  AND(D12&gt;0,E12&gt;0),"Expansion",
  AND(D12&lt;0,E12&gt;0),"Slowdown",
  AND(D12&lt;0,E12&lt;0),"Contraction",
  AND(D12&gt;0,E12&lt;0),"Recovery",
  TRUE,"Undefined"
)</f>
        <v>Expansion</v>
      </c>
      <c r="Q12" t="str">
        <f t="shared" si="10"/>
        <v>Expansion</v>
      </c>
      <c r="R12">
        <f t="shared" si="4"/>
        <v>1</v>
      </c>
      <c r="S12">
        <f t="shared" si="5"/>
        <v>1</v>
      </c>
      <c r="T12">
        <f t="shared" si="6"/>
        <v>1</v>
      </c>
      <c r="U12">
        <f t="shared" si="7"/>
        <v>1</v>
      </c>
      <c r="V12" t="str" cm="1">
        <f t="array" ref="V12">_xlfn.IFS(
  AND(S12&gt;0,U12&gt;0),"Expansion",
  AND(S12&lt;0,U12&gt;0),"Slowdown",
  AND(S12&lt;0,U12&lt;0),"Contraction",
  AND(S12&gt;0,U12&lt;0),"Recovery",
  TRUE,"Undefined"
)</f>
        <v>Expansion</v>
      </c>
      <c r="W12">
        <f t="shared" si="8"/>
        <v>0</v>
      </c>
      <c r="X12">
        <f t="shared" si="9"/>
        <v>0</v>
      </c>
      <c r="Y12">
        <v>0</v>
      </c>
    </row>
    <row r="13" spans="1:25" x14ac:dyDescent="0.35">
      <c r="A13" s="1">
        <f>Data!A13</f>
        <v>17502</v>
      </c>
      <c r="B13" s="2">
        <f>IFERROR((Data!B13/Data!B12-1)*100,"")</f>
        <v>1.5177797051170838</v>
      </c>
      <c r="C13" s="2">
        <f>IFERROR((Data!C13/Data!C12-1)*100,"")</f>
        <v>0.37910491851704808</v>
      </c>
      <c r="D13">
        <f t="shared" si="0"/>
        <v>0.89715091044673123</v>
      </c>
      <c r="E13">
        <f t="shared" si="1"/>
        <v>0.82633182939654637</v>
      </c>
      <c r="I13">
        <v>0.45</v>
      </c>
      <c r="J13">
        <f t="shared" si="2"/>
        <v>0.47891204688212585</v>
      </c>
      <c r="K13">
        <f t="shared" si="3"/>
        <v>1.4729495407850559</v>
      </c>
      <c r="P13" t="str" cm="1">
        <f t="array" ref="P13">_xlfn.IFS(
  AND(D13&gt;0,E13&gt;0),"Expansion",
  AND(D13&lt;0,E13&gt;0),"Slowdown",
  AND(D13&lt;0,E13&lt;0),"Contraction",
  AND(D13&gt;0,E13&lt;0),"Recovery",
  TRUE,"Undefined"
)</f>
        <v>Expansion</v>
      </c>
      <c r="Q13" t="str">
        <f t="shared" si="10"/>
        <v>Expansion</v>
      </c>
      <c r="R13">
        <f t="shared" si="4"/>
        <v>1</v>
      </c>
      <c r="S13">
        <f t="shared" si="5"/>
        <v>1</v>
      </c>
      <c r="T13">
        <f t="shared" si="6"/>
        <v>1</v>
      </c>
      <c r="U13">
        <f t="shared" si="7"/>
        <v>1</v>
      </c>
      <c r="V13" t="str" cm="1">
        <f t="array" ref="V13">_xlfn.IFS(
  AND(S13&gt;0,U13&gt;0),"Expansion",
  AND(S13&lt;0,U13&gt;0),"Slowdown",
  AND(S13&lt;0,U13&lt;0),"Contraction",
  AND(S13&gt;0,U13&lt;0),"Recovery",
  TRUE,"Undefined"
)</f>
        <v>Expansion</v>
      </c>
      <c r="W13">
        <f t="shared" si="8"/>
        <v>0</v>
      </c>
      <c r="X13">
        <f t="shared" si="9"/>
        <v>0</v>
      </c>
      <c r="Y13">
        <v>0</v>
      </c>
    </row>
    <row r="14" spans="1:25" x14ac:dyDescent="0.35">
      <c r="A14" s="1">
        <f>Data!A14</f>
        <v>17533</v>
      </c>
      <c r="B14" s="2">
        <f>IFERROR((Data!B14/Data!B13-1)*100,"")</f>
        <v>1.1533532678342562</v>
      </c>
      <c r="C14" s="2">
        <f>IFERROR((Data!C14/Data!C13-1)*100,"")</f>
        <v>0.56615936545307832</v>
      </c>
      <c r="D14">
        <f t="shared" si="0"/>
        <v>0.7629634783801853</v>
      </c>
      <c r="E14">
        <f t="shared" si="1"/>
        <v>1.1086229653763269</v>
      </c>
      <c r="I14">
        <v>0.5</v>
      </c>
      <c r="J14">
        <f t="shared" si="2"/>
        <v>0.53212449653569538</v>
      </c>
      <c r="K14">
        <f t="shared" si="3"/>
        <v>1.6366106008722843</v>
      </c>
      <c r="P14" t="str" cm="1">
        <f t="array" ref="P14">_xlfn.IFS(
  AND(D14&gt;0,E14&gt;0),"Expansion",
  AND(D14&lt;0,E14&gt;0),"Slowdown",
  AND(D14&lt;0,E14&lt;0),"Contraction",
  AND(D14&gt;0,E14&lt;0),"Recovery",
  TRUE,"Undefined"
)</f>
        <v>Expansion</v>
      </c>
      <c r="Q14" t="str">
        <f t="shared" si="10"/>
        <v>Expansion</v>
      </c>
      <c r="R14">
        <f t="shared" si="4"/>
        <v>1</v>
      </c>
      <c r="S14">
        <f t="shared" si="5"/>
        <v>1</v>
      </c>
      <c r="T14">
        <f t="shared" si="6"/>
        <v>1</v>
      </c>
      <c r="U14">
        <f t="shared" si="7"/>
        <v>1</v>
      </c>
      <c r="V14" t="str" cm="1">
        <f t="array" ref="V14">_xlfn.IFS(
  AND(S14&gt;0,U14&gt;0),"Expansion",
  AND(S14&lt;0,U14&gt;0),"Slowdown",
  AND(S14&lt;0,U14&lt;0),"Contraction",
  AND(S14&gt;0,U14&lt;0),"Recovery",
  TRUE,"Undefined"
)</f>
        <v>Expansion</v>
      </c>
      <c r="W14">
        <f t="shared" si="8"/>
        <v>0</v>
      </c>
      <c r="X14">
        <f t="shared" si="9"/>
        <v>0</v>
      </c>
      <c r="Y14">
        <v>0</v>
      </c>
    </row>
    <row r="15" spans="1:25" x14ac:dyDescent="0.35">
      <c r="A15" s="1">
        <f>Data!A15</f>
        <v>17564</v>
      </c>
      <c r="B15" s="2">
        <f>IFERROR((Data!B15/Data!B14-1)*100,"")</f>
        <v>-4.2229729729725829E-2</v>
      </c>
      <c r="C15" s="2">
        <f>IFERROR((Data!C15/Data!C14-1)*100,"")</f>
        <v>0.18742509963491916</v>
      </c>
      <c r="D15">
        <f t="shared" si="0"/>
        <v>0.3775631278683485</v>
      </c>
      <c r="E15">
        <f t="shared" si="1"/>
        <v>0.87630108107387139</v>
      </c>
      <c r="I15">
        <v>0.55000000000000004</v>
      </c>
      <c r="J15">
        <f t="shared" si="2"/>
        <v>0.58533694618926502</v>
      </c>
      <c r="K15">
        <f t="shared" si="3"/>
        <v>1.8002716609595129</v>
      </c>
      <c r="P15" t="str" cm="1">
        <f t="array" ref="P15">_xlfn.IFS(
  AND(D15&gt;0,E15&gt;0),"Expansion",
  AND(D15&lt;0,E15&gt;0),"Slowdown",
  AND(D15&lt;0,E15&lt;0),"Contraction",
  AND(D15&gt;0,E15&lt;0),"Recovery",
  TRUE,"Undefined"
)</f>
        <v>Expansion</v>
      </c>
      <c r="Q15" t="str">
        <f t="shared" si="10"/>
        <v>Expansion</v>
      </c>
      <c r="R15">
        <f t="shared" si="4"/>
        <v>1</v>
      </c>
      <c r="S15">
        <f t="shared" si="5"/>
        <v>1</v>
      </c>
      <c r="T15">
        <f t="shared" si="6"/>
        <v>1</v>
      </c>
      <c r="U15">
        <f t="shared" si="7"/>
        <v>1</v>
      </c>
      <c r="V15" t="str" cm="1">
        <f t="array" ref="V15">_xlfn.IFS(
  AND(S15&gt;0,U15&gt;0),"Expansion",
  AND(S15&lt;0,U15&gt;0),"Slowdown",
  AND(S15&lt;0,U15&lt;0),"Contraction",
  AND(S15&gt;0,U15&lt;0),"Recovery",
  TRUE,"Undefined"
)</f>
        <v>Expansion</v>
      </c>
      <c r="W15">
        <f t="shared" si="8"/>
        <v>0</v>
      </c>
      <c r="X15">
        <f t="shared" si="9"/>
        <v>0</v>
      </c>
      <c r="Y15">
        <v>0</v>
      </c>
    </row>
    <row r="16" spans="1:25" x14ac:dyDescent="0.35">
      <c r="A16" s="1">
        <f>Data!A16</f>
        <v>17593</v>
      </c>
      <c r="B16" s="2">
        <f>IFERROR((Data!B16/Data!B15-1)*100,"")</f>
        <v>-0.71820870299958983</v>
      </c>
      <c r="C16" s="2">
        <f>IFERROR((Data!C16/Data!C15-1)*100,"")</f>
        <v>-1.1238377389719889</v>
      </c>
      <c r="D16">
        <f t="shared" si="0"/>
        <v>-0.12341775796133048</v>
      </c>
      <c r="E16">
        <f t="shared" si="1"/>
        <v>0.13097161170164684</v>
      </c>
      <c r="I16">
        <v>0.6</v>
      </c>
      <c r="J16">
        <f t="shared" si="2"/>
        <v>0.63854939584283443</v>
      </c>
      <c r="K16">
        <f t="shared" si="3"/>
        <v>1.963932721046741</v>
      </c>
      <c r="P16" t="str" cm="1">
        <f t="array" ref="P16">_xlfn.IFS(
  AND(D16&gt;0,E16&gt;0),"Expansion",
  AND(D16&lt;0,E16&gt;0),"Slowdown",
  AND(D16&lt;0,E16&lt;0),"Contraction",
  AND(D16&gt;0,E16&lt;0),"Recovery",
  TRUE,"Undefined"
)</f>
        <v>Slowdown</v>
      </c>
      <c r="Q16" t="str">
        <f t="shared" si="10"/>
        <v>Expansion</v>
      </c>
      <c r="R16">
        <f t="shared" si="4"/>
        <v>1</v>
      </c>
      <c r="S16">
        <f t="shared" si="5"/>
        <v>1</v>
      </c>
      <c r="T16">
        <f t="shared" si="6"/>
        <v>1</v>
      </c>
      <c r="U16">
        <f t="shared" si="7"/>
        <v>1</v>
      </c>
      <c r="V16" t="str" cm="1">
        <f t="array" ref="V16">_xlfn.IFS(
  AND(S16&gt;0,U16&gt;0),"Expansion",
  AND(S16&lt;0,U16&gt;0),"Slowdown",
  AND(S16&lt;0,U16&lt;0),"Contraction",
  AND(S16&gt;0,U16&lt;0),"Recovery",
  TRUE,"Undefined"
)</f>
        <v>Expansion</v>
      </c>
      <c r="W16">
        <f t="shared" si="8"/>
        <v>0</v>
      </c>
      <c r="X16">
        <f t="shared" si="9"/>
        <v>0</v>
      </c>
      <c r="Y16">
        <v>0</v>
      </c>
    </row>
    <row r="17" spans="1:25" x14ac:dyDescent="0.35">
      <c r="A17" s="1">
        <f>Data!A17</f>
        <v>17624</v>
      </c>
      <c r="B17" s="2">
        <f>IFERROR((Data!B17/Data!B16-1)*100,"")</f>
        <v>1.3617021276595809</v>
      </c>
      <c r="C17" s="2">
        <f>IFERROR((Data!C17/Data!C16-1)*100,"")</f>
        <v>0.18990413357997671</v>
      </c>
      <c r="D17">
        <f t="shared" si="0"/>
        <v>-0.24883616858569768</v>
      </c>
      <c r="E17">
        <f t="shared" si="1"/>
        <v>0.20042123164342174</v>
      </c>
      <c r="I17">
        <v>0.65</v>
      </c>
      <c r="J17">
        <f t="shared" si="2"/>
        <v>0.69176184549640407</v>
      </c>
      <c r="K17">
        <f t="shared" si="3"/>
        <v>2.1275937811339696</v>
      </c>
      <c r="P17" t="str" cm="1">
        <f t="array" ref="P17">_xlfn.IFS(
  AND(D17&gt;0,E17&gt;0),"Expansion",
  AND(D17&lt;0,E17&gt;0),"Slowdown",
  AND(D17&lt;0,E17&lt;0),"Contraction",
  AND(D17&gt;0,E17&lt;0),"Recovery",
  TRUE,"Undefined"
)</f>
        <v>Slowdown</v>
      </c>
      <c r="Q17" t="str">
        <f t="shared" si="10"/>
        <v>Expansion</v>
      </c>
      <c r="R17">
        <f t="shared" si="4"/>
        <v>1</v>
      </c>
      <c r="S17">
        <f t="shared" si="5"/>
        <v>1</v>
      </c>
      <c r="T17">
        <f t="shared" si="6"/>
        <v>1</v>
      </c>
      <c r="U17">
        <f t="shared" si="7"/>
        <v>1</v>
      </c>
      <c r="V17" t="str" cm="1">
        <f t="array" ref="V17">_xlfn.IFS(
  AND(S17&gt;0,U17&gt;0),"Expansion",
  AND(S17&lt;0,U17&gt;0),"Slowdown",
  AND(S17&lt;0,U17&lt;0),"Contraction",
  AND(S17&gt;0,U17&lt;0),"Recovery",
  TRUE,"Undefined"
)</f>
        <v>Expansion</v>
      </c>
      <c r="W17">
        <f t="shared" si="8"/>
        <v>0</v>
      </c>
      <c r="X17">
        <f t="shared" si="9"/>
        <v>0</v>
      </c>
      <c r="Y17">
        <v>0</v>
      </c>
    </row>
    <row r="18" spans="1:25" x14ac:dyDescent="0.35">
      <c r="A18" s="1">
        <f>Data!A18</f>
        <v>17654</v>
      </c>
      <c r="B18" s="2">
        <f>IFERROR((Data!B18/Data!B17-1)*100,"")</f>
        <v>0.79764903442485213</v>
      </c>
      <c r="C18" s="2">
        <f>IFERROR((Data!C18/Data!C17-1)*100,"")</f>
        <v>1.700983523696542</v>
      </c>
      <c r="D18">
        <f t="shared" si="0"/>
        <v>0.25568330610150997</v>
      </c>
      <c r="E18">
        <f t="shared" si="1"/>
        <v>0.48038081969494772</v>
      </c>
      <c r="I18">
        <v>0.7</v>
      </c>
      <c r="J18">
        <f t="shared" si="2"/>
        <v>0.74497429514997349</v>
      </c>
      <c r="K18">
        <f t="shared" si="3"/>
        <v>2.2912548412211979</v>
      </c>
      <c r="P18" t="str" cm="1">
        <f t="array" ref="P18">_xlfn.IFS(
  AND(D18&gt;0,E18&gt;0),"Expansion",
  AND(D18&lt;0,E18&gt;0),"Slowdown",
  AND(D18&lt;0,E18&lt;0),"Contraction",
  AND(D18&gt;0,E18&lt;0),"Recovery",
  TRUE,"Undefined"
)</f>
        <v>Expansion</v>
      </c>
      <c r="Q18" t="str">
        <f t="shared" si="10"/>
        <v>Expansion</v>
      </c>
      <c r="R18">
        <f t="shared" si="4"/>
        <v>1</v>
      </c>
      <c r="S18">
        <f t="shared" si="5"/>
        <v>1</v>
      </c>
      <c r="T18">
        <f t="shared" si="6"/>
        <v>1</v>
      </c>
      <c r="U18">
        <f t="shared" si="7"/>
        <v>1</v>
      </c>
      <c r="V18" t="str" cm="1">
        <f t="array" ref="V18">_xlfn.IFS(
  AND(S18&gt;0,U18&gt;0),"Expansion",
  AND(S18&lt;0,U18&gt;0),"Slowdown",
  AND(S18&lt;0,U18&lt;0),"Contraction",
  AND(S18&gt;0,U18&lt;0),"Recovery",
  TRUE,"Undefined"
)</f>
        <v>Expansion</v>
      </c>
      <c r="W18">
        <f t="shared" si="8"/>
        <v>0</v>
      </c>
      <c r="X18">
        <f t="shared" si="9"/>
        <v>0</v>
      </c>
      <c r="Y18">
        <v>0</v>
      </c>
    </row>
    <row r="19" spans="1:25" x14ac:dyDescent="0.35">
      <c r="A19" s="1">
        <f>Data!A19</f>
        <v>17685</v>
      </c>
      <c r="B19" s="2">
        <f>IFERROR((Data!B19/Data!B18-1)*100,"")</f>
        <v>0.58309037900874383</v>
      </c>
      <c r="C19" s="2">
        <f>IFERROR((Data!C19/Data!C18-1)*100,"")</f>
        <v>1.3011665631255553</v>
      </c>
      <c r="D19">
        <f t="shared" si="0"/>
        <v>1.0640180734673581</v>
      </c>
      <c r="E19">
        <f t="shared" si="1"/>
        <v>0.91414718036439224</v>
      </c>
      <c r="I19">
        <v>0.75</v>
      </c>
      <c r="J19">
        <f t="shared" si="2"/>
        <v>0.79818674480354312</v>
      </c>
      <c r="K19">
        <f t="shared" si="3"/>
        <v>2.4549159013084263</v>
      </c>
      <c r="P19" t="str" cm="1">
        <f t="array" ref="P19">_xlfn.IFS(
  AND(D19&gt;0,E19&gt;0),"Expansion",
  AND(D19&lt;0,E19&gt;0),"Slowdown",
  AND(D19&lt;0,E19&lt;0),"Contraction",
  AND(D19&gt;0,E19&lt;0),"Recovery",
  TRUE,"Undefined"
)</f>
        <v>Expansion</v>
      </c>
      <c r="Q19" t="str">
        <f t="shared" si="10"/>
        <v>Expansion</v>
      </c>
      <c r="R19">
        <f t="shared" si="4"/>
        <v>1</v>
      </c>
      <c r="S19">
        <f t="shared" si="5"/>
        <v>1</v>
      </c>
      <c r="T19">
        <f t="shared" si="6"/>
        <v>1</v>
      </c>
      <c r="U19">
        <f t="shared" si="7"/>
        <v>1</v>
      </c>
      <c r="V19" t="str" cm="1">
        <f t="array" ref="V19">_xlfn.IFS(
  AND(S19&gt;0,U19&gt;0),"Expansion",
  AND(S19&lt;0,U19&gt;0),"Slowdown",
  AND(S19&lt;0,U19&lt;0),"Contraction",
  AND(S19&gt;0,U19&lt;0),"Recovery",
  TRUE,"Undefined"
)</f>
        <v>Expansion</v>
      </c>
      <c r="W19">
        <f t="shared" si="8"/>
        <v>0</v>
      </c>
      <c r="X19">
        <f t="shared" si="9"/>
        <v>0</v>
      </c>
      <c r="Y19">
        <v>0</v>
      </c>
    </row>
    <row r="20" spans="1:25" x14ac:dyDescent="0.35">
      <c r="A20" s="1">
        <f>Data!A20</f>
        <v>17715</v>
      </c>
      <c r="B20" s="2">
        <f>IFERROR((Data!B20/Data!B19-1)*100,"")</f>
        <v>1.0351966873705987</v>
      </c>
      <c r="C20" s="2">
        <f>IFERROR((Data!C20/Data!C19-1)*100,"")</f>
        <v>0</v>
      </c>
      <c r="D20">
        <f t="shared" si="0"/>
        <v>1.0007166956073659</v>
      </c>
      <c r="E20">
        <f t="shared" si="1"/>
        <v>0.80531203360139825</v>
      </c>
      <c r="I20">
        <v>0.8</v>
      </c>
      <c r="J20">
        <f t="shared" si="2"/>
        <v>0.85139919445711265</v>
      </c>
      <c r="K20">
        <f t="shared" si="3"/>
        <v>2.6185769613956551</v>
      </c>
      <c r="P20" t="str" cm="1">
        <f t="array" ref="P20">_xlfn.IFS(
  AND(D20&gt;0,E20&gt;0),"Expansion",
  AND(D20&lt;0,E20&gt;0),"Slowdown",
  AND(D20&lt;0,E20&lt;0),"Contraction",
  AND(D20&gt;0,E20&lt;0),"Recovery",
  TRUE,"Undefined"
)</f>
        <v>Expansion</v>
      </c>
      <c r="Q20" t="str">
        <f t="shared" si="10"/>
        <v>Expansion</v>
      </c>
      <c r="R20">
        <f t="shared" si="4"/>
        <v>1</v>
      </c>
      <c r="S20">
        <f t="shared" si="5"/>
        <v>1</v>
      </c>
      <c r="T20">
        <f t="shared" si="6"/>
        <v>1</v>
      </c>
      <c r="U20">
        <f t="shared" si="7"/>
        <v>1</v>
      </c>
      <c r="V20" t="str" cm="1">
        <f t="array" ref="V20">_xlfn.IFS(
  AND(S20&gt;0,U20&gt;0),"Expansion",
  AND(S20&lt;0,U20&gt;0),"Slowdown",
  AND(S20&lt;0,U20&lt;0),"Contraction",
  AND(S20&gt;0,U20&lt;0),"Recovery",
  TRUE,"Undefined"
)</f>
        <v>Expansion</v>
      </c>
      <c r="W20">
        <f t="shared" si="8"/>
        <v>0</v>
      </c>
      <c r="X20">
        <f t="shared" si="9"/>
        <v>0</v>
      </c>
      <c r="Y20">
        <v>0</v>
      </c>
    </row>
    <row r="21" spans="1:25" x14ac:dyDescent="0.35">
      <c r="A21" s="1">
        <f>Data!A21</f>
        <v>17746</v>
      </c>
      <c r="B21" s="2">
        <f>IFERROR((Data!B21/Data!B20-1)*100,"")</f>
        <v>0.12295081967212962</v>
      </c>
      <c r="C21" s="2">
        <f>IFERROR((Data!C21/Data!C20-1)*100,"")</f>
        <v>-0.36727879799665075</v>
      </c>
      <c r="D21">
        <f t="shared" si="0"/>
        <v>0.31129592170963488</v>
      </c>
      <c r="E21">
        <f t="shared" si="1"/>
        <v>0.58041262868382404</v>
      </c>
      <c r="I21">
        <v>0.85</v>
      </c>
      <c r="J21">
        <f t="shared" si="2"/>
        <v>0.90461164411068207</v>
      </c>
      <c r="K21">
        <f t="shared" si="3"/>
        <v>2.782238021482883</v>
      </c>
      <c r="P21" t="str" cm="1">
        <f t="array" ref="P21">_xlfn.IFS(
  AND(D21&gt;0,E21&gt;0),"Expansion",
  AND(D21&lt;0,E21&gt;0),"Slowdown",
  AND(D21&lt;0,E21&lt;0),"Contraction",
  AND(D21&gt;0,E21&lt;0),"Recovery",
  TRUE,"Undefined"
)</f>
        <v>Expansion</v>
      </c>
      <c r="Q21" t="str">
        <f t="shared" si="10"/>
        <v>Expansion</v>
      </c>
      <c r="R21">
        <f t="shared" si="4"/>
        <v>1</v>
      </c>
      <c r="S21">
        <f t="shared" si="5"/>
        <v>1</v>
      </c>
      <c r="T21">
        <f t="shared" si="6"/>
        <v>1</v>
      </c>
      <c r="U21">
        <f t="shared" si="7"/>
        <v>1</v>
      </c>
      <c r="V21" t="str" cm="1">
        <f t="array" ref="V21">_xlfn.IFS(
  AND(S21&gt;0,U21&gt;0),"Expansion",
  AND(S21&lt;0,U21&gt;0),"Slowdown",
  AND(S21&lt;0,U21&lt;0),"Contraction",
  AND(S21&gt;0,U21&lt;0),"Recovery",
  TRUE,"Undefined"
)</f>
        <v>Expansion</v>
      </c>
      <c r="W21">
        <f t="shared" si="8"/>
        <v>0</v>
      </c>
      <c r="X21">
        <f t="shared" si="9"/>
        <v>0</v>
      </c>
      <c r="Y21">
        <v>0</v>
      </c>
    </row>
    <row r="22" spans="1:25" x14ac:dyDescent="0.35">
      <c r="A22" s="1">
        <f>Data!A22</f>
        <v>17777</v>
      </c>
      <c r="B22" s="2">
        <f>IFERROR((Data!B22/Data!B21-1)*100,"")</f>
        <v>-0.28653295128939771</v>
      </c>
      <c r="C22" s="2">
        <f>IFERROR((Data!C22/Data!C21-1)*100,"")</f>
        <v>-0.73658149586913746</v>
      </c>
      <c r="D22">
        <f t="shared" si="0"/>
        <v>-0.36795343128859609</v>
      </c>
      <c r="E22">
        <f t="shared" si="1"/>
        <v>0.29053818525111019</v>
      </c>
      <c r="I22">
        <v>0.9</v>
      </c>
      <c r="J22">
        <f t="shared" si="2"/>
        <v>0.9578240937642517</v>
      </c>
      <c r="K22">
        <f t="shared" si="3"/>
        <v>2.9458990815701118</v>
      </c>
      <c r="P22" t="str" cm="1">
        <f t="array" ref="P22">_xlfn.IFS(
  AND(D22&gt;0,E22&gt;0),"Expansion",
  AND(D22&lt;0,E22&gt;0),"Slowdown",
  AND(D22&lt;0,E22&lt;0),"Contraction",
  AND(D22&gt;0,E22&lt;0),"Recovery",
  TRUE,"Undefined"
)</f>
        <v>Slowdown</v>
      </c>
      <c r="Q22" t="str">
        <f t="shared" si="10"/>
        <v>Expansion</v>
      </c>
      <c r="R22">
        <f t="shared" si="4"/>
        <v>-1</v>
      </c>
      <c r="S22">
        <f t="shared" si="5"/>
        <v>-1</v>
      </c>
      <c r="T22">
        <f t="shared" si="6"/>
        <v>1</v>
      </c>
      <c r="U22">
        <f t="shared" si="7"/>
        <v>1</v>
      </c>
      <c r="V22" t="str" cm="1">
        <f t="array" ref="V22">_xlfn.IFS(
  AND(S22&gt;0,U22&gt;0),"Expansion",
  AND(S22&lt;0,U22&gt;0),"Slowdown",
  AND(S22&lt;0,U22&lt;0),"Contraction",
  AND(S22&gt;0,U22&lt;0),"Recovery",
  TRUE,"Undefined"
)</f>
        <v>Slowdown</v>
      </c>
      <c r="W22">
        <f t="shared" si="8"/>
        <v>0</v>
      </c>
      <c r="X22">
        <f t="shared" si="9"/>
        <v>0</v>
      </c>
      <c r="Y22">
        <v>0</v>
      </c>
    </row>
    <row r="23" spans="1:25" x14ac:dyDescent="0.35">
      <c r="A23" s="1">
        <f>Data!A23</f>
        <v>17807</v>
      </c>
      <c r="B23" s="2">
        <f>IFERROR((Data!B23/Data!B22-1)*100,"")</f>
        <v>-0.20525451559935126</v>
      </c>
      <c r="C23" s="2">
        <f>IFERROR((Data!C23/Data!C22-1)*100,"")</f>
        <v>0.74273627350334159</v>
      </c>
      <c r="D23">
        <f t="shared" si="0"/>
        <v>-0.12037467345414887</v>
      </c>
      <c r="E23">
        <f t="shared" si="1"/>
        <v>-0.12294554907220645</v>
      </c>
      <c r="I23">
        <v>0.95</v>
      </c>
      <c r="J23">
        <f t="shared" si="2"/>
        <v>1.0110365434178212</v>
      </c>
      <c r="K23">
        <f t="shared" si="3"/>
        <v>3.1095601416573402</v>
      </c>
      <c r="P23" t="str" cm="1">
        <f t="array" ref="P23">_xlfn.IFS(
  AND(D23&gt;0,E23&gt;0),"Expansion",
  AND(D23&lt;0,E23&gt;0),"Slowdown",
  AND(D23&lt;0,E23&lt;0),"Contraction",
  AND(D23&gt;0,E23&lt;0),"Recovery",
  TRUE,"Undefined"
)</f>
        <v>Contraction</v>
      </c>
      <c r="Q23" t="str">
        <f t="shared" si="10"/>
        <v>Expansion</v>
      </c>
      <c r="R23">
        <f t="shared" si="4"/>
        <v>1</v>
      </c>
      <c r="S23">
        <f t="shared" si="5"/>
        <v>1</v>
      </c>
      <c r="T23">
        <f t="shared" si="6"/>
        <v>-1</v>
      </c>
      <c r="U23">
        <f t="shared" si="7"/>
        <v>-1</v>
      </c>
      <c r="V23" t="str" cm="1">
        <f t="array" ref="V23">_xlfn.IFS(
  AND(S23&gt;0,U23&gt;0),"Expansion",
  AND(S23&lt;0,U23&gt;0),"Slowdown",
  AND(S23&lt;0,U23&lt;0),"Contraction",
  AND(S23&gt;0,U23&lt;0),"Recovery",
  TRUE,"Undefined"
)</f>
        <v>Recovery</v>
      </c>
      <c r="W23">
        <f t="shared" si="8"/>
        <v>0</v>
      </c>
      <c r="X23">
        <f t="shared" si="9"/>
        <v>0</v>
      </c>
      <c r="Y23">
        <v>0</v>
      </c>
    </row>
    <row r="24" spans="1:25" x14ac:dyDescent="0.35">
      <c r="A24" s="1">
        <f>Data!A24</f>
        <v>17838</v>
      </c>
      <c r="B24" s="2">
        <f>IFERROR((Data!B24/Data!B23-1)*100,"")</f>
        <v>-0.61703002879472946</v>
      </c>
      <c r="C24" s="2">
        <f>IFERROR((Data!C24/Data!C23-1)*100,"")</f>
        <v>-1.2891797807368599</v>
      </c>
      <c r="D24">
        <f t="shared" si="0"/>
        <v>-0.42767500103421857</v>
      </c>
      <c r="E24">
        <f t="shared" si="1"/>
        <v>-0.36960583189449281</v>
      </c>
      <c r="I24">
        <v>1</v>
      </c>
      <c r="J24">
        <f t="shared" si="2"/>
        <v>1.0642489930713908</v>
      </c>
      <c r="K24">
        <f t="shared" si="3"/>
        <v>3.2732212017445685</v>
      </c>
      <c r="P24" t="str" cm="1">
        <f t="array" ref="P24">_xlfn.IFS(
  AND(D24&gt;0,E24&gt;0),"Expansion",
  AND(D24&lt;0,E24&gt;0),"Slowdown",
  AND(D24&lt;0,E24&lt;0),"Contraction",
  AND(D24&gt;0,E24&lt;0),"Recovery",
  TRUE,"Undefined"
)</f>
        <v>Contraction</v>
      </c>
      <c r="Q24" t="str">
        <f t="shared" si="10"/>
        <v>Expansion</v>
      </c>
      <c r="R24">
        <f t="shared" si="4"/>
        <v>-1</v>
      </c>
      <c r="S24">
        <f t="shared" si="5"/>
        <v>-1</v>
      </c>
      <c r="T24">
        <f t="shared" si="6"/>
        <v>-1</v>
      </c>
      <c r="U24">
        <f t="shared" si="7"/>
        <v>-1</v>
      </c>
      <c r="V24" t="str" cm="1">
        <f t="array" ref="V24">_xlfn.IFS(
  AND(S24&gt;0,U24&gt;0),"Expansion",
  AND(S24&lt;0,U24&gt;0),"Slowdown",
  AND(S24&lt;0,U24&lt;0),"Contraction",
  AND(S24&gt;0,U24&lt;0),"Recovery",
  TRUE,"Undefined"
)</f>
        <v>Contraction</v>
      </c>
      <c r="W24">
        <f t="shared" si="8"/>
        <v>0</v>
      </c>
      <c r="X24">
        <f t="shared" si="9"/>
        <v>1</v>
      </c>
      <c r="Y24">
        <v>0</v>
      </c>
    </row>
    <row r="25" spans="1:25" x14ac:dyDescent="0.35">
      <c r="A25" s="1">
        <f>Data!A25</f>
        <v>17868</v>
      </c>
      <c r="B25" s="2">
        <f>IFERROR((Data!B25/Data!B24-1)*100,"")</f>
        <v>-0.45529801324503127</v>
      </c>
      <c r="C25" s="2">
        <f>IFERROR((Data!C25/Data!C24-1)*100,"")</f>
        <v>-0.93326497242467443</v>
      </c>
      <c r="D25">
        <f t="shared" si="0"/>
        <v>-0.49323615988606423</v>
      </c>
      <c r="E25">
        <f t="shared" si="1"/>
        <v>-0.42586085254637068</v>
      </c>
      <c r="P25" t="str" cm="1">
        <f t="array" ref="P25">_xlfn.IFS(
  AND(D25&gt;0,E25&gt;0),"Expansion",
  AND(D25&lt;0,E25&gt;0),"Slowdown",
  AND(D25&lt;0,E25&lt;0),"Contraction",
  AND(D25&gt;0,E25&lt;0),"Recovery",
  TRUE,"Undefined"
)</f>
        <v>Contraction</v>
      </c>
      <c r="Q25" t="str">
        <f t="shared" si="10"/>
        <v>Contraction</v>
      </c>
      <c r="R25">
        <f t="shared" si="4"/>
        <v>-1</v>
      </c>
      <c r="S25">
        <f t="shared" si="5"/>
        <v>-1</v>
      </c>
      <c r="T25">
        <f t="shared" si="6"/>
        <v>-1</v>
      </c>
      <c r="U25">
        <f t="shared" si="7"/>
        <v>-1</v>
      </c>
      <c r="V25" t="str" cm="1">
        <f t="array" ref="V25">_xlfn.IFS(
  AND(S25&gt;0,U25&gt;0),"Expansion",
  AND(S25&lt;0,U25&gt;0),"Slowdown",
  AND(S25&lt;0,U25&lt;0),"Contraction",
  AND(S25&gt;0,U25&lt;0),"Recovery",
  TRUE,"Undefined"
)</f>
        <v>Contraction</v>
      </c>
      <c r="W25">
        <f t="shared" si="8"/>
        <v>1</v>
      </c>
      <c r="X25">
        <f t="shared" si="9"/>
        <v>1</v>
      </c>
      <c r="Y25">
        <v>1</v>
      </c>
    </row>
    <row r="26" spans="1:25" x14ac:dyDescent="0.35">
      <c r="A26" s="1">
        <f>Data!A26</f>
        <v>17899</v>
      </c>
      <c r="B26" s="2">
        <f>IFERROR((Data!B26/Data!B25-1)*100,"")</f>
        <v>-0.16632016632016633</v>
      </c>
      <c r="C26" s="2">
        <f>IFERROR((Data!C26/Data!C25-1)*100,"")</f>
        <v>-0.94135748505088657</v>
      </c>
      <c r="D26">
        <f t="shared" si="0"/>
        <v>-1.0546007460708069</v>
      </c>
      <c r="E26">
        <f t="shared" si="1"/>
        <v>-0.41288273611997567</v>
      </c>
      <c r="P26" t="str" cm="1">
        <f t="array" ref="P26">_xlfn.IFS(
  AND(D26&gt;0,E26&gt;0),"Expansion",
  AND(D26&lt;0,E26&gt;0),"Slowdown",
  AND(D26&lt;0,E26&lt;0),"Contraction",
  AND(D26&gt;0,E26&lt;0),"Recovery",
  TRUE,"Undefined"
)</f>
        <v>Contraction</v>
      </c>
      <c r="Q26" t="str">
        <f t="shared" si="10"/>
        <v>Contraction</v>
      </c>
      <c r="R26">
        <f t="shared" si="4"/>
        <v>-1</v>
      </c>
      <c r="S26">
        <f t="shared" si="5"/>
        <v>-1</v>
      </c>
      <c r="T26">
        <f t="shared" si="6"/>
        <v>-1</v>
      </c>
      <c r="U26">
        <f t="shared" si="7"/>
        <v>-1</v>
      </c>
      <c r="V26" t="str" cm="1">
        <f t="array" ref="V26">_xlfn.IFS(
  AND(S26&gt;0,U26&gt;0),"Expansion",
  AND(S26&lt;0,U26&gt;0),"Slowdown",
  AND(S26&lt;0,U26&lt;0),"Contraction",
  AND(S26&gt;0,U26&lt;0),"Recovery",
  TRUE,"Undefined"
)</f>
        <v>Contraction</v>
      </c>
      <c r="W26">
        <f t="shared" si="8"/>
        <v>1</v>
      </c>
      <c r="X26">
        <f t="shared" si="9"/>
        <v>1</v>
      </c>
      <c r="Y26">
        <v>1</v>
      </c>
    </row>
    <row r="27" spans="1:25" x14ac:dyDescent="0.35">
      <c r="A27" s="1">
        <f>Data!A27</f>
        <v>17930</v>
      </c>
      <c r="B27" s="2">
        <f>IFERROR((Data!B27/Data!B26-1)*100,"")</f>
        <v>-0.41649312786339321</v>
      </c>
      <c r="C27" s="2">
        <f>IFERROR((Data!C27/Data!C26-1)*100,"")</f>
        <v>-0.95100925592528363</v>
      </c>
      <c r="D27">
        <f t="shared" si="0"/>
        <v>-0.94187723780028154</v>
      </c>
      <c r="E27">
        <f t="shared" si="1"/>
        <v>-0.34603710247619696</v>
      </c>
      <c r="P27" t="str" cm="1">
        <f t="array" ref="P27">_xlfn.IFS(
  AND(D27&gt;0,E27&gt;0),"Expansion",
  AND(D27&lt;0,E27&gt;0),"Slowdown",
  AND(D27&lt;0,E27&lt;0),"Contraction",
  AND(D27&gt;0,E27&lt;0),"Recovery",
  TRUE,"Undefined"
)</f>
        <v>Contraction</v>
      </c>
      <c r="Q27" t="str">
        <f t="shared" si="10"/>
        <v>Contraction</v>
      </c>
      <c r="R27">
        <f t="shared" si="4"/>
        <v>-1</v>
      </c>
      <c r="S27">
        <f t="shared" si="5"/>
        <v>-1</v>
      </c>
      <c r="T27">
        <f t="shared" si="6"/>
        <v>-1</v>
      </c>
      <c r="U27">
        <f t="shared" si="7"/>
        <v>-1</v>
      </c>
      <c r="V27" t="str" cm="1">
        <f t="array" ref="V27">_xlfn.IFS(
  AND(S27&gt;0,U27&gt;0),"Expansion",
  AND(S27&lt;0,U27&gt;0),"Slowdown",
  AND(S27&lt;0,U27&lt;0),"Contraction",
  AND(S27&gt;0,U27&lt;0),"Recovery",
  TRUE,"Undefined"
)</f>
        <v>Contraction</v>
      </c>
      <c r="W27">
        <f t="shared" si="8"/>
        <v>1</v>
      </c>
      <c r="X27">
        <f t="shared" si="9"/>
        <v>1</v>
      </c>
      <c r="Y27">
        <v>1</v>
      </c>
    </row>
    <row r="28" spans="1:25" x14ac:dyDescent="0.35">
      <c r="A28" s="1">
        <f>Data!A28</f>
        <v>17958</v>
      </c>
      <c r="B28" s="2">
        <f>IFERROR((Data!B28/Data!B27-1)*100,"")</f>
        <v>0</v>
      </c>
      <c r="C28" s="2">
        <f>IFERROR((Data!C28/Data!C27-1)*100,"")</f>
        <v>-1.9188549596555693</v>
      </c>
      <c r="D28">
        <f t="shared" si="0"/>
        <v>-1.2704072335439132</v>
      </c>
      <c r="E28">
        <f t="shared" si="1"/>
        <v>-0.1942710980611865</v>
      </c>
      <c r="P28" t="str" cm="1">
        <f t="array" ref="P28">_xlfn.IFS(
  AND(D28&gt;0,E28&gt;0),"Expansion",
  AND(D28&lt;0,E28&gt;0),"Slowdown",
  AND(D28&lt;0,E28&lt;0),"Contraction",
  AND(D28&gt;0,E28&lt;0),"Recovery",
  TRUE,"Undefined"
)</f>
        <v>Contraction</v>
      </c>
      <c r="Q28" t="str">
        <f t="shared" si="10"/>
        <v>Contraction</v>
      </c>
      <c r="R28">
        <f t="shared" si="4"/>
        <v>-1</v>
      </c>
      <c r="S28">
        <f t="shared" si="5"/>
        <v>-1</v>
      </c>
      <c r="T28">
        <f t="shared" si="6"/>
        <v>-1</v>
      </c>
      <c r="U28">
        <f t="shared" si="7"/>
        <v>-1</v>
      </c>
      <c r="V28" t="str" cm="1">
        <f t="array" ref="V28">_xlfn.IFS(
  AND(S28&gt;0,U28&gt;0),"Expansion",
  AND(S28&lt;0,U28&gt;0),"Slowdown",
  AND(S28&lt;0,U28&lt;0),"Contraction",
  AND(S28&gt;0,U28&lt;0),"Recovery",
  TRUE,"Undefined"
)</f>
        <v>Contraction</v>
      </c>
      <c r="W28">
        <f t="shared" si="8"/>
        <v>1</v>
      </c>
      <c r="X28">
        <f t="shared" si="9"/>
        <v>1</v>
      </c>
      <c r="Y28">
        <v>1</v>
      </c>
    </row>
    <row r="29" spans="1:25" x14ac:dyDescent="0.35">
      <c r="A29" s="1">
        <f>Data!A29</f>
        <v>17989</v>
      </c>
      <c r="B29" s="2">
        <f>IFERROR((Data!B29/Data!B28-1)*100,"")</f>
        <v>4.1823504809701539E-2</v>
      </c>
      <c r="C29" s="2">
        <f>IFERROR((Data!C29/Data!C28-1)*100,"")</f>
        <v>-0.58720930232558644</v>
      </c>
      <c r="D29">
        <f t="shared" si="0"/>
        <v>-1.1523578393021465</v>
      </c>
      <c r="E29">
        <f t="shared" si="1"/>
        <v>-0.12488987435123056</v>
      </c>
      <c r="P29" t="str" cm="1">
        <f t="array" ref="P29">_xlfn.IFS(
  AND(D29&gt;0,E29&gt;0),"Expansion",
  AND(D29&lt;0,E29&gt;0),"Slowdown",
  AND(D29&lt;0,E29&lt;0),"Contraction",
  AND(D29&gt;0,E29&lt;0),"Recovery",
  TRUE,"Undefined"
)</f>
        <v>Contraction</v>
      </c>
      <c r="Q29" t="str">
        <f t="shared" si="10"/>
        <v>Contraction</v>
      </c>
      <c r="R29">
        <f t="shared" si="4"/>
        <v>-1</v>
      </c>
      <c r="S29">
        <f t="shared" si="5"/>
        <v>-1</v>
      </c>
      <c r="T29">
        <f t="shared" si="6"/>
        <v>-1</v>
      </c>
      <c r="U29">
        <f t="shared" si="7"/>
        <v>-1</v>
      </c>
      <c r="V29" t="str" cm="1">
        <f t="array" ref="V29">_xlfn.IFS(
  AND(S29&gt;0,U29&gt;0),"Expansion",
  AND(S29&lt;0,U29&gt;0),"Slowdown",
  AND(S29&lt;0,U29&lt;0),"Contraction",
  AND(S29&gt;0,U29&lt;0),"Recovery",
  TRUE,"Undefined"
)</f>
        <v>Contraction</v>
      </c>
      <c r="W29">
        <f t="shared" si="8"/>
        <v>1</v>
      </c>
      <c r="X29">
        <f t="shared" si="9"/>
        <v>1</v>
      </c>
      <c r="Y29">
        <v>1</v>
      </c>
    </row>
    <row r="30" spans="1:25" x14ac:dyDescent="0.35">
      <c r="A30" s="1">
        <f>Data!A30</f>
        <v>18019</v>
      </c>
      <c r="B30" s="2">
        <f>IFERROR((Data!B30/Data!B29-1)*100,"")</f>
        <v>-4.180602006689238E-2</v>
      </c>
      <c r="C30" s="2">
        <f>IFERROR((Data!C30/Data!C29-1)*100,"")</f>
        <v>-1.3780045616702652</v>
      </c>
      <c r="D30">
        <f t="shared" si="0"/>
        <v>-1.294689607883807</v>
      </c>
      <c r="E30">
        <f t="shared" si="1"/>
        <v>5.8282476030531898E-6</v>
      </c>
      <c r="P30" t="str" cm="1">
        <f t="array" ref="P30">_xlfn.IFS(
  AND(D30&gt;0,E30&gt;0),"Expansion",
  AND(D30&lt;0,E30&gt;0),"Slowdown",
  AND(D30&lt;0,E30&lt;0),"Contraction",
  AND(D30&gt;0,E30&lt;0),"Recovery",
  TRUE,"Undefined"
)</f>
        <v>Slowdown</v>
      </c>
      <c r="Q30" t="str">
        <f t="shared" si="10"/>
        <v>Contraction</v>
      </c>
      <c r="R30">
        <f t="shared" si="4"/>
        <v>-1</v>
      </c>
      <c r="S30">
        <f t="shared" si="5"/>
        <v>-1</v>
      </c>
      <c r="T30">
        <f t="shared" si="6"/>
        <v>1</v>
      </c>
      <c r="U30">
        <f t="shared" si="7"/>
        <v>1</v>
      </c>
      <c r="V30" t="str" cm="1">
        <f t="array" ref="V30">_xlfn.IFS(
  AND(S30&gt;0,U30&gt;0),"Expansion",
  AND(S30&lt;0,U30&gt;0),"Slowdown",
  AND(S30&lt;0,U30&lt;0),"Contraction",
  AND(S30&gt;0,U30&lt;0),"Recovery",
  TRUE,"Undefined"
)</f>
        <v>Slowdown</v>
      </c>
      <c r="W30">
        <f t="shared" si="8"/>
        <v>1</v>
      </c>
      <c r="X30">
        <f t="shared" si="9"/>
        <v>0</v>
      </c>
      <c r="Y30">
        <v>1</v>
      </c>
    </row>
    <row r="31" spans="1:25" x14ac:dyDescent="0.35">
      <c r="A31" s="1">
        <f>Data!A31</f>
        <v>18050</v>
      </c>
      <c r="B31" s="2">
        <f>IFERROR((Data!B31/Data!B30-1)*100,"")</f>
        <v>4.1823504809701539E-2</v>
      </c>
      <c r="C31" s="2">
        <f>IFERROR((Data!C31/Data!C30-1)*100,"")</f>
        <v>-0.19939662137620218</v>
      </c>
      <c r="D31">
        <f t="shared" si="0"/>
        <v>-0.72153682845735123</v>
      </c>
      <c r="E31">
        <f t="shared" si="1"/>
        <v>1.3946996517503566E-2</v>
      </c>
      <c r="P31" t="str" cm="1">
        <f t="array" ref="P31">_xlfn.IFS(
  AND(D31&gt;0,E31&gt;0),"Expansion",
  AND(D31&lt;0,E31&gt;0),"Slowdown",
  AND(D31&lt;0,E31&lt;0),"Contraction",
  AND(D31&gt;0,E31&lt;0),"Recovery",
  TRUE,"Undefined"
)</f>
        <v>Slowdown</v>
      </c>
      <c r="Q31" t="str">
        <f t="shared" si="10"/>
        <v>Contraction</v>
      </c>
      <c r="R31">
        <f t="shared" si="4"/>
        <v>-1</v>
      </c>
      <c r="S31">
        <f t="shared" si="5"/>
        <v>-1</v>
      </c>
      <c r="T31">
        <f t="shared" si="6"/>
        <v>1</v>
      </c>
      <c r="U31">
        <f t="shared" si="7"/>
        <v>1</v>
      </c>
      <c r="V31" t="str" cm="1">
        <f t="array" ref="V31">_xlfn.IFS(
  AND(S31&gt;0,U31&gt;0),"Expansion",
  AND(S31&lt;0,U31&gt;0),"Slowdown",
  AND(S31&lt;0,U31&lt;0),"Contraction",
  AND(S31&gt;0,U31&lt;0),"Recovery",
  TRUE,"Undefined"
)</f>
        <v>Slowdown</v>
      </c>
      <c r="W31">
        <f t="shared" si="8"/>
        <v>1</v>
      </c>
      <c r="X31">
        <f t="shared" si="9"/>
        <v>0</v>
      </c>
      <c r="Y31">
        <v>1</v>
      </c>
    </row>
    <row r="32" spans="1:25" x14ac:dyDescent="0.35">
      <c r="A32" s="1">
        <f>Data!A32</f>
        <v>18080</v>
      </c>
      <c r="B32" s="2">
        <f>IFERROR((Data!B32/Data!B31-1)*100,"")</f>
        <v>-0.91973244147157684</v>
      </c>
      <c r="C32" s="2">
        <f>IFERROR((Data!C32/Data!C31-1)*100,"")</f>
        <v>-0.20053773823140997</v>
      </c>
      <c r="D32">
        <f t="shared" si="0"/>
        <v>-0.59264630709262578</v>
      </c>
      <c r="E32">
        <f t="shared" si="1"/>
        <v>-0.30657165224292254</v>
      </c>
      <c r="P32" t="str" cm="1">
        <f t="array" ref="P32">_xlfn.IFS(
  AND(D32&gt;0,E32&gt;0),"Expansion",
  AND(D32&lt;0,E32&gt;0),"Slowdown",
  AND(D32&lt;0,E32&lt;0),"Contraction",
  AND(D32&gt;0,E32&lt;0),"Recovery",
  TRUE,"Undefined"
)</f>
        <v>Contraction</v>
      </c>
      <c r="Q32" t="str">
        <f t="shared" si="10"/>
        <v>Contraction</v>
      </c>
      <c r="R32">
        <f t="shared" si="4"/>
        <v>-1</v>
      </c>
      <c r="S32">
        <f t="shared" si="5"/>
        <v>-1</v>
      </c>
      <c r="T32">
        <f t="shared" si="6"/>
        <v>-1</v>
      </c>
      <c r="U32">
        <f t="shared" si="7"/>
        <v>-1</v>
      </c>
      <c r="V32" t="str" cm="1">
        <f t="array" ref="V32">_xlfn.IFS(
  AND(S32&gt;0,U32&gt;0),"Expansion",
  AND(S32&lt;0,U32&gt;0),"Slowdown",
  AND(S32&lt;0,U32&lt;0),"Contraction",
  AND(S32&gt;0,U32&lt;0),"Recovery",
  TRUE,"Undefined"
)</f>
        <v>Contraction</v>
      </c>
      <c r="W32">
        <f t="shared" si="8"/>
        <v>1</v>
      </c>
      <c r="X32">
        <f t="shared" si="9"/>
        <v>1</v>
      </c>
      <c r="Y32">
        <v>1</v>
      </c>
    </row>
    <row r="33" spans="1:25" x14ac:dyDescent="0.35">
      <c r="A33" s="1">
        <f>Data!A33</f>
        <v>18111</v>
      </c>
      <c r="B33" s="2">
        <f>IFERROR((Data!B33/Data!B32-1)*100,"")</f>
        <v>0</v>
      </c>
      <c r="C33" s="2">
        <f>IFERROR((Data!C33/Data!C32-1)*100,"")</f>
        <v>1.0024708263872473</v>
      </c>
      <c r="D33">
        <f t="shared" si="0"/>
        <v>0.20084548892654505</v>
      </c>
      <c r="E33">
        <f t="shared" si="1"/>
        <v>-0.29263631222062508</v>
      </c>
      <c r="P33" t="str" cm="1">
        <f t="array" ref="P33">_xlfn.IFS(
  AND(D33&gt;0,E33&gt;0),"Expansion",
  AND(D33&lt;0,E33&gt;0),"Slowdown",
  AND(D33&lt;0,E33&lt;0),"Contraction",
  AND(D33&gt;0,E33&lt;0),"Recovery",
  TRUE,"Undefined"
)</f>
        <v>Recovery</v>
      </c>
      <c r="Q33" t="str">
        <f t="shared" si="10"/>
        <v>Contraction</v>
      </c>
      <c r="R33">
        <f t="shared" si="4"/>
        <v>1</v>
      </c>
      <c r="S33">
        <f t="shared" si="5"/>
        <v>1</v>
      </c>
      <c r="T33">
        <f t="shared" si="6"/>
        <v>-1</v>
      </c>
      <c r="U33">
        <f t="shared" si="7"/>
        <v>-1</v>
      </c>
      <c r="V33" t="str" cm="1">
        <f t="array" ref="V33">_xlfn.IFS(
  AND(S33&gt;0,U33&gt;0),"Expansion",
  AND(S33&lt;0,U33&gt;0),"Slowdown",
  AND(S33&lt;0,U33&lt;0),"Contraction",
  AND(S33&gt;0,U33&lt;0),"Recovery",
  TRUE,"Undefined"
)</f>
        <v>Recovery</v>
      </c>
      <c r="W33">
        <f t="shared" si="8"/>
        <v>1</v>
      </c>
      <c r="X33">
        <f t="shared" si="9"/>
        <v>0</v>
      </c>
      <c r="Y33">
        <v>1</v>
      </c>
    </row>
    <row r="34" spans="1:25" x14ac:dyDescent="0.35">
      <c r="A34" s="1">
        <f>Data!A34</f>
        <v>18142</v>
      </c>
      <c r="B34" s="2">
        <f>IFERROR((Data!B34/Data!B33-1)*100,"")</f>
        <v>0.21097046413502962</v>
      </c>
      <c r="C34" s="2">
        <f>IFERROR((Data!C34/Data!C33-1)*100,"")</f>
        <v>0.99178425376706958</v>
      </c>
      <c r="D34">
        <f t="shared" si="0"/>
        <v>0.597905780640969</v>
      </c>
      <c r="E34">
        <f t="shared" si="1"/>
        <v>-0.23625399244551573</v>
      </c>
      <c r="P34" t="str" cm="1">
        <f t="array" ref="P34">_xlfn.IFS(
  AND(D34&gt;0,E34&gt;0),"Expansion",
  AND(D34&lt;0,E34&gt;0),"Slowdown",
  AND(D34&lt;0,E34&lt;0),"Contraction",
  AND(D34&gt;0,E34&lt;0),"Recovery",
  TRUE,"Undefined"
)</f>
        <v>Recovery</v>
      </c>
      <c r="Q34" t="str">
        <f t="shared" si="10"/>
        <v>Contraction</v>
      </c>
      <c r="R34">
        <f t="shared" si="4"/>
        <v>1</v>
      </c>
      <c r="S34">
        <f t="shared" si="5"/>
        <v>1</v>
      </c>
      <c r="T34">
        <f t="shared" si="6"/>
        <v>-1</v>
      </c>
      <c r="U34">
        <f t="shared" si="7"/>
        <v>-1</v>
      </c>
      <c r="V34" t="str" cm="1">
        <f t="array" ref="V34">_xlfn.IFS(
  AND(S34&gt;0,U34&gt;0),"Expansion",
  AND(S34&lt;0,U34&gt;0),"Slowdown",
  AND(S34&lt;0,U34&lt;0),"Contraction",
  AND(S34&gt;0,U34&lt;0),"Recovery",
  TRUE,"Undefined"
)</f>
        <v>Recovery</v>
      </c>
      <c r="W34">
        <f t="shared" si="8"/>
        <v>1</v>
      </c>
      <c r="X34">
        <f t="shared" si="9"/>
        <v>0</v>
      </c>
      <c r="Y34">
        <v>1</v>
      </c>
    </row>
    <row r="35" spans="1:25" x14ac:dyDescent="0.35">
      <c r="A35" s="1">
        <f>Data!A35</f>
        <v>18172</v>
      </c>
      <c r="B35" s="2">
        <f>IFERROR((Data!B35/Data!B34-1)*100,"")</f>
        <v>-0.33684210526314651</v>
      </c>
      <c r="C35" s="2">
        <f>IFERROR((Data!C35/Data!C34-1)*100,"")</f>
        <v>-3.7326445889056648</v>
      </c>
      <c r="D35">
        <f t="shared" si="0"/>
        <v>-0.57946316958378263</v>
      </c>
      <c r="E35">
        <f t="shared" si="1"/>
        <v>-4.1957213709372297E-2</v>
      </c>
      <c r="P35" t="str" cm="1">
        <f t="array" ref="P35">_xlfn.IFS(
  AND(D35&gt;0,E35&gt;0),"Expansion",
  AND(D35&lt;0,E35&gt;0),"Slowdown",
  AND(D35&lt;0,E35&lt;0),"Contraction",
  AND(D35&gt;0,E35&lt;0),"Recovery",
  TRUE,"Undefined"
)</f>
        <v>Contraction</v>
      </c>
      <c r="Q35" t="str">
        <f t="shared" si="10"/>
        <v>Contraction</v>
      </c>
      <c r="R35">
        <f t="shared" si="4"/>
        <v>-1</v>
      </c>
      <c r="S35">
        <f t="shared" si="5"/>
        <v>-1</v>
      </c>
      <c r="T35">
        <f t="shared" si="6"/>
        <v>-1</v>
      </c>
      <c r="U35">
        <f t="shared" si="7"/>
        <v>-1</v>
      </c>
      <c r="V35" t="str" cm="1">
        <f t="array" ref="V35">_xlfn.IFS(
  AND(S35&gt;0,U35&gt;0),"Expansion",
  AND(S35&lt;0,U35&gt;0),"Slowdown",
  AND(S35&lt;0,U35&lt;0),"Contraction",
  AND(S35&gt;0,U35&lt;0),"Recovery",
  TRUE,"Undefined"
)</f>
        <v>Contraction</v>
      </c>
      <c r="W35">
        <f t="shared" si="8"/>
        <v>1</v>
      </c>
      <c r="X35">
        <f t="shared" si="9"/>
        <v>1</v>
      </c>
      <c r="Y35">
        <v>1</v>
      </c>
    </row>
    <row r="36" spans="1:25" x14ac:dyDescent="0.35">
      <c r="A36" s="1">
        <f>Data!A36</f>
        <v>18203</v>
      </c>
      <c r="B36" s="2">
        <f>IFERROR((Data!B36/Data!B35-1)*100,"")</f>
        <v>0.12674271229402567</v>
      </c>
      <c r="C36" s="2">
        <f>IFERROR((Data!C36/Data!C35-1)*100,"")</f>
        <v>2.6533783015650458</v>
      </c>
      <c r="D36">
        <f t="shared" si="0"/>
        <v>-2.9160677857849777E-2</v>
      </c>
      <c r="E36">
        <f t="shared" si="1"/>
        <v>2.9035705530292927E-4</v>
      </c>
      <c r="P36" t="str" cm="1">
        <f t="array" ref="P36">_xlfn.IFS(
  AND(D36&gt;0,E36&gt;0),"Expansion",
  AND(D36&lt;0,E36&gt;0),"Slowdown",
  AND(D36&lt;0,E36&lt;0),"Contraction",
  AND(D36&gt;0,E36&lt;0),"Recovery",
  TRUE,"Undefined"
)</f>
        <v>Slowdown</v>
      </c>
      <c r="Q36" t="str">
        <f t="shared" si="10"/>
        <v>Contraction</v>
      </c>
      <c r="R36">
        <f t="shared" si="4"/>
        <v>1</v>
      </c>
      <c r="S36">
        <f t="shared" si="5"/>
        <v>1</v>
      </c>
      <c r="T36">
        <f t="shared" si="6"/>
        <v>1</v>
      </c>
      <c r="U36">
        <f t="shared" si="7"/>
        <v>1</v>
      </c>
      <c r="V36" t="str" cm="1">
        <f t="array" ref="V36">_xlfn.IFS(
  AND(S36&gt;0,U36&gt;0),"Expansion",
  AND(S36&lt;0,U36&gt;0),"Slowdown",
  AND(S36&lt;0,U36&lt;0),"Contraction",
  AND(S36&gt;0,U36&lt;0),"Recovery",
  TRUE,"Undefined"
)</f>
        <v>Expansion</v>
      </c>
      <c r="W36">
        <f t="shared" si="8"/>
        <v>1</v>
      </c>
      <c r="X36">
        <f t="shared" si="9"/>
        <v>0</v>
      </c>
      <c r="Y36">
        <v>0</v>
      </c>
    </row>
    <row r="37" spans="1:25" x14ac:dyDescent="0.35">
      <c r="A37" s="1">
        <f>Data!A37</f>
        <v>18233</v>
      </c>
      <c r="B37" s="2">
        <f>IFERROR((Data!B37/Data!B36-1)*100,"")</f>
        <v>-0.37974683544304</v>
      </c>
      <c r="C37" s="2">
        <f>IFERROR((Data!C37/Data!C36-1)*100,"")</f>
        <v>1.7889048033902677</v>
      </c>
      <c r="D37">
        <f t="shared" si="0"/>
        <v>0.23654617201654959</v>
      </c>
      <c r="E37">
        <f t="shared" si="1"/>
        <v>-0.19661540947072029</v>
      </c>
      <c r="P37" t="str" cm="1">
        <f t="array" ref="P37">_xlfn.IFS(
  AND(D37&gt;0,E37&gt;0),"Expansion",
  AND(D37&lt;0,E37&gt;0),"Slowdown",
  AND(D37&lt;0,E37&lt;0),"Contraction",
  AND(D37&gt;0,E37&lt;0),"Recovery",
  TRUE,"Undefined"
)</f>
        <v>Recovery</v>
      </c>
      <c r="Q37" t="str">
        <f t="shared" si="10"/>
        <v>Contraction</v>
      </c>
      <c r="R37">
        <f t="shared" si="4"/>
        <v>1</v>
      </c>
      <c r="S37">
        <f t="shared" si="5"/>
        <v>1</v>
      </c>
      <c r="T37">
        <f t="shared" si="6"/>
        <v>-1</v>
      </c>
      <c r="U37">
        <f t="shared" si="7"/>
        <v>-1</v>
      </c>
      <c r="V37" t="str" cm="1">
        <f t="array" ref="V37">_xlfn.IFS(
  AND(S37&gt;0,U37&gt;0),"Expansion",
  AND(S37&lt;0,U37&gt;0),"Slowdown",
  AND(S37&lt;0,U37&lt;0),"Contraction",
  AND(S37&gt;0,U37&lt;0),"Recovery",
  TRUE,"Undefined"
)</f>
        <v>Recovery</v>
      </c>
      <c r="W37">
        <f t="shared" si="8"/>
        <v>1</v>
      </c>
      <c r="X37">
        <f t="shared" si="9"/>
        <v>0</v>
      </c>
      <c r="Y37">
        <v>0</v>
      </c>
    </row>
    <row r="38" spans="1:25" x14ac:dyDescent="0.35">
      <c r="A38" s="1">
        <f>Data!A38</f>
        <v>18264</v>
      </c>
      <c r="B38" s="2">
        <f>IFERROR((Data!B38/Data!B37-1)*100,"")</f>
        <v>-0.42354934349850826</v>
      </c>
      <c r="C38" s="2">
        <f>IFERROR((Data!C38/Data!C37-1)*100,"")</f>
        <v>1.757465420072668</v>
      </c>
      <c r="D38">
        <f t="shared" si="0"/>
        <v>2.0665828416759937</v>
      </c>
      <c r="E38">
        <f t="shared" si="1"/>
        <v>-0.22551782221584085</v>
      </c>
      <c r="P38" t="str" cm="1">
        <f t="array" ref="P38">_xlfn.IFS(
  AND(D38&gt;0,E38&gt;0),"Expansion",
  AND(D38&lt;0,E38&gt;0),"Slowdown",
  AND(D38&lt;0,E38&lt;0),"Contraction",
  AND(D38&gt;0,E38&lt;0),"Recovery",
  TRUE,"Undefined"
)</f>
        <v>Recovery</v>
      </c>
      <c r="Q38" t="str">
        <f t="shared" si="10"/>
        <v>Contraction</v>
      </c>
      <c r="R38">
        <f t="shared" si="4"/>
        <v>1</v>
      </c>
      <c r="S38">
        <f t="shared" si="5"/>
        <v>1</v>
      </c>
      <c r="T38">
        <f t="shared" si="6"/>
        <v>-1</v>
      </c>
      <c r="U38">
        <f t="shared" si="7"/>
        <v>-1</v>
      </c>
      <c r="V38" t="str" cm="1">
        <f t="array" ref="V38">_xlfn.IFS(
  AND(S38&gt;0,U38&gt;0),"Expansion",
  AND(S38&lt;0,U38&gt;0),"Slowdown",
  AND(S38&lt;0,U38&lt;0),"Contraction",
  AND(S38&gt;0,U38&lt;0),"Recovery",
  TRUE,"Undefined"
)</f>
        <v>Recovery</v>
      </c>
      <c r="W38">
        <f t="shared" si="8"/>
        <v>1</v>
      </c>
      <c r="X38">
        <f t="shared" si="9"/>
        <v>0</v>
      </c>
      <c r="Y38">
        <v>0</v>
      </c>
    </row>
    <row r="39" spans="1:25" x14ac:dyDescent="0.35">
      <c r="A39" s="1">
        <f>Data!A39</f>
        <v>18295</v>
      </c>
      <c r="B39" s="2">
        <f>IFERROR((Data!B39/Data!B38-1)*100,"")</f>
        <v>0.42535091450446316</v>
      </c>
      <c r="C39" s="2">
        <f>IFERROR((Data!C39/Data!C38-1)*100,"")</f>
        <v>0.3841986713426282</v>
      </c>
      <c r="D39">
        <f t="shared" si="0"/>
        <v>1.3101896316018546</v>
      </c>
      <c r="E39">
        <f t="shared" si="1"/>
        <v>-0.12598175481236171</v>
      </c>
      <c r="P39" t="str" cm="1">
        <f t="array" ref="P39">_xlfn.IFS(
  AND(D39&gt;0,E39&gt;0),"Expansion",
  AND(D39&lt;0,E39&gt;0),"Slowdown",
  AND(D39&lt;0,E39&lt;0),"Contraction",
  AND(D39&gt;0,E39&lt;0),"Recovery",
  TRUE,"Undefined"
)</f>
        <v>Recovery</v>
      </c>
      <c r="Q39" t="str">
        <f t="shared" si="10"/>
        <v>Recovery</v>
      </c>
      <c r="R39">
        <f t="shared" si="4"/>
        <v>1</v>
      </c>
      <c r="S39">
        <f t="shared" si="5"/>
        <v>1</v>
      </c>
      <c r="T39">
        <f t="shared" si="6"/>
        <v>-1</v>
      </c>
      <c r="U39">
        <f t="shared" si="7"/>
        <v>-1</v>
      </c>
      <c r="V39" t="str" cm="1">
        <f t="array" ref="V39">_xlfn.IFS(
  AND(S39&gt;0,U39&gt;0),"Expansion",
  AND(S39&lt;0,U39&gt;0),"Slowdown",
  AND(S39&lt;0,U39&lt;0),"Contraction",
  AND(S39&gt;0,U39&lt;0),"Recovery",
  TRUE,"Undefined"
)</f>
        <v>Recovery</v>
      </c>
      <c r="W39">
        <f t="shared" si="8"/>
        <v>0</v>
      </c>
      <c r="X39">
        <f t="shared" si="9"/>
        <v>0</v>
      </c>
      <c r="Y39">
        <v>0</v>
      </c>
    </row>
    <row r="40" spans="1:25" x14ac:dyDescent="0.35">
      <c r="A40" s="1">
        <f>Data!A40</f>
        <v>18323</v>
      </c>
      <c r="B40" s="2">
        <f>IFERROR((Data!B40/Data!B39-1)*100,"")</f>
        <v>0.12706480304955914</v>
      </c>
      <c r="C40" s="2">
        <f>IFERROR((Data!C40/Data!C39-1)*100,"")</f>
        <v>3.2507047454040761</v>
      </c>
      <c r="D40">
        <f t="shared" si="0"/>
        <v>1.7974562789397908</v>
      </c>
      <c r="E40">
        <f t="shared" si="1"/>
        <v>4.2955458018504679E-2</v>
      </c>
      <c r="P40" t="str" cm="1">
        <f t="array" ref="P40">_xlfn.IFS(
  AND(D40&gt;0,E40&gt;0),"Expansion",
  AND(D40&lt;0,E40&gt;0),"Slowdown",
  AND(D40&lt;0,E40&lt;0),"Contraction",
  AND(D40&gt;0,E40&lt;0),"Recovery",
  TRUE,"Undefined"
)</f>
        <v>Expansion</v>
      </c>
      <c r="Q40" t="str">
        <f t="shared" si="10"/>
        <v>Recovery</v>
      </c>
      <c r="R40">
        <f t="shared" si="4"/>
        <v>1</v>
      </c>
      <c r="S40">
        <f t="shared" si="5"/>
        <v>1</v>
      </c>
      <c r="T40">
        <f t="shared" si="6"/>
        <v>1</v>
      </c>
      <c r="U40">
        <f t="shared" si="7"/>
        <v>1</v>
      </c>
      <c r="V40" t="str" cm="1">
        <f t="array" ref="V40">_xlfn.IFS(
  AND(S40&gt;0,U40&gt;0),"Expansion",
  AND(S40&lt;0,U40&gt;0),"Slowdown",
  AND(S40&lt;0,U40&lt;0),"Contraction",
  AND(S40&gt;0,U40&lt;0),"Recovery",
  TRUE,"Undefined"
)</f>
        <v>Expansion</v>
      </c>
      <c r="W40">
        <f t="shared" si="8"/>
        <v>0</v>
      </c>
      <c r="X40">
        <f t="shared" si="9"/>
        <v>0</v>
      </c>
      <c r="Y40">
        <v>0</v>
      </c>
    </row>
    <row r="41" spans="1:25" x14ac:dyDescent="0.35">
      <c r="A41" s="1">
        <f>Data!A41</f>
        <v>18354</v>
      </c>
      <c r="B41" s="2">
        <f>IFERROR((Data!B41/Data!B40-1)*100,"")</f>
        <v>4.2301184433157779E-2</v>
      </c>
      <c r="C41" s="2">
        <f>IFERROR((Data!C41/Data!C40-1)*100,"")</f>
        <v>3.3326685418371582</v>
      </c>
      <c r="D41">
        <f t="shared" si="0"/>
        <v>2.322523986194621</v>
      </c>
      <c r="E41">
        <f t="shared" si="1"/>
        <v>0.19823896732906002</v>
      </c>
      <c r="P41" t="str" cm="1">
        <f t="array" ref="P41">_xlfn.IFS(
  AND(D41&gt;0,E41&gt;0),"Expansion",
  AND(D41&lt;0,E41&gt;0),"Slowdown",
  AND(D41&lt;0,E41&lt;0),"Contraction",
  AND(D41&gt;0,E41&lt;0),"Recovery",
  TRUE,"Undefined"
)</f>
        <v>Expansion</v>
      </c>
      <c r="Q41" t="str">
        <f t="shared" si="10"/>
        <v>Recovery</v>
      </c>
      <c r="R41">
        <f t="shared" si="4"/>
        <v>1</v>
      </c>
      <c r="S41">
        <f t="shared" si="5"/>
        <v>1</v>
      </c>
      <c r="T41">
        <f t="shared" si="6"/>
        <v>1</v>
      </c>
      <c r="U41">
        <f t="shared" si="7"/>
        <v>1</v>
      </c>
      <c r="V41" t="str" cm="1">
        <f t="array" ref="V41">_xlfn.IFS(
  AND(S41&gt;0,U41&gt;0),"Expansion",
  AND(S41&lt;0,U41&gt;0),"Slowdown",
  AND(S41&lt;0,U41&lt;0),"Contraction",
  AND(S41&gt;0,U41&lt;0),"Recovery",
  TRUE,"Undefined"
)</f>
        <v>Expansion</v>
      </c>
      <c r="W41">
        <f t="shared" si="8"/>
        <v>0</v>
      </c>
      <c r="X41">
        <f t="shared" si="9"/>
        <v>0</v>
      </c>
      <c r="Y41">
        <v>0</v>
      </c>
    </row>
    <row r="42" spans="1:25" x14ac:dyDescent="0.35">
      <c r="A42" s="1">
        <f>Data!A42</f>
        <v>18384</v>
      </c>
      <c r="B42" s="2">
        <f>IFERROR((Data!B42/Data!B41-1)*100,"")</f>
        <v>0.50739957716703366</v>
      </c>
      <c r="C42" s="2">
        <f>IFERROR((Data!C42/Data!C41-1)*100,"")</f>
        <v>2.3300389338125171</v>
      </c>
      <c r="D42">
        <f t="shared" si="0"/>
        <v>2.9711374070179168</v>
      </c>
      <c r="E42">
        <f t="shared" si="1"/>
        <v>0.22558852154991685</v>
      </c>
      <c r="P42" t="str" cm="1">
        <f t="array" ref="P42">_xlfn.IFS(
  AND(D42&gt;0,E42&gt;0),"Expansion",
  AND(D42&lt;0,E42&gt;0),"Slowdown",
  AND(D42&lt;0,E42&lt;0),"Contraction",
  AND(D42&gt;0,E42&lt;0),"Recovery",
  TRUE,"Undefined"
)</f>
        <v>Expansion</v>
      </c>
      <c r="Q42" t="str">
        <f t="shared" si="10"/>
        <v>Expansion</v>
      </c>
      <c r="R42">
        <f t="shared" si="4"/>
        <v>1</v>
      </c>
      <c r="S42">
        <f t="shared" si="5"/>
        <v>1</v>
      </c>
      <c r="T42">
        <f t="shared" si="6"/>
        <v>1</v>
      </c>
      <c r="U42">
        <f t="shared" si="7"/>
        <v>1</v>
      </c>
      <c r="V42" t="str" cm="1">
        <f t="array" ref="V42">_xlfn.IFS(
  AND(S42&gt;0,U42&gt;0),"Expansion",
  AND(S42&lt;0,U42&gt;0),"Slowdown",
  AND(S42&lt;0,U42&lt;0),"Contraction",
  AND(S42&gt;0,U42&lt;0),"Recovery",
  TRUE,"Undefined"
)</f>
        <v>Expansion</v>
      </c>
      <c r="W42">
        <f t="shared" si="8"/>
        <v>0</v>
      </c>
      <c r="X42">
        <f t="shared" si="9"/>
        <v>0</v>
      </c>
      <c r="Y42">
        <v>0</v>
      </c>
    </row>
    <row r="43" spans="1:25" x14ac:dyDescent="0.35">
      <c r="A43" s="1">
        <f>Data!A43</f>
        <v>18415</v>
      </c>
      <c r="B43" s="2">
        <f>IFERROR((Data!B43/Data!B42-1)*100,"")</f>
        <v>0.46276819520403301</v>
      </c>
      <c r="C43" s="2">
        <f>IFERROR((Data!C43/Data!C42-1)*100,"")</f>
        <v>2.9774447826426131</v>
      </c>
      <c r="D43">
        <f t="shared" si="0"/>
        <v>2.8800507527640966</v>
      </c>
      <c r="E43">
        <f t="shared" si="1"/>
        <v>0.33748965226807481</v>
      </c>
      <c r="P43" t="str" cm="1">
        <f t="array" ref="P43">_xlfn.IFS(
  AND(D43&gt;0,E43&gt;0),"Expansion",
  AND(D43&lt;0,E43&gt;0),"Slowdown",
  AND(D43&lt;0,E43&lt;0),"Contraction",
  AND(D43&gt;0,E43&lt;0),"Recovery",
  TRUE,"Undefined"
)</f>
        <v>Expansion</v>
      </c>
      <c r="Q43" t="str">
        <f t="shared" si="10"/>
        <v>Expansion</v>
      </c>
      <c r="R43">
        <f t="shared" si="4"/>
        <v>1</v>
      </c>
      <c r="S43">
        <f t="shared" si="5"/>
        <v>1</v>
      </c>
      <c r="T43">
        <f t="shared" si="6"/>
        <v>1</v>
      </c>
      <c r="U43">
        <f t="shared" si="7"/>
        <v>1</v>
      </c>
      <c r="V43" t="str" cm="1">
        <f t="array" ref="V43">_xlfn.IFS(
  AND(S43&gt;0,U43&gt;0),"Expansion",
  AND(S43&lt;0,U43&gt;0),"Slowdown",
  AND(S43&lt;0,U43&lt;0),"Contraction",
  AND(S43&gt;0,U43&lt;0),"Recovery",
  TRUE,"Undefined"
)</f>
        <v>Expansion</v>
      </c>
      <c r="W43">
        <f t="shared" si="8"/>
        <v>0</v>
      </c>
      <c r="X43">
        <f t="shared" si="9"/>
        <v>0</v>
      </c>
      <c r="Y43">
        <v>0</v>
      </c>
    </row>
    <row r="44" spans="1:25" x14ac:dyDescent="0.35">
      <c r="A44" s="1">
        <f>Data!A44</f>
        <v>18445</v>
      </c>
      <c r="B44" s="2">
        <f>IFERROR((Data!B44/Data!B43-1)*100,"")</f>
        <v>0.79564489112229353</v>
      </c>
      <c r="C44" s="2">
        <f>IFERROR((Data!C44/Data!C43-1)*100,"")</f>
        <v>3.2311442899187748</v>
      </c>
      <c r="D44">
        <f t="shared" si="0"/>
        <v>2.8462093354579685</v>
      </c>
      <c r="E44">
        <f t="shared" si="1"/>
        <v>0.58860422116445343</v>
      </c>
      <c r="P44" t="str" cm="1">
        <f t="array" ref="P44">_xlfn.IFS(
  AND(D44&gt;0,E44&gt;0),"Expansion",
  AND(D44&lt;0,E44&gt;0),"Slowdown",
  AND(D44&lt;0,E44&lt;0),"Contraction",
  AND(D44&gt;0,E44&lt;0),"Recovery",
  TRUE,"Undefined"
)</f>
        <v>Expansion</v>
      </c>
      <c r="Q44" t="str">
        <f t="shared" si="10"/>
        <v>Expansion</v>
      </c>
      <c r="R44">
        <f t="shared" si="4"/>
        <v>1</v>
      </c>
      <c r="S44">
        <f t="shared" si="5"/>
        <v>1</v>
      </c>
      <c r="T44">
        <f t="shared" si="6"/>
        <v>1</v>
      </c>
      <c r="U44">
        <f t="shared" si="7"/>
        <v>1</v>
      </c>
      <c r="V44" t="str" cm="1">
        <f t="array" ref="V44">_xlfn.IFS(
  AND(S44&gt;0,U44&gt;0),"Expansion",
  AND(S44&lt;0,U44&gt;0),"Slowdown",
  AND(S44&lt;0,U44&lt;0),"Contraction",
  AND(S44&gt;0,U44&lt;0),"Recovery",
  TRUE,"Undefined"
)</f>
        <v>Expansion</v>
      </c>
      <c r="W44">
        <f t="shared" si="8"/>
        <v>0</v>
      </c>
      <c r="X44">
        <f t="shared" si="9"/>
        <v>0</v>
      </c>
      <c r="Y44">
        <v>0</v>
      </c>
    </row>
    <row r="45" spans="1:25" x14ac:dyDescent="0.35">
      <c r="A45" s="1">
        <f>Data!A45</f>
        <v>18476</v>
      </c>
      <c r="B45" s="2">
        <f>IFERROR((Data!B45/Data!B44-1)*100,"")</f>
        <v>0.54009140008308698</v>
      </c>
      <c r="C45" s="2">
        <f>IFERROR((Data!C45/Data!C44-1)*100,"")</f>
        <v>3.1300091771183869</v>
      </c>
      <c r="D45">
        <f t="shared" si="0"/>
        <v>3.1128660832265918</v>
      </c>
      <c r="E45">
        <f t="shared" si="1"/>
        <v>0.59950149546980447</v>
      </c>
      <c r="P45" t="str" cm="1">
        <f t="array" ref="P45">_xlfn.IFS(
  AND(D45&gt;0,E45&gt;0),"Expansion",
  AND(D45&lt;0,E45&gt;0),"Slowdown",
  AND(D45&lt;0,E45&lt;0),"Contraction",
  AND(D45&gt;0,E45&lt;0),"Recovery",
  TRUE,"Undefined"
)</f>
        <v>Expansion</v>
      </c>
      <c r="Q45" t="str">
        <f t="shared" si="10"/>
        <v>Expansion</v>
      </c>
      <c r="R45">
        <f t="shared" si="4"/>
        <v>1</v>
      </c>
      <c r="S45">
        <f t="shared" si="5"/>
        <v>1</v>
      </c>
      <c r="T45">
        <f t="shared" si="6"/>
        <v>1</v>
      </c>
      <c r="U45">
        <f t="shared" si="7"/>
        <v>1</v>
      </c>
      <c r="V45" t="str" cm="1">
        <f t="array" ref="V45">_xlfn.IFS(
  AND(S45&gt;0,U45&gt;0),"Expansion",
  AND(S45&lt;0,U45&gt;0),"Slowdown",
  AND(S45&lt;0,U45&lt;0),"Contraction",
  AND(S45&gt;0,U45&lt;0),"Recovery",
  TRUE,"Undefined"
)</f>
        <v>Expansion</v>
      </c>
      <c r="W45">
        <f t="shared" si="8"/>
        <v>0</v>
      </c>
      <c r="X45">
        <f t="shared" si="9"/>
        <v>0</v>
      </c>
      <c r="Y45">
        <v>0</v>
      </c>
    </row>
    <row r="46" spans="1:25" x14ac:dyDescent="0.35">
      <c r="A46" s="1">
        <f>Data!A46</f>
        <v>18507</v>
      </c>
      <c r="B46" s="2">
        <f>IFERROR((Data!B46/Data!B45-1)*100,"")</f>
        <v>0.57851239669421961</v>
      </c>
      <c r="C46" s="2">
        <f>IFERROR((Data!C46/Data!C45-1)*100,"")</f>
        <v>-0.63891888043853262</v>
      </c>
      <c r="D46">
        <f t="shared" si="0"/>
        <v>1.9074115288662099</v>
      </c>
      <c r="E46">
        <f t="shared" si="1"/>
        <v>0.63808289596653334</v>
      </c>
      <c r="P46" t="str" cm="1">
        <f t="array" ref="P46">_xlfn.IFS(
  AND(D46&gt;0,E46&gt;0),"Expansion",
  AND(D46&lt;0,E46&gt;0),"Slowdown",
  AND(D46&lt;0,E46&lt;0),"Contraction",
  AND(D46&gt;0,E46&lt;0),"Recovery",
  TRUE,"Undefined"
)</f>
        <v>Expansion</v>
      </c>
      <c r="Q46" t="str">
        <f t="shared" si="10"/>
        <v>Expansion</v>
      </c>
      <c r="R46">
        <f t="shared" si="4"/>
        <v>1</v>
      </c>
      <c r="S46">
        <f t="shared" si="5"/>
        <v>1</v>
      </c>
      <c r="T46">
        <f t="shared" si="6"/>
        <v>1</v>
      </c>
      <c r="U46">
        <f t="shared" si="7"/>
        <v>1</v>
      </c>
      <c r="V46" t="str" cm="1">
        <f t="array" ref="V46">_xlfn.IFS(
  AND(S46&gt;0,U46&gt;0),"Expansion",
  AND(S46&lt;0,U46&gt;0),"Slowdown",
  AND(S46&lt;0,U46&lt;0),"Contraction",
  AND(S46&gt;0,U46&lt;0),"Recovery",
  TRUE,"Undefined"
)</f>
        <v>Expansion</v>
      </c>
      <c r="W46">
        <f t="shared" si="8"/>
        <v>0</v>
      </c>
      <c r="X46">
        <f t="shared" si="9"/>
        <v>0</v>
      </c>
      <c r="Y46">
        <v>0</v>
      </c>
    </row>
    <row r="47" spans="1:25" x14ac:dyDescent="0.35">
      <c r="A47" s="1">
        <f>Data!A47</f>
        <v>18537</v>
      </c>
      <c r="B47" s="2">
        <f>IFERROR((Data!B47/Data!B46-1)*100,"")</f>
        <v>0.65735414954806171</v>
      </c>
      <c r="C47" s="2">
        <f>IFERROR((Data!C47/Data!C46-1)*100,"")</f>
        <v>0.64302730328560376</v>
      </c>
      <c r="D47">
        <f t="shared" si="0"/>
        <v>1.0447058666551527</v>
      </c>
      <c r="E47">
        <f t="shared" si="1"/>
        <v>0.5919859821084561</v>
      </c>
      <c r="P47" t="str" cm="1">
        <f t="array" ref="P47">_xlfn.IFS(
  AND(D47&gt;0,E47&gt;0),"Expansion",
  AND(D47&lt;0,E47&gt;0),"Slowdown",
  AND(D47&lt;0,E47&lt;0),"Contraction",
  AND(D47&gt;0,E47&lt;0),"Recovery",
  TRUE,"Undefined"
)</f>
        <v>Expansion</v>
      </c>
      <c r="Q47" t="str">
        <f t="shared" si="10"/>
        <v>Expansion</v>
      </c>
      <c r="R47">
        <f t="shared" si="4"/>
        <v>1</v>
      </c>
      <c r="S47">
        <f t="shared" si="5"/>
        <v>1</v>
      </c>
      <c r="T47">
        <f t="shared" si="6"/>
        <v>1</v>
      </c>
      <c r="U47">
        <f t="shared" si="7"/>
        <v>1</v>
      </c>
      <c r="V47" t="str" cm="1">
        <f t="array" ref="V47">_xlfn.IFS(
  AND(S47&gt;0,U47&gt;0),"Expansion",
  AND(S47&lt;0,U47&gt;0),"Slowdown",
  AND(S47&lt;0,U47&lt;0),"Contraction",
  AND(S47&gt;0,U47&lt;0),"Recovery",
  TRUE,"Undefined"
)</f>
        <v>Expansion</v>
      </c>
      <c r="W47">
        <f t="shared" si="8"/>
        <v>0</v>
      </c>
      <c r="X47">
        <f t="shared" si="9"/>
        <v>0</v>
      </c>
      <c r="Y47">
        <v>0</v>
      </c>
    </row>
    <row r="48" spans="1:25" x14ac:dyDescent="0.35">
      <c r="A48" s="1">
        <f>Data!A48</f>
        <v>18568</v>
      </c>
      <c r="B48" s="2">
        <f>IFERROR((Data!B48/Data!B47-1)*100,"")</f>
        <v>0.40816326530612734</v>
      </c>
      <c r="C48" s="2">
        <f>IFERROR((Data!C48/Data!C47-1)*100,"")</f>
        <v>-0.15958141024881023</v>
      </c>
      <c r="D48">
        <f t="shared" si="0"/>
        <v>-5.1824329133913029E-2</v>
      </c>
      <c r="E48">
        <f t="shared" si="1"/>
        <v>0.54800993718280289</v>
      </c>
      <c r="P48" t="str" cm="1">
        <f t="array" ref="P48">_xlfn.IFS(
  AND(D48&gt;0,E48&gt;0),"Expansion",
  AND(D48&lt;0,E48&gt;0),"Slowdown",
  AND(D48&lt;0,E48&lt;0),"Contraction",
  AND(D48&gt;0,E48&lt;0),"Recovery",
  TRUE,"Undefined"
)</f>
        <v>Slowdown</v>
      </c>
      <c r="Q48" t="str">
        <f t="shared" si="10"/>
        <v>Expansion</v>
      </c>
      <c r="R48">
        <f t="shared" si="4"/>
        <v>1</v>
      </c>
      <c r="S48">
        <f t="shared" si="5"/>
        <v>1</v>
      </c>
      <c r="T48">
        <f t="shared" si="6"/>
        <v>1</v>
      </c>
      <c r="U48">
        <f t="shared" si="7"/>
        <v>1</v>
      </c>
      <c r="V48" t="str" cm="1">
        <f t="array" ref="V48">_xlfn.IFS(
  AND(S48&gt;0,U48&gt;0),"Expansion",
  AND(S48&lt;0,U48&gt;0),"Slowdown",
  AND(S48&lt;0,U48&lt;0),"Contraction",
  AND(S48&gt;0,U48&lt;0),"Recovery",
  TRUE,"Undefined"
)</f>
        <v>Expansion</v>
      </c>
      <c r="W48">
        <f t="shared" si="8"/>
        <v>0</v>
      </c>
      <c r="X48">
        <f t="shared" si="9"/>
        <v>0</v>
      </c>
      <c r="Y48">
        <v>0</v>
      </c>
    </row>
    <row r="49" spans="1:25" x14ac:dyDescent="0.35">
      <c r="A49" s="1">
        <f>Data!A49</f>
        <v>18598</v>
      </c>
      <c r="B49" s="2">
        <f>IFERROR((Data!B49/Data!B48-1)*100,"")</f>
        <v>1.5447154471544655</v>
      </c>
      <c r="C49" s="2">
        <f>IFERROR((Data!C49/Data!C48-1)*100,"")</f>
        <v>1.7599838380957689</v>
      </c>
      <c r="D49">
        <f t="shared" si="0"/>
        <v>0.74780991037752076</v>
      </c>
      <c r="E49">
        <f t="shared" si="1"/>
        <v>0.87007762066955152</v>
      </c>
      <c r="P49" t="str" cm="1">
        <f t="array" ref="P49">_xlfn.IFS(
  AND(D49&gt;0,E49&gt;0),"Expansion",
  AND(D49&lt;0,E49&gt;0),"Slowdown",
  AND(D49&lt;0,E49&lt;0),"Contraction",
  AND(D49&gt;0,E49&lt;0),"Recovery",
  TRUE,"Undefined"
)</f>
        <v>Expansion</v>
      </c>
      <c r="Q49" t="str">
        <f t="shared" si="10"/>
        <v>Expansion</v>
      </c>
      <c r="R49">
        <f t="shared" si="4"/>
        <v>1</v>
      </c>
      <c r="S49">
        <f t="shared" si="5"/>
        <v>1</v>
      </c>
      <c r="T49">
        <f t="shared" si="6"/>
        <v>1</v>
      </c>
      <c r="U49">
        <f t="shared" si="7"/>
        <v>1</v>
      </c>
      <c r="V49" t="str" cm="1">
        <f t="array" ref="V49">_xlfn.IFS(
  AND(S49&gt;0,U49&gt;0),"Expansion",
  AND(S49&lt;0,U49&gt;0),"Slowdown",
  AND(S49&lt;0,U49&lt;0),"Contraction",
  AND(S49&gt;0,U49&lt;0),"Recovery",
  TRUE,"Undefined"
)</f>
        <v>Expansion</v>
      </c>
      <c r="W49">
        <f t="shared" si="8"/>
        <v>0</v>
      </c>
      <c r="X49">
        <f t="shared" si="9"/>
        <v>0</v>
      </c>
      <c r="Y49">
        <v>0</v>
      </c>
    </row>
    <row r="50" spans="1:25" x14ac:dyDescent="0.35">
      <c r="A50" s="1">
        <f>Data!A50</f>
        <v>18629</v>
      </c>
      <c r="B50" s="2">
        <f>IFERROR((Data!B50/Data!B49-1)*100,"")</f>
        <v>1.601281024819845</v>
      </c>
      <c r="C50" s="2">
        <f>IFERROR((Data!C50/Data!C49-1)*100,"")</f>
        <v>0.31414407418004497</v>
      </c>
      <c r="D50">
        <f t="shared" si="0"/>
        <v>0.63818216734233457</v>
      </c>
      <c r="E50">
        <f t="shared" si="1"/>
        <v>1.1847199124268126</v>
      </c>
      <c r="P50" t="str" cm="1">
        <f t="array" ref="P50">_xlfn.IFS(
  AND(D50&gt;0,E50&gt;0),"Expansion",
  AND(D50&lt;0,E50&gt;0),"Slowdown",
  AND(D50&lt;0,E50&lt;0),"Contraction",
  AND(D50&gt;0,E50&lt;0),"Recovery",
  TRUE,"Undefined"
)</f>
        <v>Expansion</v>
      </c>
      <c r="Q50" t="str">
        <f t="shared" si="10"/>
        <v>Expansion</v>
      </c>
      <c r="R50">
        <f t="shared" si="4"/>
        <v>1</v>
      </c>
      <c r="S50">
        <f t="shared" si="5"/>
        <v>1</v>
      </c>
      <c r="T50">
        <f t="shared" si="6"/>
        <v>1</v>
      </c>
      <c r="U50">
        <f t="shared" si="7"/>
        <v>1</v>
      </c>
      <c r="V50" t="str" cm="1">
        <f t="array" ref="V50">_xlfn.IFS(
  AND(S50&gt;0,U50&gt;0),"Expansion",
  AND(S50&lt;0,U50&gt;0),"Slowdown",
  AND(S50&lt;0,U50&lt;0),"Contraction",
  AND(S50&gt;0,U50&lt;0),"Recovery",
  TRUE,"Undefined"
)</f>
        <v>Expansion</v>
      </c>
      <c r="W50">
        <f t="shared" si="8"/>
        <v>0</v>
      </c>
      <c r="X50">
        <f t="shared" si="9"/>
        <v>0</v>
      </c>
      <c r="Y50">
        <v>0</v>
      </c>
    </row>
    <row r="51" spans="1:25" x14ac:dyDescent="0.35">
      <c r="A51" s="1">
        <f>Data!A51</f>
        <v>18660</v>
      </c>
      <c r="B51" s="2">
        <f>IFERROR((Data!B51/Data!B50-1)*100,"")</f>
        <v>1.7730496453900679</v>
      </c>
      <c r="C51" s="2">
        <f>IFERROR((Data!C51/Data!C50-1)*100,"")</f>
        <v>0.62748476399472342</v>
      </c>
      <c r="D51">
        <f t="shared" si="0"/>
        <v>0.90053755875684571</v>
      </c>
      <c r="E51">
        <f t="shared" si="1"/>
        <v>1.6396820391214595</v>
      </c>
      <c r="P51" t="str" cm="1">
        <f t="array" ref="P51">_xlfn.IFS(
  AND(D51&gt;0,E51&gt;0),"Expansion",
  AND(D51&lt;0,E51&gt;0),"Slowdown",
  AND(D51&lt;0,E51&lt;0),"Contraction",
  AND(D51&gt;0,E51&lt;0),"Recovery",
  TRUE,"Undefined"
)</f>
        <v>Expansion</v>
      </c>
      <c r="Q51" t="str">
        <f t="shared" si="10"/>
        <v>Expansion</v>
      </c>
      <c r="R51">
        <f t="shared" si="4"/>
        <v>1</v>
      </c>
      <c r="S51">
        <f t="shared" si="5"/>
        <v>1</v>
      </c>
      <c r="T51">
        <f t="shared" si="6"/>
        <v>1</v>
      </c>
      <c r="U51">
        <f t="shared" si="7"/>
        <v>1</v>
      </c>
      <c r="V51" t="str" cm="1">
        <f t="array" ref="V51">_xlfn.IFS(
  AND(S51&gt;0,U51&gt;0),"Expansion",
  AND(S51&lt;0,U51&gt;0),"Slowdown",
  AND(S51&lt;0,U51&lt;0),"Contraction",
  AND(S51&gt;0,U51&lt;0),"Recovery",
  TRUE,"Undefined"
)</f>
        <v>Expansion</v>
      </c>
      <c r="W51">
        <f t="shared" si="8"/>
        <v>0</v>
      </c>
      <c r="X51">
        <f t="shared" si="9"/>
        <v>0</v>
      </c>
      <c r="Y51">
        <v>0</v>
      </c>
    </row>
    <row r="52" spans="1:25" x14ac:dyDescent="0.35">
      <c r="A52" s="1">
        <f>Data!A52</f>
        <v>18688</v>
      </c>
      <c r="B52" s="2">
        <f>IFERROR((Data!B52/Data!B51-1)*100,"")</f>
        <v>0.19357336430507743</v>
      </c>
      <c r="C52" s="2">
        <f>IFERROR((Data!C52/Data!C51-1)*100,"")</f>
        <v>0.46681127982646231</v>
      </c>
      <c r="D52">
        <f t="shared" si="0"/>
        <v>0.46948003933374355</v>
      </c>
      <c r="E52">
        <f t="shared" si="1"/>
        <v>1.1893013448383301</v>
      </c>
      <c r="P52" t="str" cm="1">
        <f t="array" ref="P52">_xlfn.IFS(
  AND(D52&gt;0,E52&gt;0),"Expansion",
  AND(D52&lt;0,E52&gt;0),"Slowdown",
  AND(D52&lt;0,E52&lt;0),"Contraction",
  AND(D52&gt;0,E52&lt;0),"Recovery",
  TRUE,"Undefined"
)</f>
        <v>Expansion</v>
      </c>
      <c r="Q52" t="str">
        <f t="shared" si="10"/>
        <v>Expansion</v>
      </c>
      <c r="R52">
        <f t="shared" si="4"/>
        <v>1</v>
      </c>
      <c r="S52">
        <f t="shared" si="5"/>
        <v>1</v>
      </c>
      <c r="T52">
        <f t="shared" si="6"/>
        <v>1</v>
      </c>
      <c r="U52">
        <f t="shared" si="7"/>
        <v>1</v>
      </c>
      <c r="V52" t="str" cm="1">
        <f t="array" ref="V52">_xlfn.IFS(
  AND(S52&gt;0,U52&gt;0),"Expansion",
  AND(S52&lt;0,U52&gt;0),"Slowdown",
  AND(S52&lt;0,U52&lt;0),"Contraction",
  AND(S52&gt;0,U52&lt;0),"Recovery",
  TRUE,"Undefined"
)</f>
        <v>Expansion</v>
      </c>
      <c r="W52">
        <f t="shared" si="8"/>
        <v>0</v>
      </c>
      <c r="X52">
        <f t="shared" si="9"/>
        <v>0</v>
      </c>
      <c r="Y52">
        <v>0</v>
      </c>
    </row>
    <row r="53" spans="1:25" x14ac:dyDescent="0.35">
      <c r="A53" s="1">
        <f>Data!A53</f>
        <v>18719</v>
      </c>
      <c r="B53" s="2">
        <f>IFERROR((Data!B53/Data!B52-1)*100,"")</f>
        <v>0.15455950540959051</v>
      </c>
      <c r="C53" s="2">
        <f>IFERROR((Data!C53/Data!C52-1)*100,"")</f>
        <v>0.15545652399211463</v>
      </c>
      <c r="D53">
        <f t="shared" si="0"/>
        <v>0.41658418927110014</v>
      </c>
      <c r="E53">
        <f t="shared" si="1"/>
        <v>0.70706083836824529</v>
      </c>
      <c r="P53" t="str" cm="1">
        <f t="array" ref="P53">_xlfn.IFS(
  AND(D53&gt;0,E53&gt;0),"Expansion",
  AND(D53&lt;0,E53&gt;0),"Slowdown",
  AND(D53&lt;0,E53&lt;0),"Contraction",
  AND(D53&gt;0,E53&lt;0),"Recovery",
  TRUE,"Undefined"
)</f>
        <v>Expansion</v>
      </c>
      <c r="Q53" t="str">
        <f t="shared" si="10"/>
        <v>Expansion</v>
      </c>
      <c r="R53">
        <f t="shared" si="4"/>
        <v>1</v>
      </c>
      <c r="S53">
        <f t="shared" si="5"/>
        <v>1</v>
      </c>
      <c r="T53">
        <f t="shared" si="6"/>
        <v>1</v>
      </c>
      <c r="U53">
        <f t="shared" si="7"/>
        <v>1</v>
      </c>
      <c r="V53" t="str" cm="1">
        <f t="array" ref="V53">_xlfn.IFS(
  AND(S53&gt;0,U53&gt;0),"Expansion",
  AND(S53&lt;0,U53&gt;0),"Slowdown",
  AND(S53&lt;0,U53&lt;0),"Contraction",
  AND(S53&gt;0,U53&lt;0),"Recovery",
  TRUE,"Undefined"
)</f>
        <v>Expansion</v>
      </c>
      <c r="W53">
        <f t="shared" si="8"/>
        <v>0</v>
      </c>
      <c r="X53">
        <f t="shared" si="9"/>
        <v>0</v>
      </c>
      <c r="Y53">
        <v>0</v>
      </c>
    </row>
    <row r="54" spans="1:25" x14ac:dyDescent="0.35">
      <c r="A54" s="1">
        <f>Data!A54</f>
        <v>18749</v>
      </c>
      <c r="B54" s="2">
        <f>IFERROR((Data!B54/Data!B53-1)*100,"")</f>
        <v>0.2700617283950546</v>
      </c>
      <c r="C54" s="2">
        <f>IFERROR((Data!C54/Data!C53-1)*100,"")</f>
        <v>-0.30985559234730786</v>
      </c>
      <c r="D54">
        <f t="shared" si="0"/>
        <v>0.10413740382375636</v>
      </c>
      <c r="E54">
        <f t="shared" si="1"/>
        <v>0.20606486603657417</v>
      </c>
      <c r="P54" t="str" cm="1">
        <f t="array" ref="P54">_xlfn.IFS(
  AND(D54&gt;0,E54&gt;0),"Expansion",
  AND(D54&lt;0,E54&gt;0),"Slowdown",
  AND(D54&lt;0,E54&lt;0),"Contraction",
  AND(D54&gt;0,E54&lt;0),"Recovery",
  TRUE,"Undefined"
)</f>
        <v>Expansion</v>
      </c>
      <c r="Q54" t="str">
        <f t="shared" si="10"/>
        <v>Expansion</v>
      </c>
      <c r="R54">
        <f t="shared" si="4"/>
        <v>1</v>
      </c>
      <c r="S54">
        <f t="shared" si="5"/>
        <v>1</v>
      </c>
      <c r="T54">
        <f t="shared" si="6"/>
        <v>1</v>
      </c>
      <c r="U54">
        <f t="shared" si="7"/>
        <v>1</v>
      </c>
      <c r="V54" t="str" cm="1">
        <f t="array" ref="V54">_xlfn.IFS(
  AND(S54&gt;0,U54&gt;0),"Expansion",
  AND(S54&lt;0,U54&gt;0),"Slowdown",
  AND(S54&lt;0,U54&lt;0),"Contraction",
  AND(S54&gt;0,U54&lt;0),"Recovery",
  TRUE,"Undefined"
)</f>
        <v>Expansion</v>
      </c>
      <c r="W54">
        <f t="shared" si="8"/>
        <v>0</v>
      </c>
      <c r="X54">
        <f t="shared" si="9"/>
        <v>0</v>
      </c>
      <c r="Y54">
        <v>0</v>
      </c>
    </row>
    <row r="55" spans="1:25" x14ac:dyDescent="0.35">
      <c r="A55" s="1">
        <f>Data!A55</f>
        <v>18780</v>
      </c>
      <c r="B55" s="2">
        <f>IFERROR((Data!B55/Data!B54-1)*100,"")</f>
        <v>-0.23085802231627151</v>
      </c>
      <c r="C55" s="2">
        <f>IFERROR((Data!C55/Data!C54-1)*100,"")</f>
        <v>-0.46593969310259054</v>
      </c>
      <c r="D55">
        <f t="shared" si="0"/>
        <v>-0.20677958715259459</v>
      </c>
      <c r="E55">
        <f t="shared" si="1"/>
        <v>6.4587737162791203E-2</v>
      </c>
      <c r="P55" t="str" cm="1">
        <f t="array" ref="P55">_xlfn.IFS(
  AND(D55&gt;0,E55&gt;0),"Expansion",
  AND(D55&lt;0,E55&gt;0),"Slowdown",
  AND(D55&lt;0,E55&lt;0),"Contraction",
  AND(D55&gt;0,E55&lt;0),"Recovery",
  TRUE,"Undefined"
)</f>
        <v>Slowdown</v>
      </c>
      <c r="Q55" t="str">
        <f t="shared" si="10"/>
        <v>Expansion</v>
      </c>
      <c r="R55">
        <f t="shared" si="4"/>
        <v>1</v>
      </c>
      <c r="S55">
        <f t="shared" si="5"/>
        <v>1</v>
      </c>
      <c r="T55">
        <f t="shared" si="6"/>
        <v>1</v>
      </c>
      <c r="U55">
        <f t="shared" si="7"/>
        <v>1</v>
      </c>
      <c r="V55" t="str" cm="1">
        <f t="array" ref="V55">_xlfn.IFS(
  AND(S55&gt;0,U55&gt;0),"Expansion",
  AND(S55&lt;0,U55&gt;0),"Slowdown",
  AND(S55&lt;0,U55&lt;0),"Contraction",
  AND(S55&gt;0,U55&lt;0),"Recovery",
  TRUE,"Undefined"
)</f>
        <v>Expansion</v>
      </c>
      <c r="W55">
        <f t="shared" si="8"/>
        <v>0</v>
      </c>
      <c r="X55">
        <f t="shared" si="9"/>
        <v>0</v>
      </c>
      <c r="Y55">
        <v>0</v>
      </c>
    </row>
    <row r="56" spans="1:25" x14ac:dyDescent="0.35">
      <c r="A56" s="1">
        <f>Data!A56</f>
        <v>18810</v>
      </c>
      <c r="B56" s="2">
        <f>IFERROR((Data!B56/Data!B55-1)*100,"")</f>
        <v>-7.7130736598529648E-2</v>
      </c>
      <c r="C56" s="2">
        <f>IFERROR((Data!C56/Data!C55-1)*100,"")</f>
        <v>-1.5596303699197622</v>
      </c>
      <c r="D56">
        <f t="shared" si="0"/>
        <v>-0.77847521845655354</v>
      </c>
      <c r="E56">
        <f t="shared" si="1"/>
        <v>-1.2642343506582185E-2</v>
      </c>
      <c r="P56" t="str" cm="1">
        <f t="array" ref="P56">_xlfn.IFS(
  AND(D56&gt;0,E56&gt;0),"Expansion",
  AND(D56&lt;0,E56&gt;0),"Slowdown",
  AND(D56&lt;0,E56&lt;0),"Contraction",
  AND(D56&gt;0,E56&lt;0),"Recovery",
  TRUE,"Undefined"
)</f>
        <v>Contraction</v>
      </c>
      <c r="Q56" t="str">
        <f t="shared" si="10"/>
        <v>Expansion</v>
      </c>
      <c r="R56">
        <f t="shared" si="4"/>
        <v>-1</v>
      </c>
      <c r="S56">
        <f t="shared" si="5"/>
        <v>-1</v>
      </c>
      <c r="T56">
        <f t="shared" si="6"/>
        <v>-1</v>
      </c>
      <c r="U56">
        <f t="shared" si="7"/>
        <v>-1</v>
      </c>
      <c r="V56" t="str" cm="1">
        <f t="array" ref="V56">_xlfn.IFS(
  AND(S56&gt;0,U56&gt;0),"Expansion",
  AND(S56&lt;0,U56&gt;0),"Slowdown",
  AND(S56&lt;0,U56&lt;0),"Contraction",
  AND(S56&gt;0,U56&lt;0),"Recovery",
  TRUE,"Undefined"
)</f>
        <v>Contraction</v>
      </c>
      <c r="W56">
        <f t="shared" si="8"/>
        <v>0</v>
      </c>
      <c r="X56">
        <f t="shared" si="9"/>
        <v>1</v>
      </c>
      <c r="Y56">
        <v>0</v>
      </c>
    </row>
    <row r="57" spans="1:25" x14ac:dyDescent="0.35">
      <c r="A57" s="1">
        <f>Data!A57</f>
        <v>18841</v>
      </c>
      <c r="B57" s="2">
        <f>IFERROR((Data!B57/Data!B56-1)*100,"")</f>
        <v>-0.19297568506368989</v>
      </c>
      <c r="C57" s="2">
        <f>IFERROR((Data!C57/Data!C56-1)*100,"")</f>
        <v>-0.95107496189226204</v>
      </c>
      <c r="D57">
        <f t="shared" si="0"/>
        <v>-0.99221500830487164</v>
      </c>
      <c r="E57">
        <f t="shared" si="1"/>
        <v>-0.16698814799283035</v>
      </c>
      <c r="P57" t="str" cm="1">
        <f t="array" ref="P57">_xlfn.IFS(
  AND(D57&gt;0,E57&gt;0),"Expansion",
  AND(D57&lt;0,E57&gt;0),"Slowdown",
  AND(D57&lt;0,E57&lt;0),"Contraction",
  AND(D57&gt;0,E57&lt;0),"Recovery",
  TRUE,"Undefined"
)</f>
        <v>Contraction</v>
      </c>
      <c r="Q57" t="str">
        <f t="shared" si="10"/>
        <v>Expansion</v>
      </c>
      <c r="R57">
        <f t="shared" si="4"/>
        <v>-1</v>
      </c>
      <c r="S57">
        <f t="shared" si="5"/>
        <v>-1</v>
      </c>
      <c r="T57">
        <f t="shared" si="6"/>
        <v>-1</v>
      </c>
      <c r="U57">
        <f t="shared" si="7"/>
        <v>-1</v>
      </c>
      <c r="V57" t="str" cm="1">
        <f t="array" ref="V57">_xlfn.IFS(
  AND(S57&gt;0,U57&gt;0),"Expansion",
  AND(S57&lt;0,U57&gt;0),"Slowdown",
  AND(S57&lt;0,U57&lt;0),"Contraction",
  AND(S57&gt;0,U57&lt;0),"Recovery",
  TRUE,"Undefined"
)</f>
        <v>Contraction</v>
      </c>
      <c r="W57">
        <f t="shared" si="8"/>
        <v>0</v>
      </c>
      <c r="X57">
        <f t="shared" si="9"/>
        <v>1</v>
      </c>
      <c r="Y57">
        <v>0</v>
      </c>
    </row>
    <row r="58" spans="1:25" x14ac:dyDescent="0.35">
      <c r="A58" s="1">
        <f>Data!A58</f>
        <v>18872</v>
      </c>
      <c r="B58" s="2">
        <f>IFERROR((Data!B58/Data!B57-1)*100,"")</f>
        <v>0.6573859242072766</v>
      </c>
      <c r="C58" s="2">
        <f>IFERROR((Data!C58/Data!C57-1)*100,"")</f>
        <v>0.63994010588424022</v>
      </c>
      <c r="D58">
        <f t="shared" si="0"/>
        <v>-0.62358840864259468</v>
      </c>
      <c r="E58">
        <f t="shared" si="1"/>
        <v>0.12909316751501901</v>
      </c>
      <c r="P58" t="str" cm="1">
        <f t="array" ref="P58">_xlfn.IFS(
  AND(D58&gt;0,E58&gt;0),"Expansion",
  AND(D58&lt;0,E58&gt;0),"Slowdown",
  AND(D58&lt;0,E58&lt;0),"Contraction",
  AND(D58&gt;0,E58&lt;0),"Recovery",
  TRUE,"Undefined"
)</f>
        <v>Slowdown</v>
      </c>
      <c r="Q58" t="str">
        <f t="shared" si="10"/>
        <v>Expansion</v>
      </c>
      <c r="R58">
        <f t="shared" si="4"/>
        <v>-1</v>
      </c>
      <c r="S58">
        <f t="shared" si="5"/>
        <v>-1</v>
      </c>
      <c r="T58">
        <f t="shared" si="6"/>
        <v>1</v>
      </c>
      <c r="U58">
        <f t="shared" si="7"/>
        <v>1</v>
      </c>
      <c r="V58" t="str" cm="1">
        <f t="array" ref="V58">_xlfn.IFS(
  AND(S58&gt;0,U58&gt;0),"Expansion",
  AND(S58&lt;0,U58&gt;0),"Slowdown",
  AND(S58&lt;0,U58&lt;0),"Contraction",
  AND(S58&gt;0,U58&lt;0),"Recovery",
  TRUE,"Undefined"
)</f>
        <v>Slowdown</v>
      </c>
      <c r="W58">
        <f t="shared" si="8"/>
        <v>0</v>
      </c>
      <c r="X58">
        <f t="shared" si="9"/>
        <v>0</v>
      </c>
      <c r="Y58">
        <v>0</v>
      </c>
    </row>
    <row r="59" spans="1:25" x14ac:dyDescent="0.35">
      <c r="A59" s="1">
        <f>Data!A59</f>
        <v>18902</v>
      </c>
      <c r="B59" s="2">
        <f>IFERROR((Data!B59/Data!B58-1)*100,"")</f>
        <v>0.49942374183633564</v>
      </c>
      <c r="C59" s="2">
        <f>IFERROR((Data!C59/Data!C58-1)*100,"")</f>
        <v>-0.15882012587529193</v>
      </c>
      <c r="D59">
        <f t="shared" si="0"/>
        <v>-0.15665166062777125</v>
      </c>
      <c r="E59">
        <f t="shared" si="1"/>
        <v>0.32127799365997411</v>
      </c>
      <c r="P59" t="str" cm="1">
        <f t="array" ref="P59">_xlfn.IFS(
  AND(D59&gt;0,E59&gt;0),"Expansion",
  AND(D59&lt;0,E59&gt;0),"Slowdown",
  AND(D59&lt;0,E59&lt;0),"Contraction",
  AND(D59&gt;0,E59&lt;0),"Recovery",
  TRUE,"Undefined"
)</f>
        <v>Slowdown</v>
      </c>
      <c r="Q59" t="str">
        <f t="shared" si="10"/>
        <v>Expansion</v>
      </c>
      <c r="R59">
        <f t="shared" si="4"/>
        <v>1</v>
      </c>
      <c r="S59">
        <f t="shared" si="5"/>
        <v>1</v>
      </c>
      <c r="T59">
        <f t="shared" si="6"/>
        <v>1</v>
      </c>
      <c r="U59">
        <f t="shared" si="7"/>
        <v>1</v>
      </c>
      <c r="V59" t="str" cm="1">
        <f t="array" ref="V59">_xlfn.IFS(
  AND(S59&gt;0,U59&gt;0),"Expansion",
  AND(S59&lt;0,U59&gt;0),"Slowdown",
  AND(S59&lt;0,U59&lt;0),"Contraction",
  AND(S59&gt;0,U59&lt;0),"Recovery",
  TRUE,"Undefined"
)</f>
        <v>Expansion</v>
      </c>
      <c r="W59">
        <f t="shared" si="8"/>
        <v>0</v>
      </c>
      <c r="X59">
        <f t="shared" si="9"/>
        <v>0</v>
      </c>
      <c r="Y59">
        <v>0</v>
      </c>
    </row>
    <row r="60" spans="1:25" x14ac:dyDescent="0.35">
      <c r="A60" s="1">
        <f>Data!A60</f>
        <v>18933</v>
      </c>
      <c r="B60" s="2">
        <f>IFERROR((Data!B60/Data!B59-1)*100,"")</f>
        <v>0.61162079510703737</v>
      </c>
      <c r="C60" s="2">
        <f>IFERROR((Data!C60/Data!C59-1)*100,"")</f>
        <v>0.79595517577837338</v>
      </c>
      <c r="D60">
        <f t="shared" si="0"/>
        <v>0.42569171859577387</v>
      </c>
      <c r="E60">
        <f t="shared" si="1"/>
        <v>0.58947682038354987</v>
      </c>
      <c r="P60" t="str" cm="1">
        <f t="array" ref="P60">_xlfn.IFS(
  AND(D60&gt;0,E60&gt;0),"Expansion",
  AND(D60&lt;0,E60&gt;0),"Slowdown",
  AND(D60&lt;0,E60&lt;0),"Contraction",
  AND(D60&gt;0,E60&lt;0),"Recovery",
  TRUE,"Undefined"
)</f>
        <v>Expansion</v>
      </c>
      <c r="Q60" t="str">
        <f t="shared" si="10"/>
        <v>Expansion</v>
      </c>
      <c r="R60">
        <f t="shared" si="4"/>
        <v>1</v>
      </c>
      <c r="S60">
        <f t="shared" si="5"/>
        <v>1</v>
      </c>
      <c r="T60">
        <f t="shared" si="6"/>
        <v>1</v>
      </c>
      <c r="U60">
        <f t="shared" si="7"/>
        <v>1</v>
      </c>
      <c r="V60" t="str" cm="1">
        <f t="array" ref="V60">_xlfn.IFS(
  AND(S60&gt;0,U60&gt;0),"Expansion",
  AND(S60&lt;0,U60&gt;0),"Slowdown",
  AND(S60&lt;0,U60&lt;0),"Contraction",
  AND(S60&gt;0,U60&lt;0),"Recovery",
  TRUE,"Undefined"
)</f>
        <v>Expansion</v>
      </c>
      <c r="W60">
        <f t="shared" si="8"/>
        <v>0</v>
      </c>
      <c r="X60">
        <f t="shared" si="9"/>
        <v>0</v>
      </c>
      <c r="Y60">
        <v>0</v>
      </c>
    </row>
    <row r="61" spans="1:25" x14ac:dyDescent="0.35">
      <c r="A61" s="1">
        <f>Data!A61</f>
        <v>18963</v>
      </c>
      <c r="B61" s="2">
        <f>IFERROR((Data!B61/Data!B60-1)*100,"")</f>
        <v>0.56990881458967024</v>
      </c>
      <c r="C61" s="2">
        <f>IFERROR((Data!C61/Data!C60-1)*100,"")</f>
        <v>0.63185314254534664</v>
      </c>
      <c r="D61">
        <f t="shared" si="0"/>
        <v>0.42299606414947605</v>
      </c>
      <c r="E61">
        <f t="shared" si="1"/>
        <v>0.56031778384434772</v>
      </c>
      <c r="P61" t="str" cm="1">
        <f t="array" ref="P61">_xlfn.IFS(
  AND(D61&gt;0,E61&gt;0),"Expansion",
  AND(D61&lt;0,E61&gt;0),"Slowdown",
  AND(D61&lt;0,E61&lt;0),"Contraction",
  AND(D61&gt;0,E61&lt;0),"Recovery",
  TRUE,"Undefined"
)</f>
        <v>Expansion</v>
      </c>
      <c r="Q61" t="str">
        <f t="shared" si="10"/>
        <v>Expansion</v>
      </c>
      <c r="R61">
        <f t="shared" si="4"/>
        <v>1</v>
      </c>
      <c r="S61">
        <f t="shared" si="5"/>
        <v>1</v>
      </c>
      <c r="T61">
        <f t="shared" si="6"/>
        <v>1</v>
      </c>
      <c r="U61">
        <f t="shared" si="7"/>
        <v>1</v>
      </c>
      <c r="V61" t="str" cm="1">
        <f t="array" ref="V61">_xlfn.IFS(
  AND(S61&gt;0,U61&gt;0),"Expansion",
  AND(S61&lt;0,U61&gt;0),"Slowdown",
  AND(S61&lt;0,U61&lt;0),"Contraction",
  AND(S61&gt;0,U61&lt;0),"Recovery",
  TRUE,"Undefined"
)</f>
        <v>Expansion</v>
      </c>
      <c r="W61">
        <f t="shared" si="8"/>
        <v>0</v>
      </c>
      <c r="X61">
        <f t="shared" si="9"/>
        <v>0</v>
      </c>
      <c r="Y61">
        <v>0</v>
      </c>
    </row>
    <row r="62" spans="1:25" x14ac:dyDescent="0.35">
      <c r="A62" s="1">
        <f>Data!A62</f>
        <v>18994</v>
      </c>
      <c r="B62" s="2">
        <f>IFERROR((Data!B62/Data!B61-1)*100,"")</f>
        <v>-7.5557234605216905E-2</v>
      </c>
      <c r="C62" s="2">
        <f>IFERROR((Data!C62/Data!C61-1)*100,"")</f>
        <v>1.0989459446854255</v>
      </c>
      <c r="D62">
        <f t="shared" si="0"/>
        <v>0.84225142100304851</v>
      </c>
      <c r="E62">
        <f t="shared" si="1"/>
        <v>0.36865745836383024</v>
      </c>
      <c r="P62" t="str" cm="1">
        <f t="array" ref="P62">_xlfn.IFS(
  AND(D62&gt;0,E62&gt;0),"Expansion",
  AND(D62&lt;0,E62&gt;0),"Slowdown",
  AND(D62&lt;0,E62&lt;0),"Contraction",
  AND(D62&gt;0,E62&lt;0),"Recovery",
  TRUE,"Undefined"
)</f>
        <v>Expansion</v>
      </c>
      <c r="Q62" t="str">
        <f t="shared" si="10"/>
        <v>Expansion</v>
      </c>
      <c r="R62">
        <f t="shared" si="4"/>
        <v>1</v>
      </c>
      <c r="S62">
        <f t="shared" si="5"/>
        <v>1</v>
      </c>
      <c r="T62">
        <f t="shared" si="6"/>
        <v>1</v>
      </c>
      <c r="U62">
        <f t="shared" si="7"/>
        <v>1</v>
      </c>
      <c r="V62" t="str" cm="1">
        <f t="array" ref="V62">_xlfn.IFS(
  AND(S62&gt;0,U62&gt;0),"Expansion",
  AND(S62&lt;0,U62&gt;0),"Slowdown",
  AND(S62&lt;0,U62&lt;0),"Contraction",
  AND(S62&gt;0,U62&lt;0),"Recovery",
  TRUE,"Undefined"
)</f>
        <v>Expansion</v>
      </c>
      <c r="W62">
        <f t="shared" si="8"/>
        <v>0</v>
      </c>
      <c r="X62">
        <f t="shared" si="9"/>
        <v>0</v>
      </c>
      <c r="Y62">
        <v>0</v>
      </c>
    </row>
    <row r="63" spans="1:25" x14ac:dyDescent="0.35">
      <c r="A63" s="1">
        <f>Data!A63</f>
        <v>19025</v>
      </c>
      <c r="B63" s="2">
        <f>IFERROR((Data!B63/Data!B62-1)*100,"")</f>
        <v>-0.15122873345935206</v>
      </c>
      <c r="C63" s="2">
        <f>IFERROR((Data!C63/Data!C62-1)*100,"")</f>
        <v>0.62106070479146513</v>
      </c>
      <c r="D63">
        <f t="shared" si="0"/>
        <v>0.78395326400741239</v>
      </c>
      <c r="E63">
        <f t="shared" si="1"/>
        <v>0.11437428217503376</v>
      </c>
      <c r="P63" t="str" cm="1">
        <f t="array" ref="P63">_xlfn.IFS(
  AND(D63&gt;0,E63&gt;0),"Expansion",
  AND(D63&lt;0,E63&gt;0),"Slowdown",
  AND(D63&lt;0,E63&lt;0),"Contraction",
  AND(D63&gt;0,E63&lt;0),"Recovery",
  TRUE,"Undefined"
)</f>
        <v>Expansion</v>
      </c>
      <c r="Q63" t="str">
        <f t="shared" si="10"/>
        <v>Expansion</v>
      </c>
      <c r="R63">
        <f t="shared" si="4"/>
        <v>1</v>
      </c>
      <c r="S63">
        <f t="shared" si="5"/>
        <v>1</v>
      </c>
      <c r="T63">
        <f t="shared" si="6"/>
        <v>1</v>
      </c>
      <c r="U63">
        <f t="shared" si="7"/>
        <v>1</v>
      </c>
      <c r="V63" t="str" cm="1">
        <f t="array" ref="V63">_xlfn.IFS(
  AND(S63&gt;0,U63&gt;0),"Expansion",
  AND(S63&lt;0,U63&gt;0),"Slowdown",
  AND(S63&lt;0,U63&lt;0),"Contraction",
  AND(S63&gt;0,U63&lt;0),"Recovery",
  TRUE,"Undefined"
)</f>
        <v>Expansion</v>
      </c>
      <c r="W63">
        <f t="shared" si="8"/>
        <v>0</v>
      </c>
      <c r="X63">
        <f t="shared" si="9"/>
        <v>0</v>
      </c>
      <c r="Y63">
        <v>0</v>
      </c>
    </row>
    <row r="64" spans="1:25" x14ac:dyDescent="0.35">
      <c r="A64" s="1">
        <f>Data!A64</f>
        <v>19054</v>
      </c>
      <c r="B64" s="2">
        <f>IFERROR((Data!B64/Data!B63-1)*100,"")</f>
        <v>-7.572889057174681E-2</v>
      </c>
      <c r="C64" s="2">
        <f>IFERROR((Data!C64/Data!C63-1)*100,"")</f>
        <v>0.30890022350851254</v>
      </c>
      <c r="D64">
        <f t="shared" si="0"/>
        <v>0.67630229099513439</v>
      </c>
      <c r="E64">
        <f t="shared" si="1"/>
        <v>-0.10083828621210526</v>
      </c>
      <c r="P64" t="str" cm="1">
        <f t="array" ref="P64">_xlfn.IFS(
  AND(D64&gt;0,E64&gt;0),"Expansion",
  AND(D64&lt;0,E64&gt;0),"Slowdown",
  AND(D64&lt;0,E64&lt;0),"Contraction",
  AND(D64&gt;0,E64&lt;0),"Recovery",
  TRUE,"Undefined"
)</f>
        <v>Recovery</v>
      </c>
      <c r="Q64" t="str">
        <f t="shared" si="10"/>
        <v>Expansion</v>
      </c>
      <c r="R64">
        <f t="shared" si="4"/>
        <v>1</v>
      </c>
      <c r="S64">
        <f t="shared" si="5"/>
        <v>1</v>
      </c>
      <c r="T64">
        <f t="shared" si="6"/>
        <v>-1</v>
      </c>
      <c r="U64">
        <f t="shared" si="7"/>
        <v>-1</v>
      </c>
      <c r="V64" t="str" cm="1">
        <f t="array" ref="V64">_xlfn.IFS(
  AND(S64&gt;0,U64&gt;0),"Expansion",
  AND(S64&lt;0,U64&gt;0),"Slowdown",
  AND(S64&lt;0,U64&lt;0),"Contraction",
  AND(S64&gt;0,U64&lt;0),"Recovery",
  TRUE,"Undefined"
)</f>
        <v>Recovery</v>
      </c>
      <c r="W64">
        <f t="shared" si="8"/>
        <v>0</v>
      </c>
      <c r="X64">
        <f t="shared" si="9"/>
        <v>0</v>
      </c>
      <c r="Y64">
        <v>0</v>
      </c>
    </row>
    <row r="65" spans="1:25" x14ac:dyDescent="0.35">
      <c r="A65" s="1">
        <f>Data!A65</f>
        <v>19085</v>
      </c>
      <c r="B65" s="2">
        <f>IFERROR((Data!B65/Data!B64-1)*100,"")</f>
        <v>0.26525198938991412</v>
      </c>
      <c r="C65" s="2">
        <f>IFERROR((Data!C65/Data!C64-1)*100,"")</f>
        <v>-0.92327557147672268</v>
      </c>
      <c r="D65">
        <f t="shared" si="0"/>
        <v>2.2284522744183319E-3</v>
      </c>
      <c r="E65">
        <f t="shared" si="1"/>
        <v>1.2764788452938417E-2</v>
      </c>
      <c r="P65" t="str" cm="1">
        <f t="array" ref="P65">_xlfn.IFS(
  AND(D65&gt;0,E65&gt;0),"Expansion",
  AND(D65&lt;0,E65&gt;0),"Slowdown",
  AND(D65&lt;0,E65&lt;0),"Contraction",
  AND(D65&gt;0,E65&lt;0),"Recovery",
  TRUE,"Undefined"
)</f>
        <v>Expansion</v>
      </c>
      <c r="Q65" t="str">
        <f t="shared" si="10"/>
        <v>Expansion</v>
      </c>
      <c r="R65">
        <f t="shared" si="4"/>
        <v>1</v>
      </c>
      <c r="S65">
        <f t="shared" si="5"/>
        <v>1</v>
      </c>
      <c r="T65">
        <f t="shared" si="6"/>
        <v>1</v>
      </c>
      <c r="U65">
        <f t="shared" si="7"/>
        <v>1</v>
      </c>
      <c r="V65" t="str" cm="1">
        <f t="array" ref="V65">_xlfn.IFS(
  AND(S65&gt;0,U65&gt;0),"Expansion",
  AND(S65&lt;0,U65&gt;0),"Slowdown",
  AND(S65&lt;0,U65&lt;0),"Contraction",
  AND(S65&gt;0,U65&lt;0),"Recovery",
  TRUE,"Undefined"
)</f>
        <v>Expansion</v>
      </c>
      <c r="W65">
        <f t="shared" si="8"/>
        <v>0</v>
      </c>
      <c r="X65">
        <f t="shared" si="9"/>
        <v>0</v>
      </c>
      <c r="Y65">
        <v>0</v>
      </c>
    </row>
    <row r="66" spans="1:25" x14ac:dyDescent="0.35">
      <c r="A66" s="1">
        <f>Data!A66</f>
        <v>19115</v>
      </c>
      <c r="B66" s="2">
        <f>IFERROR((Data!B66/Data!B65-1)*100,"")</f>
        <v>3.7792894935750887E-2</v>
      </c>
      <c r="C66" s="2">
        <f>IFERROR((Data!C66/Data!C65-1)*100,"")</f>
        <v>-0.93130272816916992</v>
      </c>
      <c r="D66">
        <f t="shared" si="0"/>
        <v>-0.51522602537912665</v>
      </c>
      <c r="E66">
        <f t="shared" si="1"/>
        <v>7.5771997917972733E-2</v>
      </c>
      <c r="P66" t="str" cm="1">
        <f t="array" ref="P66">_xlfn.IFS(
  AND(D66&gt;0,E66&gt;0),"Expansion",
  AND(D66&lt;0,E66&gt;0),"Slowdown",
  AND(D66&lt;0,E66&lt;0),"Contraction",
  AND(D66&gt;0,E66&lt;0),"Recovery",
  TRUE,"Undefined"
)</f>
        <v>Slowdown</v>
      </c>
      <c r="Q66" t="str">
        <f t="shared" si="10"/>
        <v>Expansion</v>
      </c>
      <c r="R66">
        <f t="shared" si="4"/>
        <v>-1</v>
      </c>
      <c r="S66">
        <f t="shared" si="5"/>
        <v>-1</v>
      </c>
      <c r="T66">
        <f t="shared" si="6"/>
        <v>1</v>
      </c>
      <c r="U66">
        <f t="shared" si="7"/>
        <v>1</v>
      </c>
      <c r="V66" t="str" cm="1">
        <f t="array" ref="V66">_xlfn.IFS(
  AND(S66&gt;0,U66&gt;0),"Expansion",
  AND(S66&lt;0,U66&gt;0),"Slowdown",
  AND(S66&lt;0,U66&lt;0),"Contraction",
  AND(S66&gt;0,U66&lt;0),"Recovery",
  TRUE,"Undefined"
)</f>
        <v>Slowdown</v>
      </c>
      <c r="W66">
        <f t="shared" si="8"/>
        <v>0</v>
      </c>
      <c r="X66">
        <f t="shared" si="9"/>
        <v>0</v>
      </c>
      <c r="Y66">
        <v>0</v>
      </c>
    </row>
    <row r="67" spans="1:25" x14ac:dyDescent="0.35">
      <c r="A67" s="1">
        <f>Data!A67</f>
        <v>19146</v>
      </c>
      <c r="B67" s="2">
        <f>IFERROR((Data!B67/Data!B66-1)*100,"")</f>
        <v>0.22667170381565072</v>
      </c>
      <c r="C67" s="2">
        <f>IFERROR((Data!C67/Data!C66-1)*100,"")</f>
        <v>-0.94063958835376438</v>
      </c>
      <c r="D67">
        <f t="shared" si="0"/>
        <v>-0.9317392959998857</v>
      </c>
      <c r="E67">
        <f t="shared" si="1"/>
        <v>0.17657219604710525</v>
      </c>
      <c r="P67" t="str" cm="1">
        <f t="array" ref="P67">_xlfn.IFS(
  AND(D67&gt;0,E67&gt;0),"Expansion",
  AND(D67&lt;0,E67&gt;0),"Slowdown",
  AND(D67&lt;0,E67&lt;0),"Contraction",
  AND(D67&gt;0,E67&lt;0),"Recovery",
  TRUE,"Undefined"
)</f>
        <v>Slowdown</v>
      </c>
      <c r="Q67" t="str">
        <f t="shared" si="10"/>
        <v>Expansion</v>
      </c>
      <c r="R67">
        <f t="shared" si="4"/>
        <v>-1</v>
      </c>
      <c r="S67">
        <f t="shared" si="5"/>
        <v>-1</v>
      </c>
      <c r="T67">
        <f t="shared" si="6"/>
        <v>1</v>
      </c>
      <c r="U67">
        <f t="shared" si="7"/>
        <v>1</v>
      </c>
      <c r="V67" t="str" cm="1">
        <f t="array" ref="V67">_xlfn.IFS(
  AND(S67&gt;0,U67&gt;0),"Expansion",
  AND(S67&lt;0,U67&gt;0),"Slowdown",
  AND(S67&lt;0,U67&lt;0),"Contraction",
  AND(S67&gt;0,U67&lt;0),"Recovery",
  TRUE,"Undefined"
)</f>
        <v>Slowdown</v>
      </c>
      <c r="W67">
        <f t="shared" si="8"/>
        <v>0</v>
      </c>
      <c r="X67">
        <f t="shared" si="9"/>
        <v>0</v>
      </c>
      <c r="Y67">
        <v>0</v>
      </c>
    </row>
    <row r="68" spans="1:25" x14ac:dyDescent="0.35">
      <c r="A68" s="1">
        <f>Data!A68</f>
        <v>19176</v>
      </c>
      <c r="B68" s="2">
        <f>IFERROR((Data!B68/Data!B67-1)*100,"")</f>
        <v>0.56539766302299288</v>
      </c>
      <c r="C68" s="2">
        <f>IFERROR((Data!C68/Data!C67-1)*100,"")</f>
        <v>-1.5824235230518013</v>
      </c>
      <c r="D68">
        <f t="shared" si="0"/>
        <v>-1.1514552798582451</v>
      </c>
      <c r="E68">
        <f t="shared" si="1"/>
        <v>0.27662075392479818</v>
      </c>
      <c r="P68" t="str" cm="1">
        <f t="array" ref="P68">_xlfn.IFS(
  AND(D68&gt;0,E68&gt;0),"Expansion",
  AND(D68&lt;0,E68&gt;0),"Slowdown",
  AND(D68&lt;0,E68&lt;0),"Contraction",
  AND(D68&gt;0,E68&lt;0),"Recovery",
  TRUE,"Undefined"
)</f>
        <v>Slowdown</v>
      </c>
      <c r="Q68" t="str">
        <f t="shared" si="10"/>
        <v>Slowdown</v>
      </c>
      <c r="R68">
        <f t="shared" si="4"/>
        <v>-1</v>
      </c>
      <c r="S68">
        <f t="shared" si="5"/>
        <v>-1</v>
      </c>
      <c r="T68">
        <f t="shared" si="6"/>
        <v>1</v>
      </c>
      <c r="U68">
        <f t="shared" si="7"/>
        <v>1</v>
      </c>
      <c r="V68" t="str" cm="1">
        <f t="array" ref="V68">_xlfn.IFS(
  AND(S68&gt;0,U68&gt;0),"Expansion",
  AND(S68&lt;0,U68&gt;0),"Slowdown",
  AND(S68&lt;0,U68&lt;0),"Contraction",
  AND(S68&gt;0,U68&lt;0),"Recovery",
  TRUE,"Undefined"
)</f>
        <v>Slowdown</v>
      </c>
      <c r="W68">
        <f t="shared" si="8"/>
        <v>0</v>
      </c>
      <c r="X68">
        <f t="shared" si="9"/>
        <v>0</v>
      </c>
      <c r="Y68">
        <v>0</v>
      </c>
    </row>
    <row r="69" spans="1:25" x14ac:dyDescent="0.35">
      <c r="A69" s="1">
        <f>Data!A69</f>
        <v>19207</v>
      </c>
      <c r="B69" s="2">
        <f>IFERROR((Data!B69/Data!B68-1)*100,"")</f>
        <v>3.7481259370331088E-2</v>
      </c>
      <c r="C69" s="2">
        <f>IFERROR((Data!C69/Data!C68-1)*100,"")</f>
        <v>6.430870086990792</v>
      </c>
      <c r="D69">
        <f t="shared" ref="D69:D132" si="11">SUM(C67:C69)/3</f>
        <v>1.3026023251950754</v>
      </c>
      <c r="E69">
        <f t="shared" ref="E69:E132" si="12">SUM(B67:B69)/3</f>
        <v>0.27651687540299158</v>
      </c>
      <c r="P69" t="str" cm="1">
        <f t="array" ref="P69">_xlfn.IFS(
  AND(D69&gt;0,E69&gt;0),"Expansion",
  AND(D69&lt;0,E69&gt;0),"Slowdown",
  AND(D69&lt;0,E69&lt;0),"Contraction",
  AND(D69&gt;0,E69&lt;0),"Recovery",
  TRUE,"Undefined"
)</f>
        <v>Expansion</v>
      </c>
      <c r="Q69" t="str">
        <f t="shared" si="10"/>
        <v>Slowdown</v>
      </c>
      <c r="R69">
        <f t="shared" si="4"/>
        <v>1</v>
      </c>
      <c r="S69">
        <f t="shared" si="5"/>
        <v>1</v>
      </c>
      <c r="T69">
        <f t="shared" si="6"/>
        <v>1</v>
      </c>
      <c r="U69">
        <f t="shared" si="7"/>
        <v>1</v>
      </c>
      <c r="V69" t="str" cm="1">
        <f t="array" ref="V69">_xlfn.IFS(
  AND(S69&gt;0,U69&gt;0),"Expansion",
  AND(S69&lt;0,U69&gt;0),"Slowdown",
  AND(S69&lt;0,U69&lt;0),"Contraction",
  AND(S69&gt;0,U69&lt;0),"Recovery",
  TRUE,"Undefined"
)</f>
        <v>Expansion</v>
      </c>
      <c r="W69">
        <f t="shared" si="8"/>
        <v>0</v>
      </c>
      <c r="X69">
        <f t="shared" si="9"/>
        <v>0</v>
      </c>
      <c r="Y69">
        <v>0</v>
      </c>
    </row>
    <row r="70" spans="1:25" x14ac:dyDescent="0.35">
      <c r="A70" s="1">
        <f>Data!A70</f>
        <v>19238</v>
      </c>
      <c r="B70" s="2">
        <f>IFERROR((Data!B70/Data!B69-1)*100,"")</f>
        <v>-0.22480329711502822</v>
      </c>
      <c r="C70" s="2">
        <f>IFERROR((Data!C70/Data!C69-1)*100,"")</f>
        <v>3.6256030517222149</v>
      </c>
      <c r="D70">
        <f t="shared" si="11"/>
        <v>2.8246832052204014</v>
      </c>
      <c r="E70">
        <f t="shared" si="12"/>
        <v>0.12602520842609857</v>
      </c>
      <c r="P70" t="str" cm="1">
        <f t="array" ref="P70">_xlfn.IFS(
  AND(D70&gt;0,E70&gt;0),"Expansion",
  AND(D70&lt;0,E70&gt;0),"Slowdown",
  AND(D70&lt;0,E70&lt;0),"Contraction",
  AND(D70&gt;0,E70&lt;0),"Recovery",
  TRUE,"Undefined"
)</f>
        <v>Expansion</v>
      </c>
      <c r="Q70" t="str">
        <f t="shared" si="10"/>
        <v>Slowdown</v>
      </c>
      <c r="R70">
        <f t="shared" ref="R70:R133" si="13">IF(D70&gt;-0.26, 1, -1)</f>
        <v>1</v>
      </c>
      <c r="S70">
        <f t="shared" ref="S70:S133" si="14">IF(R70=1, IF(D70 &lt; -$L$5, -1, 1), IF(D70 &gt; $L$5, 1, -1))</f>
        <v>1</v>
      </c>
      <c r="T70">
        <f t="shared" ref="T70:T133" si="15">IF(E70&gt;0, 1, -1)</f>
        <v>1</v>
      </c>
      <c r="U70">
        <f t="shared" ref="U70:U133" si="16">IF(T70=1, IF(E70 &lt; -$M$5, -1, 1), IF(E70 &gt; $M$5, 1, -1))</f>
        <v>1</v>
      </c>
      <c r="V70" t="str" cm="1">
        <f t="array" ref="V70">_xlfn.IFS(
  AND(S70&gt;0,U70&gt;0),"Expansion",
  AND(S70&lt;0,U70&gt;0),"Slowdown",
  AND(S70&lt;0,U70&lt;0),"Contraction",
  AND(S70&gt;0,U70&lt;0),"Recovery",
  TRUE,"Undefined"
)</f>
        <v>Expansion</v>
      </c>
      <c r="W70">
        <f t="shared" ref="W70:W133" si="17">IF(Q70="Contraction", 1, 0)</f>
        <v>0</v>
      </c>
      <c r="X70">
        <f t="shared" ref="X70:X133" si="18">IF(V70="Contraction", 1, 0)</f>
        <v>0</v>
      </c>
      <c r="Y70">
        <v>0</v>
      </c>
    </row>
    <row r="71" spans="1:25" x14ac:dyDescent="0.35">
      <c r="A71" s="1">
        <f>Data!A71</f>
        <v>19268</v>
      </c>
      <c r="B71" s="2">
        <f>IFERROR((Data!B71/Data!B70-1)*100,"")</f>
        <v>0.22530980097634767</v>
      </c>
      <c r="C71" s="2">
        <f>IFERROR((Data!C71/Data!C70-1)*100,"")</f>
        <v>1.0204468312013049</v>
      </c>
      <c r="D71">
        <f t="shared" si="11"/>
        <v>3.6923066566381038</v>
      </c>
      <c r="E71">
        <f t="shared" si="12"/>
        <v>1.2662587743883513E-2</v>
      </c>
      <c r="P71" t="str" cm="1">
        <f t="array" ref="P71">_xlfn.IFS(
  AND(D71&gt;0,E71&gt;0),"Expansion",
  AND(D71&lt;0,E71&gt;0),"Slowdown",
  AND(D71&lt;0,E71&lt;0),"Contraction",
  AND(D71&gt;0,E71&lt;0),"Recovery",
  TRUE,"Undefined"
)</f>
        <v>Expansion</v>
      </c>
      <c r="Q71" t="str">
        <f t="shared" si="10"/>
        <v>Expansion</v>
      </c>
      <c r="R71">
        <f t="shared" si="13"/>
        <v>1</v>
      </c>
      <c r="S71">
        <f t="shared" si="14"/>
        <v>1</v>
      </c>
      <c r="T71">
        <f t="shared" si="15"/>
        <v>1</v>
      </c>
      <c r="U71">
        <f t="shared" si="16"/>
        <v>1</v>
      </c>
      <c r="V71" t="str" cm="1">
        <f t="array" ref="V71">_xlfn.IFS(
  AND(S71&gt;0,U71&gt;0),"Expansion",
  AND(S71&lt;0,U71&gt;0),"Slowdown",
  AND(S71&lt;0,U71&lt;0),"Contraction",
  AND(S71&gt;0,U71&lt;0),"Recovery",
  TRUE,"Undefined"
)</f>
        <v>Expansion</v>
      </c>
      <c r="W71">
        <f t="shared" si="17"/>
        <v>0</v>
      </c>
      <c r="X71">
        <f t="shared" si="18"/>
        <v>0</v>
      </c>
      <c r="Y71">
        <v>0</v>
      </c>
    </row>
    <row r="72" spans="1:25" x14ac:dyDescent="0.35">
      <c r="A72" s="1">
        <f>Data!A72</f>
        <v>19299</v>
      </c>
      <c r="B72" s="2">
        <f>IFERROR((Data!B72/Data!B71-1)*100,"")</f>
        <v>0</v>
      </c>
      <c r="C72" s="2">
        <f>IFERROR((Data!C72/Data!C71-1)*100,"")</f>
        <v>2.0202778015947942</v>
      </c>
      <c r="D72">
        <f t="shared" si="11"/>
        <v>2.2221092281727715</v>
      </c>
      <c r="E72">
        <f t="shared" si="12"/>
        <v>1.6883462043981723E-4</v>
      </c>
      <c r="P72" t="str" cm="1">
        <f t="array" ref="P72">_xlfn.IFS(
  AND(D72&gt;0,E72&gt;0),"Expansion",
  AND(D72&lt;0,E72&gt;0),"Slowdown",
  AND(D72&lt;0,E72&lt;0),"Contraction",
  AND(D72&gt;0,E72&lt;0),"Recovery",
  TRUE,"Undefined"
)</f>
        <v>Expansion</v>
      </c>
      <c r="Q72" t="str">
        <f t="shared" ref="Q72:Q135" si="19">IF(AND(P72=P71, P71=P70), P72, Q71)</f>
        <v>Expansion</v>
      </c>
      <c r="R72">
        <f t="shared" si="13"/>
        <v>1</v>
      </c>
      <c r="S72">
        <f t="shared" si="14"/>
        <v>1</v>
      </c>
      <c r="T72">
        <f t="shared" si="15"/>
        <v>1</v>
      </c>
      <c r="U72">
        <f t="shared" si="16"/>
        <v>1</v>
      </c>
      <c r="V72" t="str" cm="1">
        <f t="array" ref="V72">_xlfn.IFS(
  AND(S72&gt;0,U72&gt;0),"Expansion",
  AND(S72&lt;0,U72&gt;0),"Slowdown",
  AND(S72&lt;0,U72&lt;0),"Contraction",
  AND(S72&gt;0,U72&lt;0),"Recovery",
  TRUE,"Undefined"
)</f>
        <v>Expansion</v>
      </c>
      <c r="W72">
        <f t="shared" si="17"/>
        <v>0</v>
      </c>
      <c r="X72">
        <f t="shared" si="18"/>
        <v>0</v>
      </c>
      <c r="Y72">
        <v>0</v>
      </c>
    </row>
    <row r="73" spans="1:25" x14ac:dyDescent="0.35">
      <c r="A73" s="1">
        <f>Data!A73</f>
        <v>19329</v>
      </c>
      <c r="B73" s="2">
        <f>IFERROR((Data!B73/Data!B72-1)*100,"")</f>
        <v>7.4934432371676074E-2</v>
      </c>
      <c r="C73" s="2">
        <f>IFERROR((Data!C73/Data!C72-1)*100,"")</f>
        <v>0.56571662692117552</v>
      </c>
      <c r="D73">
        <f t="shared" si="11"/>
        <v>1.2021470865724249</v>
      </c>
      <c r="E73">
        <f t="shared" si="12"/>
        <v>0.10008141111600792</v>
      </c>
      <c r="P73" t="str" cm="1">
        <f t="array" ref="P73">_xlfn.IFS(
  AND(D73&gt;0,E73&gt;0),"Expansion",
  AND(D73&lt;0,E73&gt;0),"Slowdown",
  AND(D73&lt;0,E73&lt;0),"Contraction",
  AND(D73&gt;0,E73&lt;0),"Recovery",
  TRUE,"Undefined"
)</f>
        <v>Expansion</v>
      </c>
      <c r="Q73" t="str">
        <f t="shared" si="19"/>
        <v>Expansion</v>
      </c>
      <c r="R73">
        <f t="shared" si="13"/>
        <v>1</v>
      </c>
      <c r="S73">
        <f t="shared" si="14"/>
        <v>1</v>
      </c>
      <c r="T73">
        <f t="shared" si="15"/>
        <v>1</v>
      </c>
      <c r="U73">
        <f t="shared" si="16"/>
        <v>1</v>
      </c>
      <c r="V73" t="str" cm="1">
        <f t="array" ref="V73">_xlfn.IFS(
  AND(S73&gt;0,U73&gt;0),"Expansion",
  AND(S73&lt;0,U73&gt;0),"Slowdown",
  AND(S73&lt;0,U73&lt;0),"Contraction",
  AND(S73&gt;0,U73&lt;0),"Recovery",
  TRUE,"Undefined"
)</f>
        <v>Expansion</v>
      </c>
      <c r="W73">
        <f t="shared" si="17"/>
        <v>0</v>
      </c>
      <c r="X73">
        <f t="shared" si="18"/>
        <v>0</v>
      </c>
      <c r="Y73">
        <v>0</v>
      </c>
    </row>
    <row r="74" spans="1:25" x14ac:dyDescent="0.35">
      <c r="A74" s="1">
        <f>Data!A74</f>
        <v>19360</v>
      </c>
      <c r="B74" s="2">
        <f>IFERROR((Data!B74/Data!B73-1)*100,"")</f>
        <v>-0.26207412953950238</v>
      </c>
      <c r="C74" s="2">
        <f>IFERROR((Data!C74/Data!C73-1)*100,"")</f>
        <v>0.28100598051763459</v>
      </c>
      <c r="D74">
        <f t="shared" si="11"/>
        <v>0.95566680301120144</v>
      </c>
      <c r="E74">
        <f t="shared" si="12"/>
        <v>-6.2379899055942101E-2</v>
      </c>
      <c r="P74" t="str" cm="1">
        <f t="array" ref="P74">_xlfn.IFS(
  AND(D74&gt;0,E74&gt;0),"Expansion",
  AND(D74&lt;0,E74&gt;0),"Slowdown",
  AND(D74&lt;0,E74&lt;0),"Contraction",
  AND(D74&gt;0,E74&lt;0),"Recovery",
  TRUE,"Undefined"
)</f>
        <v>Recovery</v>
      </c>
      <c r="Q74" t="str">
        <f t="shared" si="19"/>
        <v>Expansion</v>
      </c>
      <c r="R74">
        <f t="shared" si="13"/>
        <v>1</v>
      </c>
      <c r="S74">
        <f t="shared" si="14"/>
        <v>1</v>
      </c>
      <c r="T74">
        <f t="shared" si="15"/>
        <v>-1</v>
      </c>
      <c r="U74">
        <f t="shared" si="16"/>
        <v>-1</v>
      </c>
      <c r="V74" t="str" cm="1">
        <f t="array" ref="V74">_xlfn.IFS(
  AND(S74&gt;0,U74&gt;0),"Expansion",
  AND(S74&lt;0,U74&gt;0),"Slowdown",
  AND(S74&lt;0,U74&lt;0),"Contraction",
  AND(S74&gt;0,U74&lt;0),"Recovery",
  TRUE,"Undefined"
)</f>
        <v>Recovery</v>
      </c>
      <c r="W74">
        <f t="shared" si="17"/>
        <v>0</v>
      </c>
      <c r="X74">
        <f t="shared" si="18"/>
        <v>0</v>
      </c>
      <c r="Y74">
        <v>0</v>
      </c>
    </row>
    <row r="75" spans="1:25" x14ac:dyDescent="0.35">
      <c r="A75" s="1">
        <f>Data!A75</f>
        <v>19391</v>
      </c>
      <c r="B75" s="2">
        <f>IFERROR((Data!B75/Data!B74-1)*100,"")</f>
        <v>-0.18768768768768762</v>
      </c>
      <c r="C75" s="2">
        <f>IFERROR((Data!C75/Data!C74-1)*100,"")</f>
        <v>0.56095795159196715</v>
      </c>
      <c r="D75">
        <f t="shared" si="11"/>
        <v>0.46922685301025907</v>
      </c>
      <c r="E75">
        <f t="shared" si="12"/>
        <v>-0.12494246161850464</v>
      </c>
      <c r="P75" t="str" cm="1">
        <f t="array" ref="P75">_xlfn.IFS(
  AND(D75&gt;0,E75&gt;0),"Expansion",
  AND(D75&lt;0,E75&gt;0),"Slowdown",
  AND(D75&lt;0,E75&lt;0),"Contraction",
  AND(D75&gt;0,E75&lt;0),"Recovery",
  TRUE,"Undefined"
)</f>
        <v>Recovery</v>
      </c>
      <c r="Q75" t="str">
        <f t="shared" si="19"/>
        <v>Expansion</v>
      </c>
      <c r="R75">
        <f t="shared" si="13"/>
        <v>1</v>
      </c>
      <c r="S75">
        <f t="shared" si="14"/>
        <v>1</v>
      </c>
      <c r="T75">
        <f t="shared" si="15"/>
        <v>-1</v>
      </c>
      <c r="U75">
        <f t="shared" si="16"/>
        <v>-1</v>
      </c>
      <c r="V75" t="str" cm="1">
        <f t="array" ref="V75">_xlfn.IFS(
  AND(S75&gt;0,U75&gt;0),"Expansion",
  AND(S75&lt;0,U75&gt;0),"Slowdown",
  AND(S75&lt;0,U75&lt;0),"Contraction",
  AND(S75&gt;0,U75&lt;0),"Recovery",
  TRUE,"Undefined"
)</f>
        <v>Recovery</v>
      </c>
      <c r="W75">
        <f t="shared" si="17"/>
        <v>0</v>
      </c>
      <c r="X75">
        <f t="shared" si="18"/>
        <v>0</v>
      </c>
      <c r="Y75">
        <v>0</v>
      </c>
    </row>
    <row r="76" spans="1:25" x14ac:dyDescent="0.35">
      <c r="A76" s="1">
        <f>Data!A76</f>
        <v>19419</v>
      </c>
      <c r="B76" s="2">
        <f>IFERROR((Data!B76/Data!B75-1)*100,"")</f>
        <v>0.15043249341857301</v>
      </c>
      <c r="C76" s="2">
        <f>IFERROR((Data!C76/Data!C75-1)*100,"")</f>
        <v>0.83700212358213122</v>
      </c>
      <c r="D76">
        <f t="shared" si="11"/>
        <v>0.55965535189724436</v>
      </c>
      <c r="E76">
        <f t="shared" si="12"/>
        <v>-9.9776441269538996E-2</v>
      </c>
      <c r="P76" t="str" cm="1">
        <f t="array" ref="P76">_xlfn.IFS(
  AND(D76&gt;0,E76&gt;0),"Expansion",
  AND(D76&lt;0,E76&gt;0),"Slowdown",
  AND(D76&lt;0,E76&lt;0),"Contraction",
  AND(D76&gt;0,E76&lt;0),"Recovery",
  TRUE,"Undefined"
)</f>
        <v>Recovery</v>
      </c>
      <c r="Q76" t="str">
        <f t="shared" si="19"/>
        <v>Recovery</v>
      </c>
      <c r="R76">
        <f t="shared" si="13"/>
        <v>1</v>
      </c>
      <c r="S76">
        <f t="shared" si="14"/>
        <v>1</v>
      </c>
      <c r="T76">
        <f t="shared" si="15"/>
        <v>-1</v>
      </c>
      <c r="U76">
        <f t="shared" si="16"/>
        <v>-1</v>
      </c>
      <c r="V76" t="str" cm="1">
        <f t="array" ref="V76">_xlfn.IFS(
  AND(S76&gt;0,U76&gt;0),"Expansion",
  AND(S76&lt;0,U76&gt;0),"Slowdown",
  AND(S76&lt;0,U76&lt;0),"Contraction",
  AND(S76&gt;0,U76&lt;0),"Recovery",
  TRUE,"Undefined"
)</f>
        <v>Recovery</v>
      </c>
      <c r="W76">
        <f t="shared" si="17"/>
        <v>0</v>
      </c>
      <c r="X76">
        <f t="shared" si="18"/>
        <v>0</v>
      </c>
      <c r="Y76">
        <v>0</v>
      </c>
    </row>
    <row r="77" spans="1:25" x14ac:dyDescent="0.35">
      <c r="A77" s="1">
        <f>Data!A77</f>
        <v>19450</v>
      </c>
      <c r="B77" s="2">
        <f>IFERROR((Data!B77/Data!B76-1)*100,"")</f>
        <v>0.22530980097634767</v>
      </c>
      <c r="C77" s="2">
        <f>IFERROR((Data!C77/Data!C76-1)*100,"")</f>
        <v>0.41502727468847311</v>
      </c>
      <c r="D77">
        <f t="shared" si="11"/>
        <v>0.6043291166208572</v>
      </c>
      <c r="E77">
        <f t="shared" si="12"/>
        <v>6.2684868902411026E-2</v>
      </c>
      <c r="P77" t="str" cm="1">
        <f t="array" ref="P77">_xlfn.IFS(
  AND(D77&gt;0,E77&gt;0),"Expansion",
  AND(D77&lt;0,E77&gt;0),"Slowdown",
  AND(D77&lt;0,E77&lt;0),"Contraction",
  AND(D77&gt;0,E77&lt;0),"Recovery",
  TRUE,"Undefined"
)</f>
        <v>Expansion</v>
      </c>
      <c r="Q77" t="str">
        <f t="shared" si="19"/>
        <v>Recovery</v>
      </c>
      <c r="R77">
        <f t="shared" si="13"/>
        <v>1</v>
      </c>
      <c r="S77">
        <f t="shared" si="14"/>
        <v>1</v>
      </c>
      <c r="T77">
        <f t="shared" si="15"/>
        <v>1</v>
      </c>
      <c r="U77">
        <f t="shared" si="16"/>
        <v>1</v>
      </c>
      <c r="V77" t="str" cm="1">
        <f t="array" ref="V77">_xlfn.IFS(
  AND(S77&gt;0,U77&gt;0),"Expansion",
  AND(S77&lt;0,U77&gt;0),"Slowdown",
  AND(S77&lt;0,U77&lt;0),"Contraction",
  AND(S77&gt;0,U77&lt;0),"Recovery",
  TRUE,"Undefined"
)</f>
        <v>Expansion</v>
      </c>
      <c r="W77">
        <f t="shared" si="17"/>
        <v>0</v>
      </c>
      <c r="X77">
        <f t="shared" si="18"/>
        <v>0</v>
      </c>
      <c r="Y77">
        <v>0</v>
      </c>
    </row>
    <row r="78" spans="1:25" x14ac:dyDescent="0.35">
      <c r="A78" s="1">
        <f>Data!A78</f>
        <v>19480</v>
      </c>
      <c r="B78" s="2">
        <f>IFERROR((Data!B78/Data!B77-1)*100,"")</f>
        <v>3.7467216185826935E-2</v>
      </c>
      <c r="C78" s="2">
        <f>IFERROR((Data!C78/Data!C77-1)*100,"")</f>
        <v>0.55091204845161279</v>
      </c>
      <c r="D78">
        <f t="shared" si="11"/>
        <v>0.60098048224073908</v>
      </c>
      <c r="E78">
        <f t="shared" si="12"/>
        <v>0.13773650352691588</v>
      </c>
      <c r="P78" t="str" cm="1">
        <f t="array" ref="P78">_xlfn.IFS(
  AND(D78&gt;0,E78&gt;0),"Expansion",
  AND(D78&lt;0,E78&gt;0),"Slowdown",
  AND(D78&lt;0,E78&lt;0),"Contraction",
  AND(D78&gt;0,E78&lt;0),"Recovery",
  TRUE,"Undefined"
)</f>
        <v>Expansion</v>
      </c>
      <c r="Q78" t="str">
        <f t="shared" si="19"/>
        <v>Recovery</v>
      </c>
      <c r="R78">
        <f t="shared" si="13"/>
        <v>1</v>
      </c>
      <c r="S78">
        <f t="shared" si="14"/>
        <v>1</v>
      </c>
      <c r="T78">
        <f t="shared" si="15"/>
        <v>1</v>
      </c>
      <c r="U78">
        <f t="shared" si="16"/>
        <v>1</v>
      </c>
      <c r="V78" t="str" cm="1">
        <f t="array" ref="V78">_xlfn.IFS(
  AND(S78&gt;0,U78&gt;0),"Expansion",
  AND(S78&lt;0,U78&gt;0),"Slowdown",
  AND(S78&lt;0,U78&lt;0),"Contraction",
  AND(S78&gt;0,U78&lt;0),"Recovery",
  TRUE,"Undefined"
)</f>
        <v>Expansion</v>
      </c>
      <c r="W78">
        <f t="shared" si="17"/>
        <v>0</v>
      </c>
      <c r="X78">
        <f t="shared" si="18"/>
        <v>0</v>
      </c>
      <c r="Y78">
        <v>0</v>
      </c>
    </row>
    <row r="79" spans="1:25" x14ac:dyDescent="0.35">
      <c r="A79" s="1">
        <f>Data!A79</f>
        <v>19511</v>
      </c>
      <c r="B79" s="2">
        <f>IFERROR((Data!B79/Data!B78-1)*100,"")</f>
        <v>0.26217228464420206</v>
      </c>
      <c r="C79" s="2">
        <f>IFERROR((Data!C79/Data!C78-1)*100,"")</f>
        <v>-0.41104740780685267</v>
      </c>
      <c r="D79">
        <f t="shared" si="11"/>
        <v>0.1849639717777444</v>
      </c>
      <c r="E79">
        <f t="shared" si="12"/>
        <v>0.17498310060212555</v>
      </c>
      <c r="P79" t="str" cm="1">
        <f t="array" ref="P79">_xlfn.IFS(
  AND(D79&gt;0,E79&gt;0),"Expansion",
  AND(D79&lt;0,E79&gt;0),"Slowdown",
  AND(D79&lt;0,E79&lt;0),"Contraction",
  AND(D79&gt;0,E79&lt;0),"Recovery",
  TRUE,"Undefined"
)</f>
        <v>Expansion</v>
      </c>
      <c r="Q79" t="str">
        <f t="shared" si="19"/>
        <v>Expansion</v>
      </c>
      <c r="R79">
        <f t="shared" si="13"/>
        <v>1</v>
      </c>
      <c r="S79">
        <f t="shared" si="14"/>
        <v>1</v>
      </c>
      <c r="T79">
        <f t="shared" si="15"/>
        <v>1</v>
      </c>
      <c r="U79">
        <f t="shared" si="16"/>
        <v>1</v>
      </c>
      <c r="V79" t="str" cm="1">
        <f t="array" ref="V79">_xlfn.IFS(
  AND(S79&gt;0,U79&gt;0),"Expansion",
  AND(S79&lt;0,U79&gt;0),"Slowdown",
  AND(S79&lt;0,U79&lt;0),"Contraction",
  AND(S79&gt;0,U79&lt;0),"Recovery",
  TRUE,"Undefined"
)</f>
        <v>Expansion</v>
      </c>
      <c r="W79">
        <f t="shared" si="17"/>
        <v>0</v>
      </c>
      <c r="X79">
        <f t="shared" si="18"/>
        <v>0</v>
      </c>
      <c r="Y79">
        <v>0</v>
      </c>
    </row>
    <row r="80" spans="1:25" x14ac:dyDescent="0.35">
      <c r="A80" s="1">
        <f>Data!A80</f>
        <v>19541</v>
      </c>
      <c r="B80" s="2">
        <f>IFERROR((Data!B80/Data!B79-1)*100,"")</f>
        <v>7.4710496824792472E-2</v>
      </c>
      <c r="C80" s="2">
        <f>IFERROR((Data!C80/Data!C79-1)*100,"")</f>
        <v>1.2382319437278744</v>
      </c>
      <c r="D80">
        <f t="shared" si="11"/>
        <v>0.4593655281242115</v>
      </c>
      <c r="E80">
        <f t="shared" si="12"/>
        <v>0.12478333255160716</v>
      </c>
      <c r="P80" t="str" cm="1">
        <f t="array" ref="P80">_xlfn.IFS(
  AND(D80&gt;0,E80&gt;0),"Expansion",
  AND(D80&lt;0,E80&gt;0),"Slowdown",
  AND(D80&lt;0,E80&lt;0),"Contraction",
  AND(D80&gt;0,E80&lt;0),"Recovery",
  TRUE,"Undefined"
)</f>
        <v>Expansion</v>
      </c>
      <c r="Q80" t="str">
        <f t="shared" si="19"/>
        <v>Expansion</v>
      </c>
      <c r="R80">
        <f t="shared" si="13"/>
        <v>1</v>
      </c>
      <c r="S80">
        <f t="shared" si="14"/>
        <v>1</v>
      </c>
      <c r="T80">
        <f t="shared" si="15"/>
        <v>1</v>
      </c>
      <c r="U80">
        <f t="shared" si="16"/>
        <v>1</v>
      </c>
      <c r="V80" t="str" cm="1">
        <f t="array" ref="V80">_xlfn.IFS(
  AND(S80&gt;0,U80&gt;0),"Expansion",
  AND(S80&lt;0,U80&gt;0),"Slowdown",
  AND(S80&lt;0,U80&lt;0),"Contraction",
  AND(S80&gt;0,U80&lt;0),"Recovery",
  TRUE,"Undefined"
)</f>
        <v>Expansion</v>
      </c>
      <c r="W80">
        <f t="shared" si="17"/>
        <v>0</v>
      </c>
      <c r="X80">
        <f t="shared" si="18"/>
        <v>0</v>
      </c>
      <c r="Y80">
        <v>0</v>
      </c>
    </row>
    <row r="81" spans="1:25" x14ac:dyDescent="0.35">
      <c r="A81" s="1">
        <f>Data!A81</f>
        <v>19572</v>
      </c>
      <c r="B81" s="2">
        <f>IFERROR((Data!B81/Data!B80-1)*100,"")</f>
        <v>0.22396416573349232</v>
      </c>
      <c r="C81" s="2">
        <f>IFERROR((Data!C81/Data!C80-1)*100,"")</f>
        <v>-0.54393073208637288</v>
      </c>
      <c r="D81">
        <f t="shared" si="11"/>
        <v>9.4417934611549612E-2</v>
      </c>
      <c r="E81">
        <f t="shared" si="12"/>
        <v>0.18694898240082894</v>
      </c>
      <c r="P81" t="str" cm="1">
        <f t="array" ref="P81">_xlfn.IFS(
  AND(D81&gt;0,E81&gt;0),"Expansion",
  AND(D81&lt;0,E81&gt;0),"Slowdown",
  AND(D81&lt;0,E81&lt;0),"Contraction",
  AND(D81&gt;0,E81&lt;0),"Recovery",
  TRUE,"Undefined"
)</f>
        <v>Expansion</v>
      </c>
      <c r="Q81" t="str">
        <f t="shared" si="19"/>
        <v>Expansion</v>
      </c>
      <c r="R81">
        <f t="shared" si="13"/>
        <v>1</v>
      </c>
      <c r="S81">
        <f t="shared" si="14"/>
        <v>1</v>
      </c>
      <c r="T81">
        <f t="shared" si="15"/>
        <v>1</v>
      </c>
      <c r="U81">
        <f t="shared" si="16"/>
        <v>1</v>
      </c>
      <c r="V81" t="str" cm="1">
        <f t="array" ref="V81">_xlfn.IFS(
  AND(S81&gt;0,U81&gt;0),"Expansion",
  AND(S81&lt;0,U81&gt;0),"Slowdown",
  AND(S81&lt;0,U81&lt;0),"Contraction",
  AND(S81&gt;0,U81&lt;0),"Recovery",
  TRUE,"Undefined"
)</f>
        <v>Expansion</v>
      </c>
      <c r="W81">
        <f t="shared" si="17"/>
        <v>0</v>
      </c>
      <c r="X81">
        <f t="shared" si="18"/>
        <v>0</v>
      </c>
      <c r="Y81">
        <v>1</v>
      </c>
    </row>
    <row r="82" spans="1:25" x14ac:dyDescent="0.35">
      <c r="A82" s="1">
        <f>Data!A82</f>
        <v>19603</v>
      </c>
      <c r="B82" s="2">
        <f>IFERROR((Data!B82/Data!B81-1)*100,"")</f>
        <v>0.14897579143389184</v>
      </c>
      <c r="C82" s="2">
        <f>IFERROR((Data!C82/Data!C81-1)*100,"")</f>
        <v>-2.0491200300341461</v>
      </c>
      <c r="D82">
        <f t="shared" si="11"/>
        <v>-0.45160627279754822</v>
      </c>
      <c r="E82">
        <f t="shared" si="12"/>
        <v>0.1492168179973922</v>
      </c>
      <c r="P82" t="str" cm="1">
        <f t="array" ref="P82">_xlfn.IFS(
  AND(D82&gt;0,E82&gt;0),"Expansion",
  AND(D82&lt;0,E82&gt;0),"Slowdown",
  AND(D82&lt;0,E82&lt;0),"Contraction",
  AND(D82&gt;0,E82&lt;0),"Recovery",
  TRUE,"Undefined"
)</f>
        <v>Slowdown</v>
      </c>
      <c r="Q82" t="str">
        <f t="shared" si="19"/>
        <v>Expansion</v>
      </c>
      <c r="R82">
        <f t="shared" si="13"/>
        <v>-1</v>
      </c>
      <c r="S82">
        <f t="shared" si="14"/>
        <v>-1</v>
      </c>
      <c r="T82">
        <f t="shared" si="15"/>
        <v>1</v>
      </c>
      <c r="U82">
        <f t="shared" si="16"/>
        <v>1</v>
      </c>
      <c r="V82" t="str" cm="1">
        <f t="array" ref="V82">_xlfn.IFS(
  AND(S82&gt;0,U82&gt;0),"Expansion",
  AND(S82&lt;0,U82&gt;0),"Slowdown",
  AND(S82&lt;0,U82&lt;0),"Contraction",
  AND(S82&gt;0,U82&lt;0),"Recovery",
  TRUE,"Undefined"
)</f>
        <v>Slowdown</v>
      </c>
      <c r="W82">
        <f t="shared" si="17"/>
        <v>0</v>
      </c>
      <c r="X82">
        <f t="shared" si="18"/>
        <v>0</v>
      </c>
      <c r="Y82">
        <v>1</v>
      </c>
    </row>
    <row r="83" spans="1:25" x14ac:dyDescent="0.35">
      <c r="A83" s="1">
        <f>Data!A83</f>
        <v>19633</v>
      </c>
      <c r="B83" s="2">
        <f>IFERROR((Data!B83/Data!B82-1)*100,"")</f>
        <v>0.22313127556712331</v>
      </c>
      <c r="C83" s="2">
        <f>IFERROR((Data!C83/Data!C82-1)*100,"")</f>
        <v>-0.83648417672347319</v>
      </c>
      <c r="D83">
        <f t="shared" si="11"/>
        <v>-1.1431783129479973</v>
      </c>
      <c r="E83">
        <f t="shared" si="12"/>
        <v>0.1986904109115025</v>
      </c>
      <c r="P83" t="str" cm="1">
        <f t="array" ref="P83">_xlfn.IFS(
  AND(D83&gt;0,E83&gt;0),"Expansion",
  AND(D83&lt;0,E83&gt;0),"Slowdown",
  AND(D83&lt;0,E83&lt;0),"Contraction",
  AND(D83&gt;0,E83&lt;0),"Recovery",
  TRUE,"Undefined"
)</f>
        <v>Slowdown</v>
      </c>
      <c r="Q83" t="str">
        <f t="shared" si="19"/>
        <v>Expansion</v>
      </c>
      <c r="R83">
        <f t="shared" si="13"/>
        <v>-1</v>
      </c>
      <c r="S83">
        <f t="shared" si="14"/>
        <v>-1</v>
      </c>
      <c r="T83">
        <f t="shared" si="15"/>
        <v>1</v>
      </c>
      <c r="U83">
        <f t="shared" si="16"/>
        <v>1</v>
      </c>
      <c r="V83" t="str" cm="1">
        <f t="array" ref="V83">_xlfn.IFS(
  AND(S83&gt;0,U83&gt;0),"Expansion",
  AND(S83&lt;0,U83&gt;0),"Slowdown",
  AND(S83&lt;0,U83&lt;0),"Contraction",
  AND(S83&gt;0,U83&lt;0),"Recovery",
  TRUE,"Undefined"
)</f>
        <v>Slowdown</v>
      </c>
      <c r="W83">
        <f t="shared" si="17"/>
        <v>0</v>
      </c>
      <c r="X83">
        <f t="shared" si="18"/>
        <v>0</v>
      </c>
      <c r="Y83">
        <v>1</v>
      </c>
    </row>
    <row r="84" spans="1:25" x14ac:dyDescent="0.35">
      <c r="A84" s="1">
        <f>Data!A84</f>
        <v>19664</v>
      </c>
      <c r="B84" s="2">
        <f>IFERROR((Data!B84/Data!B83-1)*100,"")</f>
        <v>-0.37105751391465214</v>
      </c>
      <c r="C84" s="2">
        <f>IFERROR((Data!C84/Data!C83-1)*100,"")</f>
        <v>-2.39116241414431</v>
      </c>
      <c r="D84">
        <f t="shared" si="11"/>
        <v>-1.7589222069673098</v>
      </c>
      <c r="E84">
        <f t="shared" si="12"/>
        <v>3.4985102878766955E-4</v>
      </c>
      <c r="P84" t="str" cm="1">
        <f t="array" ref="P84">_xlfn.IFS(
  AND(D84&gt;0,E84&gt;0),"Expansion",
  AND(D84&lt;0,E84&gt;0),"Slowdown",
  AND(D84&lt;0,E84&lt;0),"Contraction",
  AND(D84&gt;0,E84&lt;0),"Recovery",
  TRUE,"Undefined"
)</f>
        <v>Slowdown</v>
      </c>
      <c r="Q84" t="str">
        <f t="shared" si="19"/>
        <v>Slowdown</v>
      </c>
      <c r="R84">
        <f t="shared" si="13"/>
        <v>-1</v>
      </c>
      <c r="S84">
        <f t="shared" si="14"/>
        <v>-1</v>
      </c>
      <c r="T84">
        <f t="shared" si="15"/>
        <v>1</v>
      </c>
      <c r="U84">
        <f t="shared" si="16"/>
        <v>1</v>
      </c>
      <c r="V84" t="str" cm="1">
        <f t="array" ref="V84">_xlfn.IFS(
  AND(S84&gt;0,U84&gt;0),"Expansion",
  AND(S84&lt;0,U84&gt;0),"Slowdown",
  AND(S84&lt;0,U84&lt;0),"Contraction",
  AND(S84&gt;0,U84&lt;0),"Recovery",
  TRUE,"Undefined"
)</f>
        <v>Slowdown</v>
      </c>
      <c r="W84">
        <f t="shared" si="17"/>
        <v>0</v>
      </c>
      <c r="X84">
        <f t="shared" si="18"/>
        <v>0</v>
      </c>
      <c r="Y84">
        <v>1</v>
      </c>
    </row>
    <row r="85" spans="1:25" x14ac:dyDescent="0.35">
      <c r="A85" s="1">
        <f>Data!A85</f>
        <v>19694</v>
      </c>
      <c r="B85" s="2">
        <f>IFERROR((Data!B85/Data!B84-1)*100,"")</f>
        <v>7.4487895716934815E-2</v>
      </c>
      <c r="C85" s="2">
        <f>IFERROR((Data!C85/Data!C84-1)*100,"")</f>
        <v>-2.4497396683379913</v>
      </c>
      <c r="D85">
        <f t="shared" si="11"/>
        <v>-1.8924620864019248</v>
      </c>
      <c r="E85">
        <f t="shared" si="12"/>
        <v>-2.4479447543531336E-2</v>
      </c>
      <c r="P85" t="str" cm="1">
        <f t="array" ref="P85">_xlfn.IFS(
  AND(D85&gt;0,E85&gt;0),"Expansion",
  AND(D85&lt;0,E85&gt;0),"Slowdown",
  AND(D85&lt;0,E85&lt;0),"Contraction",
  AND(D85&gt;0,E85&lt;0),"Recovery",
  TRUE,"Undefined"
)</f>
        <v>Contraction</v>
      </c>
      <c r="Q85" t="str">
        <f t="shared" si="19"/>
        <v>Slowdown</v>
      </c>
      <c r="R85">
        <f t="shared" si="13"/>
        <v>-1</v>
      </c>
      <c r="S85">
        <f t="shared" si="14"/>
        <v>-1</v>
      </c>
      <c r="T85">
        <f t="shared" si="15"/>
        <v>-1</v>
      </c>
      <c r="U85">
        <f t="shared" si="16"/>
        <v>-1</v>
      </c>
      <c r="V85" t="str" cm="1">
        <f t="array" ref="V85">_xlfn.IFS(
  AND(S85&gt;0,U85&gt;0),"Expansion",
  AND(S85&lt;0,U85&gt;0),"Slowdown",
  AND(S85&lt;0,U85&lt;0),"Contraction",
  AND(S85&gt;0,U85&lt;0),"Recovery",
  TRUE,"Undefined"
)</f>
        <v>Contraction</v>
      </c>
      <c r="W85">
        <f t="shared" si="17"/>
        <v>0</v>
      </c>
      <c r="X85">
        <f t="shared" si="18"/>
        <v>1</v>
      </c>
      <c r="Y85">
        <v>1</v>
      </c>
    </row>
    <row r="86" spans="1:25" x14ac:dyDescent="0.35">
      <c r="A86" s="1">
        <f>Data!A86</f>
        <v>19725</v>
      </c>
      <c r="B86" s="2">
        <f>IFERROR((Data!B86/Data!B85-1)*100,"")</f>
        <v>0.26051358392258361</v>
      </c>
      <c r="C86" s="2">
        <f>IFERROR((Data!C86/Data!C85-1)*100,"")</f>
        <v>-0.73834744019439791</v>
      </c>
      <c r="D86">
        <f t="shared" si="11"/>
        <v>-1.8597498408922331</v>
      </c>
      <c r="E86">
        <f t="shared" si="12"/>
        <v>-1.2018678091711235E-2</v>
      </c>
      <c r="P86" t="str" cm="1">
        <f t="array" ref="P86">_xlfn.IFS(
  AND(D86&gt;0,E86&gt;0),"Expansion",
  AND(D86&lt;0,E86&gt;0),"Slowdown",
  AND(D86&lt;0,E86&lt;0),"Contraction",
  AND(D86&gt;0,E86&lt;0),"Recovery",
  TRUE,"Undefined"
)</f>
        <v>Contraction</v>
      </c>
      <c r="Q86" t="str">
        <f t="shared" si="19"/>
        <v>Slowdown</v>
      </c>
      <c r="R86">
        <f t="shared" si="13"/>
        <v>-1</v>
      </c>
      <c r="S86">
        <f t="shared" si="14"/>
        <v>-1</v>
      </c>
      <c r="T86">
        <f t="shared" si="15"/>
        <v>-1</v>
      </c>
      <c r="U86">
        <f t="shared" si="16"/>
        <v>-1</v>
      </c>
      <c r="V86" t="str" cm="1">
        <f t="array" ref="V86">_xlfn.IFS(
  AND(S86&gt;0,U86&gt;0),"Expansion",
  AND(S86&lt;0,U86&gt;0),"Slowdown",
  AND(S86&lt;0,U86&lt;0),"Contraction",
  AND(S86&gt;0,U86&lt;0),"Recovery",
  TRUE,"Undefined"
)</f>
        <v>Contraction</v>
      </c>
      <c r="W86">
        <f t="shared" si="17"/>
        <v>0</v>
      </c>
      <c r="X86">
        <f t="shared" si="18"/>
        <v>1</v>
      </c>
      <c r="Y86">
        <v>1</v>
      </c>
    </row>
    <row r="87" spans="1:25" x14ac:dyDescent="0.35">
      <c r="A87" s="1">
        <f>Data!A87</f>
        <v>19756</v>
      </c>
      <c r="B87" s="2">
        <f>IFERROR((Data!B87/Data!B86-1)*100,"")</f>
        <v>0.18559762435039762</v>
      </c>
      <c r="C87" s="2">
        <f>IFERROR((Data!C87/Data!C86-1)*100,"")</f>
        <v>0.29786740203257001</v>
      </c>
      <c r="D87">
        <f t="shared" si="11"/>
        <v>-0.96340656883327302</v>
      </c>
      <c r="E87">
        <f t="shared" si="12"/>
        <v>0.17353303466330536</v>
      </c>
      <c r="P87" t="str" cm="1">
        <f t="array" ref="P87">_xlfn.IFS(
  AND(D87&gt;0,E87&gt;0),"Expansion",
  AND(D87&lt;0,E87&gt;0),"Slowdown",
  AND(D87&lt;0,E87&lt;0),"Contraction",
  AND(D87&gt;0,E87&lt;0),"Recovery",
  TRUE,"Undefined"
)</f>
        <v>Slowdown</v>
      </c>
      <c r="Q87" t="str">
        <f t="shared" si="19"/>
        <v>Slowdown</v>
      </c>
      <c r="R87">
        <f t="shared" si="13"/>
        <v>-1</v>
      </c>
      <c r="S87">
        <f t="shared" si="14"/>
        <v>-1</v>
      </c>
      <c r="T87">
        <f t="shared" si="15"/>
        <v>1</v>
      </c>
      <c r="U87">
        <f t="shared" si="16"/>
        <v>1</v>
      </c>
      <c r="V87" t="str" cm="1">
        <f t="array" ref="V87">_xlfn.IFS(
  AND(S87&gt;0,U87&gt;0),"Expansion",
  AND(S87&lt;0,U87&gt;0),"Slowdown",
  AND(S87&lt;0,U87&lt;0),"Contraction",
  AND(S87&gt;0,U87&lt;0),"Recovery",
  TRUE,"Undefined"
)</f>
        <v>Slowdown</v>
      </c>
      <c r="W87">
        <f t="shared" si="17"/>
        <v>0</v>
      </c>
      <c r="X87">
        <f t="shared" si="18"/>
        <v>0</v>
      </c>
      <c r="Y87">
        <v>1</v>
      </c>
    </row>
    <row r="88" spans="1:25" x14ac:dyDescent="0.35">
      <c r="A88" s="1">
        <f>Data!A88</f>
        <v>19784</v>
      </c>
      <c r="B88" s="2">
        <f>IFERROR((Data!B88/Data!B87-1)*100,"")</f>
        <v>-0.22230455724341347</v>
      </c>
      <c r="C88" s="2">
        <f>IFERROR((Data!C88/Data!C87-1)*100,"")</f>
        <v>-0.59396557424019614</v>
      </c>
      <c r="D88">
        <f t="shared" si="11"/>
        <v>-0.34481520413400801</v>
      </c>
      <c r="E88">
        <f t="shared" si="12"/>
        <v>7.460221700985592E-2</v>
      </c>
      <c r="P88" t="str" cm="1">
        <f t="array" ref="P88">_xlfn.IFS(
  AND(D88&gt;0,E88&gt;0),"Expansion",
  AND(D88&lt;0,E88&gt;0),"Slowdown",
  AND(D88&lt;0,E88&lt;0),"Contraction",
  AND(D88&gt;0,E88&lt;0),"Recovery",
  TRUE,"Undefined"
)</f>
        <v>Slowdown</v>
      </c>
      <c r="Q88" t="str">
        <f t="shared" si="19"/>
        <v>Slowdown</v>
      </c>
      <c r="R88">
        <f t="shared" si="13"/>
        <v>-1</v>
      </c>
      <c r="S88">
        <f t="shared" si="14"/>
        <v>-1</v>
      </c>
      <c r="T88">
        <f t="shared" si="15"/>
        <v>1</v>
      </c>
      <c r="U88">
        <f t="shared" si="16"/>
        <v>1</v>
      </c>
      <c r="V88" t="str" cm="1">
        <f t="array" ref="V88">_xlfn.IFS(
  AND(S88&gt;0,U88&gt;0),"Expansion",
  AND(S88&lt;0,U88&gt;0),"Slowdown",
  AND(S88&lt;0,U88&lt;0),"Contraction",
  AND(S88&gt;0,U88&lt;0),"Recovery",
  TRUE,"Undefined"
)</f>
        <v>Slowdown</v>
      </c>
      <c r="W88">
        <f t="shared" si="17"/>
        <v>0</v>
      </c>
      <c r="X88">
        <f t="shared" si="18"/>
        <v>0</v>
      </c>
      <c r="Y88">
        <v>1</v>
      </c>
    </row>
    <row r="89" spans="1:25" x14ac:dyDescent="0.35">
      <c r="A89" s="1">
        <f>Data!A89</f>
        <v>19815</v>
      </c>
      <c r="B89" s="2">
        <f>IFERROR((Data!B89/Data!B88-1)*100,"")</f>
        <v>-0.25993316004455647</v>
      </c>
      <c r="C89" s="2">
        <f>IFERROR((Data!C89/Data!C88-1)*100,"")</f>
        <v>-0.59696032458677051</v>
      </c>
      <c r="D89">
        <f t="shared" si="11"/>
        <v>-0.29768616559813221</v>
      </c>
      <c r="E89">
        <f t="shared" si="12"/>
        <v>-9.8880030979190778E-2</v>
      </c>
      <c r="P89" t="str" cm="1">
        <f t="array" ref="P89">_xlfn.IFS(
  AND(D89&gt;0,E89&gt;0),"Expansion",
  AND(D89&lt;0,E89&gt;0),"Slowdown",
  AND(D89&lt;0,E89&lt;0),"Contraction",
  AND(D89&gt;0,E89&lt;0),"Recovery",
  TRUE,"Undefined"
)</f>
        <v>Contraction</v>
      </c>
      <c r="Q89" t="str">
        <f t="shared" si="19"/>
        <v>Slowdown</v>
      </c>
      <c r="R89">
        <f t="shared" si="13"/>
        <v>-1</v>
      </c>
      <c r="S89">
        <f t="shared" si="14"/>
        <v>-1</v>
      </c>
      <c r="T89">
        <f t="shared" si="15"/>
        <v>-1</v>
      </c>
      <c r="U89">
        <f t="shared" si="16"/>
        <v>-1</v>
      </c>
      <c r="V89" t="str" cm="1">
        <f t="array" ref="V89">_xlfn.IFS(
  AND(S89&gt;0,U89&gt;0),"Expansion",
  AND(S89&lt;0,U89&gt;0),"Slowdown",
  AND(S89&lt;0,U89&lt;0),"Contraction",
  AND(S89&gt;0,U89&lt;0),"Recovery",
  TRUE,"Undefined"
)</f>
        <v>Contraction</v>
      </c>
      <c r="W89">
        <f t="shared" si="17"/>
        <v>0</v>
      </c>
      <c r="X89">
        <f t="shared" si="18"/>
        <v>1</v>
      </c>
      <c r="Y89">
        <v>1</v>
      </c>
    </row>
    <row r="90" spans="1:25" x14ac:dyDescent="0.35">
      <c r="A90" s="1">
        <f>Data!A90</f>
        <v>19845</v>
      </c>
      <c r="B90" s="2">
        <f>IFERROR((Data!B90/Data!B89-1)*100,"")</f>
        <v>0.26061057334325621</v>
      </c>
      <c r="C90" s="2">
        <f>IFERROR((Data!C90/Data!C89-1)*100,"")</f>
        <v>0.60054534200972842</v>
      </c>
      <c r="D90">
        <f t="shared" si="11"/>
        <v>-0.1967935189390794</v>
      </c>
      <c r="E90">
        <f t="shared" si="12"/>
        <v>-7.3875714648237903E-2</v>
      </c>
      <c r="P90" t="str" cm="1">
        <f t="array" ref="P90">_xlfn.IFS(
  AND(D90&gt;0,E90&gt;0),"Expansion",
  AND(D90&lt;0,E90&gt;0),"Slowdown",
  AND(D90&lt;0,E90&lt;0),"Contraction",
  AND(D90&gt;0,E90&lt;0),"Recovery",
  TRUE,"Undefined"
)</f>
        <v>Contraction</v>
      </c>
      <c r="Q90" t="str">
        <f t="shared" si="19"/>
        <v>Slowdown</v>
      </c>
      <c r="R90">
        <f t="shared" si="13"/>
        <v>1</v>
      </c>
      <c r="S90">
        <f t="shared" si="14"/>
        <v>1</v>
      </c>
      <c r="T90">
        <f t="shared" si="15"/>
        <v>-1</v>
      </c>
      <c r="U90">
        <f t="shared" si="16"/>
        <v>-1</v>
      </c>
      <c r="V90" t="str" cm="1">
        <f t="array" ref="V90">_xlfn.IFS(
  AND(S90&gt;0,U90&gt;0),"Expansion",
  AND(S90&lt;0,U90&gt;0),"Slowdown",
  AND(S90&lt;0,U90&lt;0),"Contraction",
  AND(S90&gt;0,U90&lt;0),"Recovery",
  TRUE,"Undefined"
)</f>
        <v>Recovery</v>
      </c>
      <c r="W90">
        <f t="shared" si="17"/>
        <v>0</v>
      </c>
      <c r="X90">
        <f t="shared" si="18"/>
        <v>0</v>
      </c>
      <c r="Y90">
        <v>1</v>
      </c>
    </row>
    <row r="91" spans="1:25" x14ac:dyDescent="0.35">
      <c r="A91" s="1">
        <f>Data!A91</f>
        <v>19876</v>
      </c>
      <c r="B91" s="2">
        <f>IFERROR((Data!B91/Data!B90-1)*100,"")</f>
        <v>3.7133308577796953E-2</v>
      </c>
      <c r="C91" s="2">
        <f>IFERROR((Data!C91/Data!C90-1)*100,"")</f>
        <v>0.29875730264836697</v>
      </c>
      <c r="D91">
        <f t="shared" si="11"/>
        <v>0.10078077335710829</v>
      </c>
      <c r="E91">
        <f t="shared" si="12"/>
        <v>1.2603573958832234E-2</v>
      </c>
      <c r="P91" t="str" cm="1">
        <f t="array" ref="P91">_xlfn.IFS(
  AND(D91&gt;0,E91&gt;0),"Expansion",
  AND(D91&lt;0,E91&gt;0),"Slowdown",
  AND(D91&lt;0,E91&lt;0),"Contraction",
  AND(D91&gt;0,E91&lt;0),"Recovery",
  TRUE,"Undefined"
)</f>
        <v>Expansion</v>
      </c>
      <c r="Q91" t="str">
        <f t="shared" si="19"/>
        <v>Slowdown</v>
      </c>
      <c r="R91">
        <f t="shared" si="13"/>
        <v>1</v>
      </c>
      <c r="S91">
        <f t="shared" si="14"/>
        <v>1</v>
      </c>
      <c r="T91">
        <f t="shared" si="15"/>
        <v>1</v>
      </c>
      <c r="U91">
        <f t="shared" si="16"/>
        <v>1</v>
      </c>
      <c r="V91" t="str" cm="1">
        <f t="array" ref="V91">_xlfn.IFS(
  AND(S91&gt;0,U91&gt;0),"Expansion",
  AND(S91&lt;0,U91&gt;0),"Slowdown",
  AND(S91&lt;0,U91&lt;0),"Contraction",
  AND(S91&gt;0,U91&lt;0),"Recovery",
  TRUE,"Undefined"
)</f>
        <v>Expansion</v>
      </c>
      <c r="W91">
        <f t="shared" si="17"/>
        <v>0</v>
      </c>
      <c r="X91">
        <f t="shared" si="18"/>
        <v>0</v>
      </c>
      <c r="Y91">
        <v>0</v>
      </c>
    </row>
    <row r="92" spans="1:25" x14ac:dyDescent="0.35">
      <c r="A92" s="1">
        <f>Data!A92</f>
        <v>19906</v>
      </c>
      <c r="B92" s="2">
        <f>IFERROR((Data!B92/Data!B91-1)*100,"")</f>
        <v>-0.29695619896066283</v>
      </c>
      <c r="C92" s="2">
        <f>IFERROR((Data!C92/Data!C91-1)*100,"")</f>
        <v>0.14865738617209079</v>
      </c>
      <c r="D92">
        <f t="shared" si="11"/>
        <v>0.34932001027672871</v>
      </c>
      <c r="E92">
        <f t="shared" si="12"/>
        <v>2.625609867967782E-4</v>
      </c>
      <c r="P92" t="str" cm="1">
        <f t="array" ref="P92">_xlfn.IFS(
  AND(D92&gt;0,E92&gt;0),"Expansion",
  AND(D92&lt;0,E92&gt;0),"Slowdown",
  AND(D92&lt;0,E92&lt;0),"Contraction",
  AND(D92&gt;0,E92&lt;0),"Recovery",
  TRUE,"Undefined"
)</f>
        <v>Expansion</v>
      </c>
      <c r="Q92" t="str">
        <f t="shared" si="19"/>
        <v>Slowdown</v>
      </c>
      <c r="R92">
        <f t="shared" si="13"/>
        <v>1</v>
      </c>
      <c r="S92">
        <f t="shared" si="14"/>
        <v>1</v>
      </c>
      <c r="T92">
        <f t="shared" si="15"/>
        <v>1</v>
      </c>
      <c r="U92">
        <f t="shared" si="16"/>
        <v>1</v>
      </c>
      <c r="V92" t="str" cm="1">
        <f t="array" ref="V92">_xlfn.IFS(
  AND(S92&gt;0,U92&gt;0),"Expansion",
  AND(S92&lt;0,U92&gt;0),"Slowdown",
  AND(S92&lt;0,U92&lt;0),"Contraction",
  AND(S92&gt;0,U92&lt;0),"Recovery",
  TRUE,"Undefined"
)</f>
        <v>Expansion</v>
      </c>
      <c r="W92">
        <f t="shared" si="17"/>
        <v>0</v>
      </c>
      <c r="X92">
        <f t="shared" si="18"/>
        <v>0</v>
      </c>
      <c r="Y92">
        <v>0</v>
      </c>
    </row>
    <row r="93" spans="1:25" x14ac:dyDescent="0.35">
      <c r="A93" s="1">
        <f>Data!A93</f>
        <v>19937</v>
      </c>
      <c r="B93" s="2">
        <f>IFERROR((Data!B93/Data!B92-1)*100,"")</f>
        <v>-3.7230081906169943E-2</v>
      </c>
      <c r="C93" s="2">
        <f>IFERROR((Data!C93/Data!C92-1)*100,"")</f>
        <v>-0.14843672401804175</v>
      </c>
      <c r="D93">
        <f t="shared" si="11"/>
        <v>9.9659321600805331E-2</v>
      </c>
      <c r="E93">
        <f t="shared" si="12"/>
        <v>-9.9017657429678607E-2</v>
      </c>
      <c r="P93" t="str" cm="1">
        <f t="array" ref="P93">_xlfn.IFS(
  AND(D93&gt;0,E93&gt;0),"Expansion",
  AND(D93&lt;0,E93&gt;0),"Slowdown",
  AND(D93&lt;0,E93&lt;0),"Contraction",
  AND(D93&gt;0,E93&lt;0),"Recovery",
  TRUE,"Undefined"
)</f>
        <v>Recovery</v>
      </c>
      <c r="Q93" t="str">
        <f t="shared" si="19"/>
        <v>Slowdown</v>
      </c>
      <c r="R93">
        <f t="shared" si="13"/>
        <v>1</v>
      </c>
      <c r="S93">
        <f t="shared" si="14"/>
        <v>1</v>
      </c>
      <c r="T93">
        <f t="shared" si="15"/>
        <v>-1</v>
      </c>
      <c r="U93">
        <f t="shared" si="16"/>
        <v>-1</v>
      </c>
      <c r="V93" t="str" cm="1">
        <f t="array" ref="V93">_xlfn.IFS(
  AND(S93&gt;0,U93&gt;0),"Expansion",
  AND(S93&lt;0,U93&gt;0),"Slowdown",
  AND(S93&lt;0,U93&lt;0),"Contraction",
  AND(S93&gt;0,U93&lt;0),"Recovery",
  TRUE,"Undefined"
)</f>
        <v>Recovery</v>
      </c>
      <c r="W93">
        <f t="shared" si="17"/>
        <v>0</v>
      </c>
      <c r="X93">
        <f t="shared" si="18"/>
        <v>0</v>
      </c>
      <c r="Y93">
        <v>0</v>
      </c>
    </row>
    <row r="94" spans="1:25" x14ac:dyDescent="0.35">
      <c r="A94" s="1">
        <f>Data!A94</f>
        <v>19968</v>
      </c>
      <c r="B94" s="2">
        <f>IFERROR((Data!B94/Data!B93-1)*100,"")</f>
        <v>-0.14897579143390294</v>
      </c>
      <c r="C94" s="2">
        <f>IFERROR((Data!C94/Data!C93-1)*100,"")</f>
        <v>0.14865738617209079</v>
      </c>
      <c r="D94">
        <f t="shared" si="11"/>
        <v>4.9626016108713276E-2</v>
      </c>
      <c r="E94">
        <f t="shared" si="12"/>
        <v>-0.16105402410024525</v>
      </c>
      <c r="P94" t="str" cm="1">
        <f t="array" ref="P94">_xlfn.IFS(
  AND(D94&gt;0,E94&gt;0),"Expansion",
  AND(D94&lt;0,E94&gt;0),"Slowdown",
  AND(D94&lt;0,E94&lt;0),"Contraction",
  AND(D94&gt;0,E94&lt;0),"Recovery",
  TRUE,"Undefined"
)</f>
        <v>Recovery</v>
      </c>
      <c r="Q94" t="str">
        <f t="shared" si="19"/>
        <v>Slowdown</v>
      </c>
      <c r="R94">
        <f t="shared" si="13"/>
        <v>1</v>
      </c>
      <c r="S94">
        <f t="shared" si="14"/>
        <v>1</v>
      </c>
      <c r="T94">
        <f t="shared" si="15"/>
        <v>-1</v>
      </c>
      <c r="U94">
        <f t="shared" si="16"/>
        <v>-1</v>
      </c>
      <c r="V94" t="str" cm="1">
        <f t="array" ref="V94">_xlfn.IFS(
  AND(S94&gt;0,U94&gt;0),"Expansion",
  AND(S94&lt;0,U94&gt;0),"Slowdown",
  AND(S94&lt;0,U94&lt;0),"Contraction",
  AND(S94&gt;0,U94&lt;0),"Recovery",
  TRUE,"Undefined"
)</f>
        <v>Recovery</v>
      </c>
      <c r="W94">
        <f t="shared" si="17"/>
        <v>0</v>
      </c>
      <c r="X94">
        <f t="shared" si="18"/>
        <v>0</v>
      </c>
      <c r="Y94">
        <v>0</v>
      </c>
    </row>
    <row r="95" spans="1:25" x14ac:dyDescent="0.35">
      <c r="A95" s="1">
        <f>Data!A95</f>
        <v>19998</v>
      </c>
      <c r="B95" s="2">
        <f>IFERROR((Data!B95/Data!B94-1)*100,"")</f>
        <v>-0.33569563595673424</v>
      </c>
      <c r="C95" s="2">
        <f>IFERROR((Data!C95/Data!C94-1)*100,"")</f>
        <v>1.1891492202933618</v>
      </c>
      <c r="D95">
        <f t="shared" si="11"/>
        <v>0.39645662748247029</v>
      </c>
      <c r="E95">
        <f t="shared" si="12"/>
        <v>-0.17396716976560236</v>
      </c>
      <c r="P95" t="str" cm="1">
        <f t="array" ref="P95">_xlfn.IFS(
  AND(D95&gt;0,E95&gt;0),"Expansion",
  AND(D95&lt;0,E95&gt;0),"Slowdown",
  AND(D95&lt;0,E95&lt;0),"Contraction",
  AND(D95&gt;0,E95&lt;0),"Recovery",
  TRUE,"Undefined"
)</f>
        <v>Recovery</v>
      </c>
      <c r="Q95" t="str">
        <f t="shared" si="19"/>
        <v>Recovery</v>
      </c>
      <c r="R95">
        <f t="shared" si="13"/>
        <v>1</v>
      </c>
      <c r="S95">
        <f t="shared" si="14"/>
        <v>1</v>
      </c>
      <c r="T95">
        <f t="shared" si="15"/>
        <v>-1</v>
      </c>
      <c r="U95">
        <f t="shared" si="16"/>
        <v>-1</v>
      </c>
      <c r="V95" t="str" cm="1">
        <f t="array" ref="V95">_xlfn.IFS(
  AND(S95&gt;0,U95&gt;0),"Expansion",
  AND(S95&lt;0,U95&gt;0),"Slowdown",
  AND(S95&lt;0,U95&lt;0),"Contraction",
  AND(S95&gt;0,U95&lt;0),"Recovery",
  TRUE,"Undefined"
)</f>
        <v>Recovery</v>
      </c>
      <c r="W95">
        <f t="shared" si="17"/>
        <v>0</v>
      </c>
      <c r="X95">
        <f t="shared" si="18"/>
        <v>0</v>
      </c>
      <c r="Y95">
        <v>0</v>
      </c>
    </row>
    <row r="96" spans="1:25" x14ac:dyDescent="0.35">
      <c r="A96" s="1">
        <f>Data!A96</f>
        <v>20029</v>
      </c>
      <c r="B96" s="2">
        <f>IFERROR((Data!B96/Data!B95-1)*100,"")</f>
        <v>0.22455089820359042</v>
      </c>
      <c r="C96" s="2">
        <f>IFERROR((Data!C96/Data!C95-1)*100,"")</f>
        <v>1.6147063154048791</v>
      </c>
      <c r="D96">
        <f t="shared" si="11"/>
        <v>0.98417097395677722</v>
      </c>
      <c r="E96">
        <f t="shared" si="12"/>
        <v>-8.6706843062348923E-2</v>
      </c>
      <c r="P96" t="str" cm="1">
        <f t="array" ref="P96">_xlfn.IFS(
  AND(D96&gt;0,E96&gt;0),"Expansion",
  AND(D96&lt;0,E96&gt;0),"Slowdown",
  AND(D96&lt;0,E96&lt;0),"Contraction",
  AND(D96&gt;0,E96&lt;0),"Recovery",
  TRUE,"Undefined"
)</f>
        <v>Recovery</v>
      </c>
      <c r="Q96" t="str">
        <f t="shared" si="19"/>
        <v>Recovery</v>
      </c>
      <c r="R96">
        <f t="shared" si="13"/>
        <v>1</v>
      </c>
      <c r="S96">
        <f t="shared" si="14"/>
        <v>1</v>
      </c>
      <c r="T96">
        <f t="shared" si="15"/>
        <v>-1</v>
      </c>
      <c r="U96">
        <f t="shared" si="16"/>
        <v>-1</v>
      </c>
      <c r="V96" t="str" cm="1">
        <f t="array" ref="V96">_xlfn.IFS(
  AND(S96&gt;0,U96&gt;0),"Expansion",
  AND(S96&lt;0,U96&gt;0),"Slowdown",
  AND(S96&lt;0,U96&lt;0),"Contraction",
  AND(S96&gt;0,U96&lt;0),"Recovery",
  TRUE,"Undefined"
)</f>
        <v>Recovery</v>
      </c>
      <c r="W96">
        <f t="shared" si="17"/>
        <v>0</v>
      </c>
      <c r="X96">
        <f t="shared" si="18"/>
        <v>0</v>
      </c>
      <c r="Y96">
        <v>0</v>
      </c>
    </row>
    <row r="97" spans="1:25" x14ac:dyDescent="0.35">
      <c r="A97" s="1">
        <f>Data!A97</f>
        <v>20059</v>
      </c>
      <c r="B97" s="2">
        <f>IFERROR((Data!B97/Data!B96-1)*100,"")</f>
        <v>-3.7341299477222645E-2</v>
      </c>
      <c r="C97" s="2">
        <f>IFERROR((Data!C97/Data!C96-1)*100,"")</f>
        <v>1.3008618746578771</v>
      </c>
      <c r="D97">
        <f t="shared" si="11"/>
        <v>1.3682391367853726</v>
      </c>
      <c r="E97">
        <f t="shared" si="12"/>
        <v>-4.9495345743455488E-2</v>
      </c>
      <c r="P97" t="str" cm="1">
        <f t="array" ref="P97">_xlfn.IFS(
  AND(D97&gt;0,E97&gt;0),"Expansion",
  AND(D97&lt;0,E97&gt;0),"Slowdown",
  AND(D97&lt;0,E97&lt;0),"Contraction",
  AND(D97&gt;0,E97&lt;0),"Recovery",
  TRUE,"Undefined"
)</f>
        <v>Recovery</v>
      </c>
      <c r="Q97" t="str">
        <f t="shared" si="19"/>
        <v>Recovery</v>
      </c>
      <c r="R97">
        <f t="shared" si="13"/>
        <v>1</v>
      </c>
      <c r="S97">
        <f t="shared" si="14"/>
        <v>1</v>
      </c>
      <c r="T97">
        <f t="shared" si="15"/>
        <v>-1</v>
      </c>
      <c r="U97">
        <f t="shared" si="16"/>
        <v>-1</v>
      </c>
      <c r="V97" t="str" cm="1">
        <f t="array" ref="V97">_xlfn.IFS(
  AND(S97&gt;0,U97&gt;0),"Expansion",
  AND(S97&lt;0,U97&gt;0),"Slowdown",
  AND(S97&lt;0,U97&lt;0),"Contraction",
  AND(S97&gt;0,U97&lt;0),"Recovery",
  TRUE,"Undefined"
)</f>
        <v>Recovery</v>
      </c>
      <c r="W97">
        <f t="shared" si="17"/>
        <v>0</v>
      </c>
      <c r="X97">
        <f t="shared" si="18"/>
        <v>0</v>
      </c>
      <c r="Y97">
        <v>0</v>
      </c>
    </row>
    <row r="98" spans="1:25" x14ac:dyDescent="0.35">
      <c r="A98" s="1">
        <f>Data!A98</f>
        <v>20090</v>
      </c>
      <c r="B98" s="2">
        <f>IFERROR((Data!B98/Data!B97-1)*100,"")</f>
        <v>0</v>
      </c>
      <c r="C98" s="2">
        <f>IFERROR((Data!C98/Data!C97-1)*100,"")</f>
        <v>2.2822390099702217</v>
      </c>
      <c r="D98">
        <f t="shared" si="11"/>
        <v>1.7326024000109925</v>
      </c>
      <c r="E98">
        <f t="shared" si="12"/>
        <v>6.2403199575455925E-2</v>
      </c>
      <c r="P98" t="str" cm="1">
        <f t="array" ref="P98">_xlfn.IFS(
  AND(D98&gt;0,E98&gt;0),"Expansion",
  AND(D98&lt;0,E98&gt;0),"Slowdown",
  AND(D98&lt;0,E98&lt;0),"Contraction",
  AND(D98&gt;0,E98&lt;0),"Recovery",
  TRUE,"Undefined"
)</f>
        <v>Expansion</v>
      </c>
      <c r="Q98" t="str">
        <f t="shared" si="19"/>
        <v>Recovery</v>
      </c>
      <c r="R98">
        <f t="shared" si="13"/>
        <v>1</v>
      </c>
      <c r="S98">
        <f t="shared" si="14"/>
        <v>1</v>
      </c>
      <c r="T98">
        <f t="shared" si="15"/>
        <v>1</v>
      </c>
      <c r="U98">
        <f t="shared" si="16"/>
        <v>1</v>
      </c>
      <c r="V98" t="str" cm="1">
        <f t="array" ref="V98">_xlfn.IFS(
  AND(S98&gt;0,U98&gt;0),"Expansion",
  AND(S98&lt;0,U98&gt;0),"Slowdown",
  AND(S98&lt;0,U98&lt;0),"Contraction",
  AND(S98&gt;0,U98&lt;0),"Recovery",
  TRUE,"Undefined"
)</f>
        <v>Expansion</v>
      </c>
      <c r="W98">
        <f t="shared" si="17"/>
        <v>0</v>
      </c>
      <c r="X98">
        <f t="shared" si="18"/>
        <v>0</v>
      </c>
      <c r="Y98">
        <v>0</v>
      </c>
    </row>
    <row r="99" spans="1:25" x14ac:dyDescent="0.35">
      <c r="A99" s="1">
        <f>Data!A99</f>
        <v>20121</v>
      </c>
      <c r="B99" s="2">
        <f>IFERROR((Data!B99/Data!B98-1)*100,"")</f>
        <v>0.18677624206200338</v>
      </c>
      <c r="C99" s="2">
        <f>IFERROR((Data!C99/Data!C98-1)*100,"")</f>
        <v>1.2555031853731746</v>
      </c>
      <c r="D99">
        <f t="shared" si="11"/>
        <v>1.6128680233337578</v>
      </c>
      <c r="E99">
        <f t="shared" si="12"/>
        <v>4.9811647528260249E-2</v>
      </c>
      <c r="P99" t="str" cm="1">
        <f t="array" ref="P99">_xlfn.IFS(
  AND(D99&gt;0,E99&gt;0),"Expansion",
  AND(D99&lt;0,E99&gt;0),"Slowdown",
  AND(D99&lt;0,E99&lt;0),"Contraction",
  AND(D99&gt;0,E99&lt;0),"Recovery",
  TRUE,"Undefined"
)</f>
        <v>Expansion</v>
      </c>
      <c r="Q99" t="str">
        <f t="shared" si="19"/>
        <v>Recovery</v>
      </c>
      <c r="R99">
        <f t="shared" si="13"/>
        <v>1</v>
      </c>
      <c r="S99">
        <f t="shared" si="14"/>
        <v>1</v>
      </c>
      <c r="T99">
        <f t="shared" si="15"/>
        <v>1</v>
      </c>
      <c r="U99">
        <f t="shared" si="16"/>
        <v>1</v>
      </c>
      <c r="V99" t="str" cm="1">
        <f t="array" ref="V99">_xlfn.IFS(
  AND(S99&gt;0,U99&gt;0),"Expansion",
  AND(S99&lt;0,U99&gt;0),"Slowdown",
  AND(S99&lt;0,U99&lt;0),"Contraction",
  AND(S99&gt;0,U99&lt;0),"Recovery",
  TRUE,"Undefined"
)</f>
        <v>Expansion</v>
      </c>
      <c r="W99">
        <f t="shared" si="17"/>
        <v>0</v>
      </c>
      <c r="X99">
        <f t="shared" si="18"/>
        <v>0</v>
      </c>
      <c r="Y99">
        <v>0</v>
      </c>
    </row>
    <row r="100" spans="1:25" x14ac:dyDescent="0.35">
      <c r="A100" s="1">
        <f>Data!A100</f>
        <v>20149</v>
      </c>
      <c r="B100" s="2">
        <f>IFERROR((Data!B100/Data!B99-1)*100,"")</f>
        <v>-0.11185682326622093</v>
      </c>
      <c r="C100" s="2">
        <f>IFERROR((Data!C100/Data!C99-1)*100,"")</f>
        <v>2.3412483247567728</v>
      </c>
      <c r="D100">
        <f t="shared" si="11"/>
        <v>1.9596635067000563</v>
      </c>
      <c r="E100">
        <f t="shared" si="12"/>
        <v>2.4973139598594152E-2</v>
      </c>
      <c r="P100" t="str" cm="1">
        <f t="array" ref="P100">_xlfn.IFS(
  AND(D100&gt;0,E100&gt;0),"Expansion",
  AND(D100&lt;0,E100&gt;0),"Slowdown",
  AND(D100&lt;0,E100&lt;0),"Contraction",
  AND(D100&gt;0,E100&lt;0),"Recovery",
  TRUE,"Undefined"
)</f>
        <v>Expansion</v>
      </c>
      <c r="Q100" t="str">
        <f t="shared" si="19"/>
        <v>Expansion</v>
      </c>
      <c r="R100">
        <f t="shared" si="13"/>
        <v>1</v>
      </c>
      <c r="S100">
        <f t="shared" si="14"/>
        <v>1</v>
      </c>
      <c r="T100">
        <f t="shared" si="15"/>
        <v>1</v>
      </c>
      <c r="U100">
        <f t="shared" si="16"/>
        <v>1</v>
      </c>
      <c r="V100" t="str" cm="1">
        <f t="array" ref="V100">_xlfn.IFS(
  AND(S100&gt;0,U100&gt;0),"Expansion",
  AND(S100&lt;0,U100&gt;0),"Slowdown",
  AND(S100&lt;0,U100&lt;0),"Contraction",
  AND(S100&gt;0,U100&lt;0),"Recovery",
  TRUE,"Undefined"
)</f>
        <v>Expansion</v>
      </c>
      <c r="W100">
        <f t="shared" si="17"/>
        <v>0</v>
      </c>
      <c r="X100">
        <f t="shared" si="18"/>
        <v>0</v>
      </c>
      <c r="Y100">
        <v>0</v>
      </c>
    </row>
    <row r="101" spans="1:25" x14ac:dyDescent="0.35">
      <c r="A101" s="1">
        <f>Data!A101</f>
        <v>20180</v>
      </c>
      <c r="B101" s="2">
        <f>IFERROR((Data!B101/Data!B100-1)*100,"")</f>
        <v>0</v>
      </c>
      <c r="C101" s="2">
        <f>IFERROR((Data!C101/Data!C100-1)*100,"")</f>
        <v>1.2115698926880913</v>
      </c>
      <c r="D101">
        <f t="shared" si="11"/>
        <v>1.6027738009393462</v>
      </c>
      <c r="E101">
        <f t="shared" si="12"/>
        <v>2.4973139598594152E-2</v>
      </c>
      <c r="P101" t="str" cm="1">
        <f t="array" ref="P101">_xlfn.IFS(
  AND(D101&gt;0,E101&gt;0),"Expansion",
  AND(D101&lt;0,E101&gt;0),"Slowdown",
  AND(D101&lt;0,E101&lt;0),"Contraction",
  AND(D101&gt;0,E101&lt;0),"Recovery",
  TRUE,"Undefined"
)</f>
        <v>Expansion</v>
      </c>
      <c r="Q101" t="str">
        <f t="shared" si="19"/>
        <v>Expansion</v>
      </c>
      <c r="R101">
        <f t="shared" si="13"/>
        <v>1</v>
      </c>
      <c r="S101">
        <f t="shared" si="14"/>
        <v>1</v>
      </c>
      <c r="T101">
        <f t="shared" si="15"/>
        <v>1</v>
      </c>
      <c r="U101">
        <f t="shared" si="16"/>
        <v>1</v>
      </c>
      <c r="V101" t="str" cm="1">
        <f t="array" ref="V101">_xlfn.IFS(
  AND(S101&gt;0,U101&gt;0),"Expansion",
  AND(S101&lt;0,U101&gt;0),"Slowdown",
  AND(S101&lt;0,U101&lt;0),"Contraction",
  AND(S101&gt;0,U101&lt;0),"Recovery",
  TRUE,"Undefined"
)</f>
        <v>Expansion</v>
      </c>
      <c r="W101">
        <f t="shared" si="17"/>
        <v>0</v>
      </c>
      <c r="X101">
        <f t="shared" si="18"/>
        <v>0</v>
      </c>
      <c r="Y101">
        <v>0</v>
      </c>
    </row>
    <row r="102" spans="1:25" x14ac:dyDescent="0.35">
      <c r="A102" s="1">
        <f>Data!A102</f>
        <v>20210</v>
      </c>
      <c r="B102" s="2">
        <f>IFERROR((Data!B102/Data!B101-1)*100,"")</f>
        <v>-7.4654721911160404E-2</v>
      </c>
      <c r="C102" s="2">
        <f>IFERROR((Data!C102/Data!C101-1)*100,"")</f>
        <v>1.5955949529617985</v>
      </c>
      <c r="D102">
        <f t="shared" si="11"/>
        <v>1.7161377234688875</v>
      </c>
      <c r="E102">
        <f t="shared" si="12"/>
        <v>-6.2170515059127109E-2</v>
      </c>
      <c r="P102" t="str" cm="1">
        <f t="array" ref="P102">_xlfn.IFS(
  AND(D102&gt;0,E102&gt;0),"Expansion",
  AND(D102&lt;0,E102&gt;0),"Slowdown",
  AND(D102&lt;0,E102&lt;0),"Contraction",
  AND(D102&gt;0,E102&lt;0),"Recovery",
  TRUE,"Undefined"
)</f>
        <v>Recovery</v>
      </c>
      <c r="Q102" t="str">
        <f t="shared" si="19"/>
        <v>Expansion</v>
      </c>
      <c r="R102">
        <f t="shared" si="13"/>
        <v>1</v>
      </c>
      <c r="S102">
        <f t="shared" si="14"/>
        <v>1</v>
      </c>
      <c r="T102">
        <f t="shared" si="15"/>
        <v>-1</v>
      </c>
      <c r="U102">
        <f t="shared" si="16"/>
        <v>-1</v>
      </c>
      <c r="V102" t="str" cm="1">
        <f t="array" ref="V102">_xlfn.IFS(
  AND(S102&gt;0,U102&gt;0),"Expansion",
  AND(S102&lt;0,U102&gt;0),"Slowdown",
  AND(S102&lt;0,U102&lt;0),"Contraction",
  AND(S102&gt;0,U102&lt;0),"Recovery",
  TRUE,"Undefined"
)</f>
        <v>Recovery</v>
      </c>
      <c r="W102">
        <f t="shared" si="17"/>
        <v>0</v>
      </c>
      <c r="X102">
        <f t="shared" si="18"/>
        <v>0</v>
      </c>
      <c r="Y102">
        <v>0</v>
      </c>
    </row>
    <row r="103" spans="1:25" x14ac:dyDescent="0.35">
      <c r="A103" s="1">
        <f>Data!A103</f>
        <v>20241</v>
      </c>
      <c r="B103" s="2">
        <f>IFERROR((Data!B103/Data!B102-1)*100,"")</f>
        <v>-0.22413149047441072</v>
      </c>
      <c r="C103" s="2">
        <f>IFERROR((Data!C103/Data!C102-1)*100,"")</f>
        <v>0.13124252646723455</v>
      </c>
      <c r="D103">
        <f t="shared" si="11"/>
        <v>0.97946912403904152</v>
      </c>
      <c r="E103">
        <f t="shared" si="12"/>
        <v>-9.9595404128523704E-2</v>
      </c>
      <c r="P103" t="str" cm="1">
        <f t="array" ref="P103">_xlfn.IFS(
  AND(D103&gt;0,E103&gt;0),"Expansion",
  AND(D103&lt;0,E103&gt;0),"Slowdown",
  AND(D103&lt;0,E103&lt;0),"Contraction",
  AND(D103&gt;0,E103&lt;0),"Recovery",
  TRUE,"Undefined"
)</f>
        <v>Recovery</v>
      </c>
      <c r="Q103" t="str">
        <f t="shared" si="19"/>
        <v>Expansion</v>
      </c>
      <c r="R103">
        <f t="shared" si="13"/>
        <v>1</v>
      </c>
      <c r="S103">
        <f t="shared" si="14"/>
        <v>1</v>
      </c>
      <c r="T103">
        <f t="shared" si="15"/>
        <v>-1</v>
      </c>
      <c r="U103">
        <f t="shared" si="16"/>
        <v>-1</v>
      </c>
      <c r="V103" t="str" cm="1">
        <f t="array" ref="V103">_xlfn.IFS(
  AND(S103&gt;0,U103&gt;0),"Expansion",
  AND(S103&lt;0,U103&gt;0),"Slowdown",
  AND(S103&lt;0,U103&lt;0),"Contraction",
  AND(S103&gt;0,U103&lt;0),"Recovery",
  TRUE,"Undefined"
)</f>
        <v>Recovery</v>
      </c>
      <c r="W103">
        <f t="shared" si="17"/>
        <v>0</v>
      </c>
      <c r="X103">
        <f t="shared" si="18"/>
        <v>0</v>
      </c>
      <c r="Y103">
        <v>0</v>
      </c>
    </row>
    <row r="104" spans="1:25" x14ac:dyDescent="0.35">
      <c r="A104" s="1">
        <f>Data!A104</f>
        <v>20271</v>
      </c>
      <c r="B104" s="2">
        <f>IFERROR((Data!B104/Data!B103-1)*100,"")</f>
        <v>0.18719580681392234</v>
      </c>
      <c r="C104" s="2">
        <f>IFERROR((Data!C104/Data!C103-1)*100,"")</f>
        <v>0.7839958057437979</v>
      </c>
      <c r="D104">
        <f t="shared" si="11"/>
        <v>0.83694442839094363</v>
      </c>
      <c r="E104">
        <f t="shared" si="12"/>
        <v>-3.7196801857216265E-2</v>
      </c>
      <c r="P104" t="str" cm="1">
        <f t="array" ref="P104">_xlfn.IFS(
  AND(D104&gt;0,E104&gt;0),"Expansion",
  AND(D104&lt;0,E104&gt;0),"Slowdown",
  AND(D104&lt;0,E104&lt;0),"Contraction",
  AND(D104&gt;0,E104&lt;0),"Recovery",
  TRUE,"Undefined"
)</f>
        <v>Recovery</v>
      </c>
      <c r="Q104" t="str">
        <f t="shared" si="19"/>
        <v>Recovery</v>
      </c>
      <c r="R104">
        <f t="shared" si="13"/>
        <v>1</v>
      </c>
      <c r="S104">
        <f t="shared" si="14"/>
        <v>1</v>
      </c>
      <c r="T104">
        <f t="shared" si="15"/>
        <v>-1</v>
      </c>
      <c r="U104">
        <f t="shared" si="16"/>
        <v>-1</v>
      </c>
      <c r="V104" t="str" cm="1">
        <f t="array" ref="V104">_xlfn.IFS(
  AND(S104&gt;0,U104&gt;0),"Expansion",
  AND(S104&lt;0,U104&gt;0),"Slowdown",
  AND(S104&lt;0,U104&lt;0),"Contraction",
  AND(S104&gt;0,U104&lt;0),"Recovery",
  TRUE,"Undefined"
)</f>
        <v>Recovery</v>
      </c>
      <c r="W104">
        <f t="shared" si="17"/>
        <v>0</v>
      </c>
      <c r="X104">
        <f t="shared" si="18"/>
        <v>0</v>
      </c>
      <c r="Y104">
        <v>0</v>
      </c>
    </row>
    <row r="105" spans="1:25" x14ac:dyDescent="0.35">
      <c r="A105" s="1">
        <f>Data!A105</f>
        <v>20302</v>
      </c>
      <c r="B105" s="2">
        <f>IFERROR((Data!B105/Data!B104-1)*100,"")</f>
        <v>-0.1494768310911887</v>
      </c>
      <c r="C105" s="2">
        <f>IFERROR((Data!C105/Data!C104-1)*100,"")</f>
        <v>-0.12956924247751189</v>
      </c>
      <c r="D105">
        <f t="shared" si="11"/>
        <v>0.26188969657784017</v>
      </c>
      <c r="E105">
        <f t="shared" si="12"/>
        <v>-6.2137504917225694E-2</v>
      </c>
      <c r="P105" t="str" cm="1">
        <f t="array" ref="P105">_xlfn.IFS(
  AND(D105&gt;0,E105&gt;0),"Expansion",
  AND(D105&lt;0,E105&gt;0),"Slowdown",
  AND(D105&lt;0,E105&lt;0),"Contraction",
  AND(D105&gt;0,E105&lt;0),"Recovery",
  TRUE,"Undefined"
)</f>
        <v>Recovery</v>
      </c>
      <c r="Q105" t="str">
        <f t="shared" si="19"/>
        <v>Recovery</v>
      </c>
      <c r="R105">
        <f t="shared" si="13"/>
        <v>1</v>
      </c>
      <c r="S105">
        <f t="shared" si="14"/>
        <v>1</v>
      </c>
      <c r="T105">
        <f t="shared" si="15"/>
        <v>-1</v>
      </c>
      <c r="U105">
        <f t="shared" si="16"/>
        <v>-1</v>
      </c>
      <c r="V105" t="str" cm="1">
        <f t="array" ref="V105">_xlfn.IFS(
  AND(S105&gt;0,U105&gt;0),"Expansion",
  AND(S105&lt;0,U105&gt;0),"Slowdown",
  AND(S105&lt;0,U105&lt;0),"Contraction",
  AND(S105&gt;0,U105&lt;0),"Recovery",
  TRUE,"Undefined"
)</f>
        <v>Recovery</v>
      </c>
      <c r="W105">
        <f t="shared" si="17"/>
        <v>0</v>
      </c>
      <c r="X105">
        <f t="shared" si="18"/>
        <v>0</v>
      </c>
      <c r="Y105">
        <v>0</v>
      </c>
    </row>
    <row r="106" spans="1:25" x14ac:dyDescent="0.35">
      <c r="A106" s="1">
        <f>Data!A106</f>
        <v>20333</v>
      </c>
      <c r="B106" s="2">
        <f>IFERROR((Data!B106/Data!B105-1)*100,"")</f>
        <v>0.48652694610780145</v>
      </c>
      <c r="C106" s="2">
        <f>IFERROR((Data!C106/Data!C105-1)*100,"")</f>
        <v>0.64916900579718995</v>
      </c>
      <c r="D106">
        <f t="shared" si="11"/>
        <v>0.43453185635449199</v>
      </c>
      <c r="E106">
        <f t="shared" si="12"/>
        <v>0.17474864061017836</v>
      </c>
      <c r="P106" t="str" cm="1">
        <f t="array" ref="P106">_xlfn.IFS(
  AND(D106&gt;0,E106&gt;0),"Expansion",
  AND(D106&lt;0,E106&gt;0),"Slowdown",
  AND(D106&lt;0,E106&lt;0),"Contraction",
  AND(D106&gt;0,E106&lt;0),"Recovery",
  TRUE,"Undefined"
)</f>
        <v>Expansion</v>
      </c>
      <c r="Q106" t="str">
        <f t="shared" si="19"/>
        <v>Recovery</v>
      </c>
      <c r="R106">
        <f t="shared" si="13"/>
        <v>1</v>
      </c>
      <c r="S106">
        <f t="shared" si="14"/>
        <v>1</v>
      </c>
      <c r="T106">
        <f t="shared" si="15"/>
        <v>1</v>
      </c>
      <c r="U106">
        <f t="shared" si="16"/>
        <v>1</v>
      </c>
      <c r="V106" t="str" cm="1">
        <f t="array" ref="V106">_xlfn.IFS(
  AND(S106&gt;0,U106&gt;0),"Expansion",
  AND(S106&lt;0,U106&gt;0),"Slowdown",
  AND(S106&lt;0,U106&lt;0),"Contraction",
  AND(S106&gt;0,U106&lt;0),"Recovery",
  TRUE,"Undefined"
)</f>
        <v>Expansion</v>
      </c>
      <c r="W106">
        <f t="shared" si="17"/>
        <v>0</v>
      </c>
      <c r="X106">
        <f t="shared" si="18"/>
        <v>0</v>
      </c>
      <c r="Y106">
        <v>0</v>
      </c>
    </row>
    <row r="107" spans="1:25" x14ac:dyDescent="0.35">
      <c r="A107" s="1">
        <f>Data!A107</f>
        <v>20363</v>
      </c>
      <c r="B107" s="2">
        <f>IFERROR((Data!B107/Data!B106-1)*100,"")</f>
        <v>-0.11173184357542443</v>
      </c>
      <c r="C107" s="2">
        <f>IFERROR((Data!C107/Data!C106-1)*100,"")</f>
        <v>1.6776240128804742</v>
      </c>
      <c r="D107">
        <f t="shared" si="11"/>
        <v>0.73240792540005073</v>
      </c>
      <c r="E107">
        <f t="shared" si="12"/>
        <v>7.5106090480396112E-2</v>
      </c>
      <c r="P107" t="str" cm="1">
        <f t="array" ref="P107">_xlfn.IFS(
  AND(D107&gt;0,E107&gt;0),"Expansion",
  AND(D107&lt;0,E107&gt;0),"Slowdown",
  AND(D107&lt;0,E107&lt;0),"Contraction",
  AND(D107&gt;0,E107&lt;0),"Recovery",
  TRUE,"Undefined"
)</f>
        <v>Expansion</v>
      </c>
      <c r="Q107" t="str">
        <f t="shared" si="19"/>
        <v>Recovery</v>
      </c>
      <c r="R107">
        <f t="shared" si="13"/>
        <v>1</v>
      </c>
      <c r="S107">
        <f t="shared" si="14"/>
        <v>1</v>
      </c>
      <c r="T107">
        <f t="shared" si="15"/>
        <v>1</v>
      </c>
      <c r="U107">
        <f t="shared" si="16"/>
        <v>1</v>
      </c>
      <c r="V107" t="str" cm="1">
        <f t="array" ref="V107">_xlfn.IFS(
  AND(S107&gt;0,U107&gt;0),"Expansion",
  AND(S107&lt;0,U107&gt;0),"Slowdown",
  AND(S107&lt;0,U107&lt;0),"Contraction",
  AND(S107&gt;0,U107&lt;0),"Recovery",
  TRUE,"Undefined"
)</f>
        <v>Expansion</v>
      </c>
      <c r="W107">
        <f t="shared" si="17"/>
        <v>0</v>
      </c>
      <c r="X107">
        <f t="shared" si="18"/>
        <v>0</v>
      </c>
      <c r="Y107">
        <v>0</v>
      </c>
    </row>
    <row r="108" spans="1:25" x14ac:dyDescent="0.35">
      <c r="A108" s="1">
        <f>Data!A108</f>
        <v>20394</v>
      </c>
      <c r="B108" s="2">
        <f>IFERROR((Data!B108/Data!B107-1)*100,"")</f>
        <v>0.22371364653244186</v>
      </c>
      <c r="C108" s="2">
        <f>IFERROR((Data!C108/Data!C107-1)*100,"")</f>
        <v>0.25354754487743048</v>
      </c>
      <c r="D108">
        <f t="shared" si="11"/>
        <v>0.86011352118503159</v>
      </c>
      <c r="E108">
        <f t="shared" si="12"/>
        <v>0.19950291635493964</v>
      </c>
      <c r="P108" t="str" cm="1">
        <f t="array" ref="P108">_xlfn.IFS(
  AND(D108&gt;0,E108&gt;0),"Expansion",
  AND(D108&lt;0,E108&gt;0),"Slowdown",
  AND(D108&lt;0,E108&lt;0),"Contraction",
  AND(D108&gt;0,E108&lt;0),"Recovery",
  TRUE,"Undefined"
)</f>
        <v>Expansion</v>
      </c>
      <c r="Q108" t="str">
        <f t="shared" si="19"/>
        <v>Expansion</v>
      </c>
      <c r="R108">
        <f t="shared" si="13"/>
        <v>1</v>
      </c>
      <c r="S108">
        <f t="shared" si="14"/>
        <v>1</v>
      </c>
      <c r="T108">
        <f t="shared" si="15"/>
        <v>1</v>
      </c>
      <c r="U108">
        <f t="shared" si="16"/>
        <v>1</v>
      </c>
      <c r="V108" t="str" cm="1">
        <f t="array" ref="V108">_xlfn.IFS(
  AND(S108&gt;0,U108&gt;0),"Expansion",
  AND(S108&lt;0,U108&gt;0),"Slowdown",
  AND(S108&lt;0,U108&lt;0),"Contraction",
  AND(S108&gt;0,U108&lt;0),"Recovery",
  TRUE,"Undefined"
)</f>
        <v>Expansion</v>
      </c>
      <c r="W108">
        <f t="shared" si="17"/>
        <v>0</v>
      </c>
      <c r="X108">
        <f t="shared" si="18"/>
        <v>0</v>
      </c>
      <c r="Y108">
        <v>0</v>
      </c>
    </row>
    <row r="109" spans="1:25" x14ac:dyDescent="0.35">
      <c r="A109" s="1">
        <f>Data!A109</f>
        <v>20424</v>
      </c>
      <c r="B109" s="2">
        <f>IFERROR((Data!B109/Data!B108-1)*100,"")</f>
        <v>-3.7202380952372494E-2</v>
      </c>
      <c r="C109" s="2">
        <f>IFERROR((Data!C109/Data!C108-1)*100,"")</f>
        <v>0.37982954679001146</v>
      </c>
      <c r="D109">
        <f t="shared" si="11"/>
        <v>0.77033370151597202</v>
      </c>
      <c r="E109">
        <f t="shared" si="12"/>
        <v>2.4926474001548311E-2</v>
      </c>
      <c r="P109" t="str" cm="1">
        <f t="array" ref="P109">_xlfn.IFS(
  AND(D109&gt;0,E109&gt;0),"Expansion",
  AND(D109&lt;0,E109&gt;0),"Slowdown",
  AND(D109&lt;0,E109&lt;0),"Contraction",
  AND(D109&gt;0,E109&lt;0),"Recovery",
  TRUE,"Undefined"
)</f>
        <v>Expansion</v>
      </c>
      <c r="Q109" t="str">
        <f t="shared" si="19"/>
        <v>Expansion</v>
      </c>
      <c r="R109">
        <f t="shared" si="13"/>
        <v>1</v>
      </c>
      <c r="S109">
        <f t="shared" si="14"/>
        <v>1</v>
      </c>
      <c r="T109">
        <f t="shared" si="15"/>
        <v>1</v>
      </c>
      <c r="U109">
        <f t="shared" si="16"/>
        <v>1</v>
      </c>
      <c r="V109" t="str" cm="1">
        <f t="array" ref="V109">_xlfn.IFS(
  AND(S109&gt;0,U109&gt;0),"Expansion",
  AND(S109&lt;0,U109&gt;0),"Slowdown",
  AND(S109&lt;0,U109&lt;0),"Contraction",
  AND(S109&gt;0,U109&lt;0),"Recovery",
  TRUE,"Undefined"
)</f>
        <v>Expansion</v>
      </c>
      <c r="W109">
        <f t="shared" si="17"/>
        <v>0</v>
      </c>
      <c r="X109">
        <f t="shared" si="18"/>
        <v>0</v>
      </c>
      <c r="Y109">
        <v>0</v>
      </c>
    </row>
    <row r="110" spans="1:25" x14ac:dyDescent="0.35">
      <c r="A110" s="1">
        <f>Data!A110</f>
        <v>20455</v>
      </c>
      <c r="B110" s="2">
        <f>IFERROR((Data!B110/Data!B109-1)*100,"")</f>
        <v>-0.14886490509863348</v>
      </c>
      <c r="C110" s="2">
        <f>IFERROR((Data!C110/Data!C109-1)*100,"")</f>
        <v>0.63080993748096947</v>
      </c>
      <c r="D110">
        <f t="shared" si="11"/>
        <v>0.42139567638280379</v>
      </c>
      <c r="E110">
        <f t="shared" si="12"/>
        <v>1.2548786827145294E-2</v>
      </c>
      <c r="P110" t="str" cm="1">
        <f t="array" ref="P110">_xlfn.IFS(
  AND(D110&gt;0,E110&gt;0),"Expansion",
  AND(D110&lt;0,E110&gt;0),"Slowdown",
  AND(D110&lt;0,E110&lt;0),"Contraction",
  AND(D110&gt;0,E110&lt;0),"Recovery",
  TRUE,"Undefined"
)</f>
        <v>Expansion</v>
      </c>
      <c r="Q110" t="str">
        <f t="shared" si="19"/>
        <v>Expansion</v>
      </c>
      <c r="R110">
        <f t="shared" si="13"/>
        <v>1</v>
      </c>
      <c r="S110">
        <f t="shared" si="14"/>
        <v>1</v>
      </c>
      <c r="T110">
        <f t="shared" si="15"/>
        <v>1</v>
      </c>
      <c r="U110">
        <f t="shared" si="16"/>
        <v>1</v>
      </c>
      <c r="V110" t="str" cm="1">
        <f t="array" ref="V110">_xlfn.IFS(
  AND(S110&gt;0,U110&gt;0),"Expansion",
  AND(S110&lt;0,U110&gt;0),"Slowdown",
  AND(S110&lt;0,U110&lt;0),"Contraction",
  AND(S110&gt;0,U110&lt;0),"Recovery",
  TRUE,"Undefined"
)</f>
        <v>Expansion</v>
      </c>
      <c r="W110">
        <f t="shared" si="17"/>
        <v>0</v>
      </c>
      <c r="X110">
        <f t="shared" si="18"/>
        <v>0</v>
      </c>
      <c r="Y110">
        <v>0</v>
      </c>
    </row>
    <row r="111" spans="1:25" x14ac:dyDescent="0.35">
      <c r="A111" s="1">
        <f>Data!A111</f>
        <v>20486</v>
      </c>
      <c r="B111" s="2">
        <f>IFERROR((Data!B111/Data!B110-1)*100,"")</f>
        <v>0.11181513231457441</v>
      </c>
      <c r="C111" s="2">
        <f>IFERROR((Data!C111/Data!C110-1)*100,"")</f>
        <v>-0.87722564011875059</v>
      </c>
      <c r="D111">
        <f t="shared" si="11"/>
        <v>4.4471281384076779E-2</v>
      </c>
      <c r="E111">
        <f t="shared" si="12"/>
        <v>-2.4750717912143855E-2</v>
      </c>
      <c r="P111" t="str" cm="1">
        <f t="array" ref="P111">_xlfn.IFS(
  AND(D111&gt;0,E111&gt;0),"Expansion",
  AND(D111&lt;0,E111&gt;0),"Slowdown",
  AND(D111&lt;0,E111&lt;0),"Contraction",
  AND(D111&gt;0,E111&lt;0),"Recovery",
  TRUE,"Undefined"
)</f>
        <v>Recovery</v>
      </c>
      <c r="Q111" t="str">
        <f t="shared" si="19"/>
        <v>Expansion</v>
      </c>
      <c r="R111">
        <f t="shared" si="13"/>
        <v>1</v>
      </c>
      <c r="S111">
        <f t="shared" si="14"/>
        <v>1</v>
      </c>
      <c r="T111">
        <f t="shared" si="15"/>
        <v>-1</v>
      </c>
      <c r="U111">
        <f t="shared" si="16"/>
        <v>-1</v>
      </c>
      <c r="V111" t="str" cm="1">
        <f t="array" ref="V111">_xlfn.IFS(
  AND(S111&gt;0,U111&gt;0),"Expansion",
  AND(S111&lt;0,U111&gt;0),"Slowdown",
  AND(S111&lt;0,U111&lt;0),"Contraction",
  AND(S111&gt;0,U111&lt;0),"Recovery",
  TRUE,"Undefined"
)</f>
        <v>Recovery</v>
      </c>
      <c r="W111">
        <f t="shared" si="17"/>
        <v>0</v>
      </c>
      <c r="X111">
        <f t="shared" si="18"/>
        <v>0</v>
      </c>
      <c r="Y111">
        <v>0</v>
      </c>
    </row>
    <row r="112" spans="1:25" x14ac:dyDescent="0.35">
      <c r="A112" s="1">
        <f>Data!A112</f>
        <v>20515</v>
      </c>
      <c r="B112" s="2">
        <f>IFERROR((Data!B112/Data!B111-1)*100,"")</f>
        <v>0.11169024571855424</v>
      </c>
      <c r="C112" s="2">
        <f>IFERROR((Data!C112/Data!C111-1)*100,"")</f>
        <v>0</v>
      </c>
      <c r="D112">
        <f t="shared" si="11"/>
        <v>-8.2138567545927035E-2</v>
      </c>
      <c r="E112">
        <f t="shared" si="12"/>
        <v>2.4880157644831719E-2</v>
      </c>
      <c r="P112" t="str" cm="1">
        <f t="array" ref="P112">_xlfn.IFS(
  AND(D112&gt;0,E112&gt;0),"Expansion",
  AND(D112&lt;0,E112&gt;0),"Slowdown",
  AND(D112&lt;0,E112&lt;0),"Contraction",
  AND(D112&gt;0,E112&lt;0),"Recovery",
  TRUE,"Undefined"
)</f>
        <v>Slowdown</v>
      </c>
      <c r="Q112" t="str">
        <f t="shared" si="19"/>
        <v>Expansion</v>
      </c>
      <c r="R112">
        <f t="shared" si="13"/>
        <v>1</v>
      </c>
      <c r="S112">
        <f t="shared" si="14"/>
        <v>1</v>
      </c>
      <c r="T112">
        <f t="shared" si="15"/>
        <v>1</v>
      </c>
      <c r="U112">
        <f t="shared" si="16"/>
        <v>1</v>
      </c>
      <c r="V112" t="str" cm="1">
        <f t="array" ref="V112">_xlfn.IFS(
  AND(S112&gt;0,U112&gt;0),"Expansion",
  AND(S112&lt;0,U112&gt;0),"Slowdown",
  AND(S112&lt;0,U112&lt;0),"Contraction",
  AND(S112&gt;0,U112&lt;0),"Recovery",
  TRUE,"Undefined"
)</f>
        <v>Expansion</v>
      </c>
      <c r="W112">
        <f t="shared" si="17"/>
        <v>0</v>
      </c>
      <c r="X112">
        <f t="shared" si="18"/>
        <v>0</v>
      </c>
      <c r="Y112">
        <v>0</v>
      </c>
    </row>
    <row r="113" spans="1:25" x14ac:dyDescent="0.35">
      <c r="A113" s="1">
        <f>Data!A113</f>
        <v>20546</v>
      </c>
      <c r="B113" s="2">
        <f>IFERROR((Data!B113/Data!B112-1)*100,"")</f>
        <v>0.14875418371140814</v>
      </c>
      <c r="C113" s="2">
        <f>IFERROR((Data!C113/Data!C112-1)*100,"")</f>
        <v>0.75822664168978537</v>
      </c>
      <c r="D113">
        <f t="shared" si="11"/>
        <v>-3.9666332809655071E-2</v>
      </c>
      <c r="E113">
        <f t="shared" si="12"/>
        <v>0.12408652058151226</v>
      </c>
      <c r="P113" t="str" cm="1">
        <f t="array" ref="P113">_xlfn.IFS(
  AND(D113&gt;0,E113&gt;0),"Expansion",
  AND(D113&lt;0,E113&gt;0),"Slowdown",
  AND(D113&lt;0,E113&lt;0),"Contraction",
  AND(D113&gt;0,E113&lt;0),"Recovery",
  TRUE,"Undefined"
)</f>
        <v>Slowdown</v>
      </c>
      <c r="Q113" t="str">
        <f t="shared" si="19"/>
        <v>Expansion</v>
      </c>
      <c r="R113">
        <f t="shared" si="13"/>
        <v>1</v>
      </c>
      <c r="S113">
        <f t="shared" si="14"/>
        <v>1</v>
      </c>
      <c r="T113">
        <f t="shared" si="15"/>
        <v>1</v>
      </c>
      <c r="U113">
        <f t="shared" si="16"/>
        <v>1</v>
      </c>
      <c r="V113" t="str" cm="1">
        <f t="array" ref="V113">_xlfn.IFS(
  AND(S113&gt;0,U113&gt;0),"Expansion",
  AND(S113&lt;0,U113&gt;0),"Slowdown",
  AND(S113&lt;0,U113&lt;0),"Contraction",
  AND(S113&gt;0,U113&lt;0),"Recovery",
  TRUE,"Undefined"
)</f>
        <v>Expansion</v>
      </c>
      <c r="W113">
        <f t="shared" si="17"/>
        <v>0</v>
      </c>
      <c r="X113">
        <f t="shared" si="18"/>
        <v>0</v>
      </c>
      <c r="Y113">
        <v>0</v>
      </c>
    </row>
    <row r="114" spans="1:25" x14ac:dyDescent="0.35">
      <c r="A114" s="1">
        <f>Data!A114</f>
        <v>20576</v>
      </c>
      <c r="B114" s="2">
        <f>IFERROR((Data!B114/Data!B113-1)*100,"")</f>
        <v>0.37133308577794732</v>
      </c>
      <c r="C114" s="2">
        <f>IFERROR((Data!C114/Data!C113-1)*100,"")</f>
        <v>-0.87786330680484914</v>
      </c>
      <c r="D114">
        <f t="shared" si="11"/>
        <v>-3.9878888371687925E-2</v>
      </c>
      <c r="E114">
        <f t="shared" si="12"/>
        <v>0.21059250506930324</v>
      </c>
      <c r="P114" t="str" cm="1">
        <f t="array" ref="P114">_xlfn.IFS(
  AND(D114&gt;0,E114&gt;0),"Expansion",
  AND(D114&lt;0,E114&gt;0),"Slowdown",
  AND(D114&lt;0,E114&lt;0),"Contraction",
  AND(D114&gt;0,E114&lt;0),"Recovery",
  TRUE,"Undefined"
)</f>
        <v>Slowdown</v>
      </c>
      <c r="Q114" t="str">
        <f t="shared" si="19"/>
        <v>Slowdown</v>
      </c>
      <c r="R114">
        <f t="shared" si="13"/>
        <v>1</v>
      </c>
      <c r="S114">
        <f t="shared" si="14"/>
        <v>1</v>
      </c>
      <c r="T114">
        <f t="shared" si="15"/>
        <v>1</v>
      </c>
      <c r="U114">
        <f t="shared" si="16"/>
        <v>1</v>
      </c>
      <c r="V114" t="str" cm="1">
        <f t="array" ref="V114">_xlfn.IFS(
  AND(S114&gt;0,U114&gt;0),"Expansion",
  AND(S114&lt;0,U114&gt;0),"Slowdown",
  AND(S114&lt;0,U114&lt;0),"Contraction",
  AND(S114&gt;0,U114&lt;0),"Recovery",
  TRUE,"Undefined"
)</f>
        <v>Expansion</v>
      </c>
      <c r="W114">
        <f t="shared" si="17"/>
        <v>0</v>
      </c>
      <c r="X114">
        <f t="shared" si="18"/>
        <v>0</v>
      </c>
      <c r="Y114">
        <v>0</v>
      </c>
    </row>
    <row r="115" spans="1:25" x14ac:dyDescent="0.35">
      <c r="A115" s="1">
        <f>Data!A115</f>
        <v>20607</v>
      </c>
      <c r="B115" s="2">
        <f>IFERROR((Data!B115/Data!B114-1)*100,"")</f>
        <v>0.44395116537179202</v>
      </c>
      <c r="C115" s="2">
        <f>IFERROR((Data!C115/Data!C114-1)*100,"")</f>
        <v>-0.88610808168178012</v>
      </c>
      <c r="D115">
        <f t="shared" si="11"/>
        <v>-0.33524824893228128</v>
      </c>
      <c r="E115">
        <f t="shared" si="12"/>
        <v>0.32134614495371583</v>
      </c>
      <c r="P115" t="str" cm="1">
        <f t="array" ref="P115">_xlfn.IFS(
  AND(D115&gt;0,E115&gt;0),"Expansion",
  AND(D115&lt;0,E115&gt;0),"Slowdown",
  AND(D115&lt;0,E115&lt;0),"Contraction",
  AND(D115&gt;0,E115&lt;0),"Recovery",
  TRUE,"Undefined"
)</f>
        <v>Slowdown</v>
      </c>
      <c r="Q115" t="str">
        <f t="shared" si="19"/>
        <v>Slowdown</v>
      </c>
      <c r="R115">
        <f t="shared" si="13"/>
        <v>-1</v>
      </c>
      <c r="S115">
        <f t="shared" si="14"/>
        <v>-1</v>
      </c>
      <c r="T115">
        <f t="shared" si="15"/>
        <v>1</v>
      </c>
      <c r="U115">
        <f t="shared" si="16"/>
        <v>1</v>
      </c>
      <c r="V115" t="str" cm="1">
        <f t="array" ref="V115">_xlfn.IFS(
  AND(S115&gt;0,U115&gt;0),"Expansion",
  AND(S115&lt;0,U115&gt;0),"Slowdown",
  AND(S115&lt;0,U115&lt;0),"Contraction",
  AND(S115&gt;0,U115&lt;0),"Recovery",
  TRUE,"Undefined"
)</f>
        <v>Slowdown</v>
      </c>
      <c r="W115">
        <f t="shared" si="17"/>
        <v>0</v>
      </c>
      <c r="X115">
        <f t="shared" si="18"/>
        <v>0</v>
      </c>
      <c r="Y115">
        <v>0</v>
      </c>
    </row>
    <row r="116" spans="1:25" x14ac:dyDescent="0.35">
      <c r="A116" s="1">
        <f>Data!A116</f>
        <v>20637</v>
      </c>
      <c r="B116" s="2">
        <f>IFERROR((Data!B116/Data!B115-1)*100,"")</f>
        <v>0.51565377532227785</v>
      </c>
      <c r="C116" s="2">
        <f>IFERROR((Data!C116/Data!C115-1)*100,"")</f>
        <v>-3.0653140014133773</v>
      </c>
      <c r="D116">
        <f t="shared" si="11"/>
        <v>-1.6097617966333353</v>
      </c>
      <c r="E116">
        <f t="shared" si="12"/>
        <v>0.44364600882400573</v>
      </c>
      <c r="P116" t="str" cm="1">
        <f t="array" ref="P116">_xlfn.IFS(
  AND(D116&gt;0,E116&gt;0),"Expansion",
  AND(D116&lt;0,E116&gt;0),"Slowdown",
  AND(D116&lt;0,E116&lt;0),"Contraction",
  AND(D116&gt;0,E116&lt;0),"Recovery",
  TRUE,"Undefined"
)</f>
        <v>Slowdown</v>
      </c>
      <c r="Q116" t="str">
        <f t="shared" si="19"/>
        <v>Slowdown</v>
      </c>
      <c r="R116">
        <f t="shared" si="13"/>
        <v>-1</v>
      </c>
      <c r="S116">
        <f t="shared" si="14"/>
        <v>-1</v>
      </c>
      <c r="T116">
        <f t="shared" si="15"/>
        <v>1</v>
      </c>
      <c r="U116">
        <f t="shared" si="16"/>
        <v>1</v>
      </c>
      <c r="V116" t="str" cm="1">
        <f t="array" ref="V116">_xlfn.IFS(
  AND(S116&gt;0,U116&gt;0),"Expansion",
  AND(S116&lt;0,U116&gt;0),"Slowdown",
  AND(S116&lt;0,U116&lt;0),"Contraction",
  AND(S116&gt;0,U116&lt;0),"Recovery",
  TRUE,"Undefined"
)</f>
        <v>Slowdown</v>
      </c>
      <c r="W116">
        <f t="shared" si="17"/>
        <v>0</v>
      </c>
      <c r="X116">
        <f t="shared" si="18"/>
        <v>0</v>
      </c>
      <c r="Y116">
        <v>0</v>
      </c>
    </row>
    <row r="117" spans="1:25" x14ac:dyDescent="0.35">
      <c r="A117" s="1">
        <f>Data!A117</f>
        <v>20668</v>
      </c>
      <c r="B117" s="2">
        <f>IFERROR((Data!B117/Data!B116-1)*100,"")</f>
        <v>7.3286918285075942E-2</v>
      </c>
      <c r="C117" s="2">
        <f>IFERROR((Data!C117/Data!C116-1)*100,"")</f>
        <v>4.0840591055876452</v>
      </c>
      <c r="D117">
        <f t="shared" si="11"/>
        <v>4.4212340830829255E-2</v>
      </c>
      <c r="E117">
        <f t="shared" si="12"/>
        <v>0.34429728632638196</v>
      </c>
      <c r="P117" t="str" cm="1">
        <f t="array" ref="P117">_xlfn.IFS(
  AND(D117&gt;0,E117&gt;0),"Expansion",
  AND(D117&lt;0,E117&gt;0),"Slowdown",
  AND(D117&lt;0,E117&lt;0),"Contraction",
  AND(D117&gt;0,E117&lt;0),"Recovery",
  TRUE,"Undefined"
)</f>
        <v>Expansion</v>
      </c>
      <c r="Q117" t="str">
        <f t="shared" si="19"/>
        <v>Slowdown</v>
      </c>
      <c r="R117">
        <f t="shared" si="13"/>
        <v>1</v>
      </c>
      <c r="S117">
        <f t="shared" si="14"/>
        <v>1</v>
      </c>
      <c r="T117">
        <f t="shared" si="15"/>
        <v>1</v>
      </c>
      <c r="U117">
        <f t="shared" si="16"/>
        <v>1</v>
      </c>
      <c r="V117" t="str" cm="1">
        <f t="array" ref="V117">_xlfn.IFS(
  AND(S117&gt;0,U117&gt;0),"Expansion",
  AND(S117&lt;0,U117&gt;0),"Slowdown",
  AND(S117&lt;0,U117&lt;0),"Contraction",
  AND(S117&gt;0,U117&lt;0),"Recovery",
  TRUE,"Undefined"
)</f>
        <v>Expansion</v>
      </c>
      <c r="W117">
        <f t="shared" si="17"/>
        <v>0</v>
      </c>
      <c r="X117">
        <f t="shared" si="18"/>
        <v>0</v>
      </c>
      <c r="Y117">
        <v>0</v>
      </c>
    </row>
    <row r="118" spans="1:25" x14ac:dyDescent="0.35">
      <c r="A118" s="1">
        <f>Data!A118</f>
        <v>20699</v>
      </c>
      <c r="B118" s="2">
        <f>IFERROR((Data!B118/Data!B117-1)*100,"")</f>
        <v>0.14646649578908821</v>
      </c>
      <c r="C118" s="2">
        <f>IFERROR((Data!C118/Data!C117-1)*100,"")</f>
        <v>2.2785071946673341</v>
      </c>
      <c r="D118">
        <f t="shared" si="11"/>
        <v>1.0990840996138673</v>
      </c>
      <c r="E118">
        <f t="shared" si="12"/>
        <v>0.24513572979881401</v>
      </c>
      <c r="P118" t="str" cm="1">
        <f t="array" ref="P118">_xlfn.IFS(
  AND(D118&gt;0,E118&gt;0),"Expansion",
  AND(D118&lt;0,E118&gt;0),"Slowdown",
  AND(D118&lt;0,E118&lt;0),"Contraction",
  AND(D118&gt;0,E118&lt;0),"Recovery",
  TRUE,"Undefined"
)</f>
        <v>Expansion</v>
      </c>
      <c r="Q118" t="str">
        <f t="shared" si="19"/>
        <v>Slowdown</v>
      </c>
      <c r="R118">
        <f t="shared" si="13"/>
        <v>1</v>
      </c>
      <c r="S118">
        <f t="shared" si="14"/>
        <v>1</v>
      </c>
      <c r="T118">
        <f t="shared" si="15"/>
        <v>1</v>
      </c>
      <c r="U118">
        <f t="shared" si="16"/>
        <v>1</v>
      </c>
      <c r="V118" t="str" cm="1">
        <f t="array" ref="V118">_xlfn.IFS(
  AND(S118&gt;0,U118&gt;0),"Expansion",
  AND(S118&lt;0,U118&gt;0),"Slowdown",
  AND(S118&lt;0,U118&lt;0),"Contraction",
  AND(S118&gt;0,U118&lt;0),"Recovery",
  TRUE,"Undefined"
)</f>
        <v>Expansion</v>
      </c>
      <c r="W118">
        <f t="shared" si="17"/>
        <v>0</v>
      </c>
      <c r="X118">
        <f t="shared" si="18"/>
        <v>0</v>
      </c>
      <c r="Y118">
        <v>0</v>
      </c>
    </row>
    <row r="119" spans="1:25" x14ac:dyDescent="0.35">
      <c r="A119" s="1">
        <f>Data!A119</f>
        <v>20729</v>
      </c>
      <c r="B119" s="2">
        <f>IFERROR((Data!B119/Data!B118-1)*100,"")</f>
        <v>0.58500914076782262</v>
      </c>
      <c r="C119" s="2">
        <f>IFERROR((Data!C119/Data!C118-1)*100,"")</f>
        <v>0.86637190105436357</v>
      </c>
      <c r="D119">
        <f t="shared" si="11"/>
        <v>2.4096460671031141</v>
      </c>
      <c r="E119">
        <f t="shared" si="12"/>
        <v>0.26825418494732894</v>
      </c>
      <c r="P119" t="str" cm="1">
        <f t="array" ref="P119">_xlfn.IFS(
  AND(D119&gt;0,E119&gt;0),"Expansion",
  AND(D119&lt;0,E119&gt;0),"Slowdown",
  AND(D119&lt;0,E119&lt;0),"Contraction",
  AND(D119&gt;0,E119&lt;0),"Recovery",
  TRUE,"Undefined"
)</f>
        <v>Expansion</v>
      </c>
      <c r="Q119" t="str">
        <f t="shared" si="19"/>
        <v>Expansion</v>
      </c>
      <c r="R119">
        <f t="shared" si="13"/>
        <v>1</v>
      </c>
      <c r="S119">
        <f t="shared" si="14"/>
        <v>1</v>
      </c>
      <c r="T119">
        <f t="shared" si="15"/>
        <v>1</v>
      </c>
      <c r="U119">
        <f t="shared" si="16"/>
        <v>1</v>
      </c>
      <c r="V119" t="str" cm="1">
        <f t="array" ref="V119">_xlfn.IFS(
  AND(S119&gt;0,U119&gt;0),"Expansion",
  AND(S119&lt;0,U119&gt;0),"Slowdown",
  AND(S119&lt;0,U119&lt;0),"Contraction",
  AND(S119&gt;0,U119&lt;0),"Recovery",
  TRUE,"Undefined"
)</f>
        <v>Expansion</v>
      </c>
      <c r="W119">
        <f t="shared" si="17"/>
        <v>0</v>
      </c>
      <c r="X119">
        <f t="shared" si="18"/>
        <v>0</v>
      </c>
      <c r="Y119">
        <v>0</v>
      </c>
    </row>
    <row r="120" spans="1:25" x14ac:dyDescent="0.35">
      <c r="A120" s="1">
        <f>Data!A120</f>
        <v>20760</v>
      </c>
      <c r="B120" s="2">
        <f>IFERROR((Data!B120/Data!B119-1)*100,"")</f>
        <v>0</v>
      </c>
      <c r="C120" s="2">
        <f>IFERROR((Data!C120/Data!C119-1)*100,"")</f>
        <v>-0.85893036968180958</v>
      </c>
      <c r="D120">
        <f t="shared" si="11"/>
        <v>0.76198290867996266</v>
      </c>
      <c r="E120">
        <f t="shared" si="12"/>
        <v>0.24382521218563694</v>
      </c>
      <c r="P120" t="str" cm="1">
        <f t="array" ref="P120">_xlfn.IFS(
  AND(D120&gt;0,E120&gt;0),"Expansion",
  AND(D120&lt;0,E120&gt;0),"Slowdown",
  AND(D120&lt;0,E120&lt;0),"Contraction",
  AND(D120&gt;0,E120&lt;0),"Recovery",
  TRUE,"Undefined"
)</f>
        <v>Expansion</v>
      </c>
      <c r="Q120" t="str">
        <f t="shared" si="19"/>
        <v>Expansion</v>
      </c>
      <c r="R120">
        <f t="shared" si="13"/>
        <v>1</v>
      </c>
      <c r="S120">
        <f t="shared" si="14"/>
        <v>1</v>
      </c>
      <c r="T120">
        <f t="shared" si="15"/>
        <v>1</v>
      </c>
      <c r="U120">
        <f t="shared" si="16"/>
        <v>1</v>
      </c>
      <c r="V120" t="str" cm="1">
        <f t="array" ref="V120">_xlfn.IFS(
  AND(S120&gt;0,U120&gt;0),"Expansion",
  AND(S120&lt;0,U120&gt;0),"Slowdown",
  AND(S120&lt;0,U120&lt;0),"Contraction",
  AND(S120&gt;0,U120&lt;0),"Recovery",
  TRUE,"Undefined"
)</f>
        <v>Expansion</v>
      </c>
      <c r="W120">
        <f t="shared" si="17"/>
        <v>0</v>
      </c>
      <c r="X120">
        <f t="shared" si="18"/>
        <v>0</v>
      </c>
      <c r="Y120">
        <v>0</v>
      </c>
    </row>
    <row r="121" spans="1:25" x14ac:dyDescent="0.35">
      <c r="A121" s="1">
        <f>Data!A121</f>
        <v>20790</v>
      </c>
      <c r="B121" s="2">
        <f>IFERROR((Data!B121/Data!B120-1)*100,"")</f>
        <v>0.4362050163576825</v>
      </c>
      <c r="C121" s="2">
        <f>IFERROR((Data!C121/Data!C120-1)*100,"")</f>
        <v>1.4854716096592391</v>
      </c>
      <c r="D121">
        <f t="shared" si="11"/>
        <v>0.49763771367726434</v>
      </c>
      <c r="E121">
        <f t="shared" si="12"/>
        <v>0.34040471904183506</v>
      </c>
      <c r="P121" t="str" cm="1">
        <f t="array" ref="P121">_xlfn.IFS(
  AND(D121&gt;0,E121&gt;0),"Expansion",
  AND(D121&lt;0,E121&gt;0),"Slowdown",
  AND(D121&lt;0,E121&lt;0),"Contraction",
  AND(D121&gt;0,E121&lt;0),"Recovery",
  TRUE,"Undefined"
)</f>
        <v>Expansion</v>
      </c>
      <c r="Q121" t="str">
        <f t="shared" si="19"/>
        <v>Expansion</v>
      </c>
      <c r="R121">
        <f t="shared" si="13"/>
        <v>1</v>
      </c>
      <c r="S121">
        <f t="shared" si="14"/>
        <v>1</v>
      </c>
      <c r="T121">
        <f t="shared" si="15"/>
        <v>1</v>
      </c>
      <c r="U121">
        <f t="shared" si="16"/>
        <v>1</v>
      </c>
      <c r="V121" t="str" cm="1">
        <f t="array" ref="V121">_xlfn.IFS(
  AND(S121&gt;0,U121&gt;0),"Expansion",
  AND(S121&lt;0,U121&gt;0),"Slowdown",
  AND(S121&lt;0,U121&lt;0),"Contraction",
  AND(S121&gt;0,U121&lt;0),"Recovery",
  TRUE,"Undefined"
)</f>
        <v>Expansion</v>
      </c>
      <c r="W121">
        <f t="shared" si="17"/>
        <v>0</v>
      </c>
      <c r="X121">
        <f t="shared" si="18"/>
        <v>0</v>
      </c>
      <c r="Y121">
        <v>0</v>
      </c>
    </row>
    <row r="122" spans="1:25" x14ac:dyDescent="0.35">
      <c r="A122" s="1">
        <f>Data!A122</f>
        <v>20821</v>
      </c>
      <c r="B122" s="2">
        <f>IFERROR((Data!B122/Data!B121-1)*100,"")</f>
        <v>0.14477017734346731</v>
      </c>
      <c r="C122" s="2">
        <f>IFERROR((Data!C122/Data!C121-1)*100,"")</f>
        <v>-0.3659320851788439</v>
      </c>
      <c r="D122">
        <f t="shared" si="11"/>
        <v>8.6869718266195203E-2</v>
      </c>
      <c r="E122">
        <f t="shared" si="12"/>
        <v>0.19365839790038328</v>
      </c>
      <c r="P122" t="str" cm="1">
        <f t="array" ref="P122">_xlfn.IFS(
  AND(D122&gt;0,E122&gt;0),"Expansion",
  AND(D122&lt;0,E122&gt;0),"Slowdown",
  AND(D122&lt;0,E122&lt;0),"Contraction",
  AND(D122&gt;0,E122&lt;0),"Recovery",
  TRUE,"Undefined"
)</f>
        <v>Expansion</v>
      </c>
      <c r="Q122" t="str">
        <f t="shared" si="19"/>
        <v>Expansion</v>
      </c>
      <c r="R122">
        <f t="shared" si="13"/>
        <v>1</v>
      </c>
      <c r="S122">
        <f t="shared" si="14"/>
        <v>1</v>
      </c>
      <c r="T122">
        <f t="shared" si="15"/>
        <v>1</v>
      </c>
      <c r="U122">
        <f t="shared" si="16"/>
        <v>1</v>
      </c>
      <c r="V122" t="str" cm="1">
        <f t="array" ref="V122">_xlfn.IFS(
  AND(S122&gt;0,U122&gt;0),"Expansion",
  AND(S122&lt;0,U122&gt;0),"Slowdown",
  AND(S122&lt;0,U122&lt;0),"Contraction",
  AND(S122&gt;0,U122&lt;0),"Recovery",
  TRUE,"Undefined"
)</f>
        <v>Expansion</v>
      </c>
      <c r="W122">
        <f t="shared" si="17"/>
        <v>0</v>
      </c>
      <c r="X122">
        <f t="shared" si="18"/>
        <v>0</v>
      </c>
      <c r="Y122">
        <v>0</v>
      </c>
    </row>
    <row r="123" spans="1:25" x14ac:dyDescent="0.35">
      <c r="A123" s="1">
        <f>Data!A123</f>
        <v>20852</v>
      </c>
      <c r="B123" s="2">
        <f>IFERROR((Data!B123/Data!B122-1)*100,"")</f>
        <v>0.46982291290205147</v>
      </c>
      <c r="C123" s="2">
        <f>IFERROR((Data!C123/Data!C122-1)*100,"")</f>
        <v>0.97909980999826285</v>
      </c>
      <c r="D123">
        <f t="shared" si="11"/>
        <v>0.6995464448262193</v>
      </c>
      <c r="E123">
        <f t="shared" si="12"/>
        <v>0.35026603553440044</v>
      </c>
      <c r="P123" t="str" cm="1">
        <f t="array" ref="P123">_xlfn.IFS(
  AND(D123&gt;0,E123&gt;0),"Expansion",
  AND(D123&lt;0,E123&gt;0),"Slowdown",
  AND(D123&lt;0,E123&lt;0),"Contraction",
  AND(D123&gt;0,E123&lt;0),"Recovery",
  TRUE,"Undefined"
)</f>
        <v>Expansion</v>
      </c>
      <c r="Q123" t="str">
        <f t="shared" si="19"/>
        <v>Expansion</v>
      </c>
      <c r="R123">
        <f t="shared" si="13"/>
        <v>1</v>
      </c>
      <c r="S123">
        <f t="shared" si="14"/>
        <v>1</v>
      </c>
      <c r="T123">
        <f t="shared" si="15"/>
        <v>1</v>
      </c>
      <c r="U123">
        <f t="shared" si="16"/>
        <v>1</v>
      </c>
      <c r="V123" t="str" cm="1">
        <f t="array" ref="V123">_xlfn.IFS(
  AND(S123&gt;0,U123&gt;0),"Expansion",
  AND(S123&lt;0,U123&gt;0),"Slowdown",
  AND(S123&lt;0,U123&lt;0),"Contraction",
  AND(S123&gt;0,U123&lt;0),"Recovery",
  TRUE,"Undefined"
)</f>
        <v>Expansion</v>
      </c>
      <c r="W123">
        <f t="shared" si="17"/>
        <v>0</v>
      </c>
      <c r="X123">
        <f t="shared" si="18"/>
        <v>0</v>
      </c>
      <c r="Y123">
        <v>0</v>
      </c>
    </row>
    <row r="124" spans="1:25" x14ac:dyDescent="0.35">
      <c r="A124" s="1">
        <f>Data!A124</f>
        <v>20880</v>
      </c>
      <c r="B124" s="2">
        <f>IFERROR((Data!B124/Data!B123-1)*100,"")</f>
        <v>0.21582733812948174</v>
      </c>
      <c r="C124" s="2">
        <f>IFERROR((Data!C124/Data!C123-1)*100,"")</f>
        <v>-0.12108826389137795</v>
      </c>
      <c r="D124">
        <f t="shared" si="11"/>
        <v>0.16402648697601366</v>
      </c>
      <c r="E124">
        <f t="shared" si="12"/>
        <v>0.27680680945833352</v>
      </c>
      <c r="P124" t="str" cm="1">
        <f t="array" ref="P124">_xlfn.IFS(
  AND(D124&gt;0,E124&gt;0),"Expansion",
  AND(D124&lt;0,E124&gt;0),"Slowdown",
  AND(D124&lt;0,E124&lt;0),"Contraction",
  AND(D124&gt;0,E124&lt;0),"Recovery",
  TRUE,"Undefined"
)</f>
        <v>Expansion</v>
      </c>
      <c r="Q124" t="str">
        <f t="shared" si="19"/>
        <v>Expansion</v>
      </c>
      <c r="R124">
        <f t="shared" si="13"/>
        <v>1</v>
      </c>
      <c r="S124">
        <f t="shared" si="14"/>
        <v>1</v>
      </c>
      <c r="T124">
        <f t="shared" si="15"/>
        <v>1</v>
      </c>
      <c r="U124">
        <f t="shared" si="16"/>
        <v>1</v>
      </c>
      <c r="V124" t="str" cm="1">
        <f t="array" ref="V124">_xlfn.IFS(
  AND(S124&gt;0,U124&gt;0),"Expansion",
  AND(S124&lt;0,U124&gt;0),"Slowdown",
  AND(S124&lt;0,U124&lt;0),"Contraction",
  AND(S124&gt;0,U124&lt;0),"Recovery",
  TRUE,"Undefined"
)</f>
        <v>Expansion</v>
      </c>
      <c r="W124">
        <f t="shared" si="17"/>
        <v>0</v>
      </c>
      <c r="X124">
        <f t="shared" si="18"/>
        <v>0</v>
      </c>
      <c r="Y124">
        <v>0</v>
      </c>
    </row>
    <row r="125" spans="1:25" x14ac:dyDescent="0.35">
      <c r="A125" s="1">
        <f>Data!A125</f>
        <v>20911</v>
      </c>
      <c r="B125" s="2">
        <f>IFERROR((Data!B125/Data!B124-1)*100,"")</f>
        <v>0.25125628140703071</v>
      </c>
      <c r="C125" s="2">
        <f>IFERROR((Data!C125/Data!C124-1)*100,"")</f>
        <v>-1.3349377825250364</v>
      </c>
      <c r="D125">
        <f t="shared" si="11"/>
        <v>-0.15897541213938382</v>
      </c>
      <c r="E125">
        <f t="shared" si="12"/>
        <v>0.31230217747952133</v>
      </c>
      <c r="P125" t="str" cm="1">
        <f t="array" ref="P125">_xlfn.IFS(
  AND(D125&gt;0,E125&gt;0),"Expansion",
  AND(D125&lt;0,E125&gt;0),"Slowdown",
  AND(D125&lt;0,E125&lt;0),"Contraction",
  AND(D125&gt;0,E125&lt;0),"Recovery",
  TRUE,"Undefined"
)</f>
        <v>Slowdown</v>
      </c>
      <c r="Q125" t="str">
        <f t="shared" si="19"/>
        <v>Expansion</v>
      </c>
      <c r="R125">
        <f t="shared" si="13"/>
        <v>1</v>
      </c>
      <c r="S125">
        <f t="shared" si="14"/>
        <v>1</v>
      </c>
      <c r="T125">
        <f t="shared" si="15"/>
        <v>1</v>
      </c>
      <c r="U125">
        <f t="shared" si="16"/>
        <v>1</v>
      </c>
      <c r="V125" t="str" cm="1">
        <f t="array" ref="V125">_xlfn.IFS(
  AND(S125&gt;0,U125&gt;0),"Expansion",
  AND(S125&lt;0,U125&gt;0),"Slowdown",
  AND(S125&lt;0,U125&lt;0),"Contraction",
  AND(S125&gt;0,U125&lt;0),"Recovery",
  TRUE,"Undefined"
)</f>
        <v>Expansion</v>
      </c>
      <c r="W125">
        <f t="shared" si="17"/>
        <v>0</v>
      </c>
      <c r="X125">
        <f t="shared" si="18"/>
        <v>0</v>
      </c>
      <c r="Y125">
        <v>0</v>
      </c>
    </row>
    <row r="126" spans="1:25" x14ac:dyDescent="0.35">
      <c r="A126" s="1">
        <f>Data!A126</f>
        <v>20941</v>
      </c>
      <c r="B126" s="2">
        <f>IFERROR((Data!B126/Data!B125-1)*100,"")</f>
        <v>0.25062656641603454</v>
      </c>
      <c r="C126" s="2">
        <f>IFERROR((Data!C126/Data!C125-1)*100,"")</f>
        <v>-0.36908291118713521</v>
      </c>
      <c r="D126">
        <f t="shared" si="11"/>
        <v>-0.60836965253451647</v>
      </c>
      <c r="E126">
        <f t="shared" si="12"/>
        <v>0.239236728650849</v>
      </c>
      <c r="P126" t="str" cm="1">
        <f t="array" ref="P126">_xlfn.IFS(
  AND(D126&gt;0,E126&gt;0),"Expansion",
  AND(D126&lt;0,E126&gt;0),"Slowdown",
  AND(D126&lt;0,E126&lt;0),"Contraction",
  AND(D126&gt;0,E126&lt;0),"Recovery",
  TRUE,"Undefined"
)</f>
        <v>Slowdown</v>
      </c>
      <c r="Q126" t="str">
        <f t="shared" si="19"/>
        <v>Expansion</v>
      </c>
      <c r="R126">
        <f t="shared" si="13"/>
        <v>-1</v>
      </c>
      <c r="S126">
        <f t="shared" si="14"/>
        <v>-1</v>
      </c>
      <c r="T126">
        <f t="shared" si="15"/>
        <v>1</v>
      </c>
      <c r="U126">
        <f t="shared" si="16"/>
        <v>1</v>
      </c>
      <c r="V126" t="str" cm="1">
        <f t="array" ref="V126">_xlfn.IFS(
  AND(S126&gt;0,U126&gt;0),"Expansion",
  AND(S126&lt;0,U126&gt;0),"Slowdown",
  AND(S126&lt;0,U126&lt;0),"Contraction",
  AND(S126&gt;0,U126&lt;0),"Recovery",
  TRUE,"Undefined"
)</f>
        <v>Slowdown</v>
      </c>
      <c r="W126">
        <f t="shared" si="17"/>
        <v>0</v>
      </c>
      <c r="X126">
        <f t="shared" si="18"/>
        <v>0</v>
      </c>
      <c r="Y126">
        <v>0</v>
      </c>
    </row>
    <row r="127" spans="1:25" x14ac:dyDescent="0.35">
      <c r="A127" s="1">
        <f>Data!A127</f>
        <v>20972</v>
      </c>
      <c r="B127" s="2">
        <f>IFERROR((Data!B127/Data!B126-1)*100,"")</f>
        <v>0.39285714285715034</v>
      </c>
      <c r="C127" s="2">
        <f>IFERROR((Data!C127/Data!C126-1)*100,"")</f>
        <v>0.24711961231105306</v>
      </c>
      <c r="D127">
        <f t="shared" si="11"/>
        <v>-0.48563369380037286</v>
      </c>
      <c r="E127">
        <f t="shared" si="12"/>
        <v>0.29824666356007185</v>
      </c>
      <c r="P127" t="str" cm="1">
        <f t="array" ref="P127">_xlfn.IFS(
  AND(D127&gt;0,E127&gt;0),"Expansion",
  AND(D127&lt;0,E127&gt;0),"Slowdown",
  AND(D127&lt;0,E127&lt;0),"Contraction",
  AND(D127&gt;0,E127&lt;0),"Recovery",
  TRUE,"Undefined"
)</f>
        <v>Slowdown</v>
      </c>
      <c r="Q127" t="str">
        <f t="shared" si="19"/>
        <v>Slowdown</v>
      </c>
      <c r="R127">
        <f t="shared" si="13"/>
        <v>-1</v>
      </c>
      <c r="S127">
        <f t="shared" si="14"/>
        <v>-1</v>
      </c>
      <c r="T127">
        <f t="shared" si="15"/>
        <v>1</v>
      </c>
      <c r="U127">
        <f t="shared" si="16"/>
        <v>1</v>
      </c>
      <c r="V127" t="str" cm="1">
        <f t="array" ref="V127">_xlfn.IFS(
  AND(S127&gt;0,U127&gt;0),"Expansion",
  AND(S127&lt;0,U127&gt;0),"Slowdown",
  AND(S127&lt;0,U127&lt;0),"Contraction",
  AND(S127&gt;0,U127&lt;0),"Recovery",
  TRUE,"Undefined"
)</f>
        <v>Slowdown</v>
      </c>
      <c r="W127">
        <f t="shared" si="17"/>
        <v>0</v>
      </c>
      <c r="X127">
        <f t="shared" si="18"/>
        <v>0</v>
      </c>
      <c r="Y127">
        <v>0</v>
      </c>
    </row>
    <row r="128" spans="1:25" x14ac:dyDescent="0.35">
      <c r="A128" s="1">
        <f>Data!A128</f>
        <v>21002</v>
      </c>
      <c r="B128" s="2">
        <f>IFERROR((Data!B128/Data!B127-1)*100,"")</f>
        <v>0.28459622909997595</v>
      </c>
      <c r="C128" s="2">
        <f>IFERROR((Data!C128/Data!C127-1)*100,"")</f>
        <v>0.61559007006566357</v>
      </c>
      <c r="D128">
        <f t="shared" si="11"/>
        <v>0.16454225706319381</v>
      </c>
      <c r="E128">
        <f t="shared" si="12"/>
        <v>0.30935997945772026</v>
      </c>
      <c r="P128" t="str" cm="1">
        <f t="array" ref="P128">_xlfn.IFS(
  AND(D128&gt;0,E128&gt;0),"Expansion",
  AND(D128&lt;0,E128&gt;0),"Slowdown",
  AND(D128&lt;0,E128&lt;0),"Contraction",
  AND(D128&gt;0,E128&lt;0),"Recovery",
  TRUE,"Undefined"
)</f>
        <v>Expansion</v>
      </c>
      <c r="Q128" t="str">
        <f t="shared" si="19"/>
        <v>Slowdown</v>
      </c>
      <c r="R128">
        <f t="shared" si="13"/>
        <v>1</v>
      </c>
      <c r="S128">
        <f t="shared" si="14"/>
        <v>1</v>
      </c>
      <c r="T128">
        <f t="shared" si="15"/>
        <v>1</v>
      </c>
      <c r="U128">
        <f t="shared" si="16"/>
        <v>1</v>
      </c>
      <c r="V128" t="str" cm="1">
        <f t="array" ref="V128">_xlfn.IFS(
  AND(S128&gt;0,U128&gt;0),"Expansion",
  AND(S128&lt;0,U128&gt;0),"Slowdown",
  AND(S128&lt;0,U128&lt;0),"Contraction",
  AND(S128&gt;0,U128&lt;0),"Recovery",
  TRUE,"Undefined"
)</f>
        <v>Expansion</v>
      </c>
      <c r="W128">
        <f t="shared" si="17"/>
        <v>0</v>
      </c>
      <c r="X128">
        <f t="shared" si="18"/>
        <v>0</v>
      </c>
      <c r="Y128">
        <v>0</v>
      </c>
    </row>
    <row r="129" spans="1:25" x14ac:dyDescent="0.35">
      <c r="A129" s="1">
        <f>Data!A129</f>
        <v>21033</v>
      </c>
      <c r="B129" s="2">
        <f>IFERROR((Data!B129/Data!B128-1)*100,"")</f>
        <v>0.31926214969848488</v>
      </c>
      <c r="C129" s="2">
        <f>IFERROR((Data!C129/Data!C128-1)*100,"")</f>
        <v>0</v>
      </c>
      <c r="D129">
        <f t="shared" si="11"/>
        <v>0.28756989412557221</v>
      </c>
      <c r="E129">
        <f t="shared" si="12"/>
        <v>0.33223850721853704</v>
      </c>
      <c r="P129" t="str" cm="1">
        <f t="array" ref="P129">_xlfn.IFS(
  AND(D129&gt;0,E129&gt;0),"Expansion",
  AND(D129&lt;0,E129&gt;0),"Slowdown",
  AND(D129&lt;0,E129&lt;0),"Contraction",
  AND(D129&gt;0,E129&lt;0),"Recovery",
  TRUE,"Undefined"
)</f>
        <v>Expansion</v>
      </c>
      <c r="Q129" t="str">
        <f t="shared" si="19"/>
        <v>Slowdown</v>
      </c>
      <c r="R129">
        <f t="shared" si="13"/>
        <v>1</v>
      </c>
      <c r="S129">
        <f t="shared" si="14"/>
        <v>1</v>
      </c>
      <c r="T129">
        <f t="shared" si="15"/>
        <v>1</v>
      </c>
      <c r="U129">
        <f t="shared" si="16"/>
        <v>1</v>
      </c>
      <c r="V129" t="str" cm="1">
        <f t="array" ref="V129">_xlfn.IFS(
  AND(S129&gt;0,U129&gt;0),"Expansion",
  AND(S129&lt;0,U129&gt;0),"Slowdown",
  AND(S129&lt;0,U129&lt;0),"Contraction",
  AND(S129&gt;0,U129&lt;0),"Recovery",
  TRUE,"Undefined"
)</f>
        <v>Expansion</v>
      </c>
      <c r="W129">
        <f t="shared" si="17"/>
        <v>0</v>
      </c>
      <c r="X129">
        <f t="shared" si="18"/>
        <v>0</v>
      </c>
      <c r="Y129">
        <v>0</v>
      </c>
    </row>
    <row r="130" spans="1:25" x14ac:dyDescent="0.35">
      <c r="A130" s="1">
        <f>Data!A130</f>
        <v>21064</v>
      </c>
      <c r="B130" s="2">
        <f>IFERROR((Data!B130/Data!B129-1)*100,"")</f>
        <v>0.14144271570013522</v>
      </c>
      <c r="C130" s="2">
        <f>IFERROR((Data!C130/Data!C129-1)*100,"")</f>
        <v>-0.85682597114520309</v>
      </c>
      <c r="D130">
        <f t="shared" si="11"/>
        <v>-8.0411967026513168E-2</v>
      </c>
      <c r="E130">
        <f t="shared" si="12"/>
        <v>0.24843369816619867</v>
      </c>
      <c r="P130" t="str" cm="1">
        <f t="array" ref="P130">_xlfn.IFS(
  AND(D130&gt;0,E130&gt;0),"Expansion",
  AND(D130&lt;0,E130&gt;0),"Slowdown",
  AND(D130&lt;0,E130&lt;0),"Contraction",
  AND(D130&gt;0,E130&lt;0),"Recovery",
  TRUE,"Undefined"
)</f>
        <v>Slowdown</v>
      </c>
      <c r="Q130" t="str">
        <f t="shared" si="19"/>
        <v>Slowdown</v>
      </c>
      <c r="R130">
        <f t="shared" si="13"/>
        <v>1</v>
      </c>
      <c r="S130">
        <f t="shared" si="14"/>
        <v>1</v>
      </c>
      <c r="T130">
        <f t="shared" si="15"/>
        <v>1</v>
      </c>
      <c r="U130">
        <f t="shared" si="16"/>
        <v>1</v>
      </c>
      <c r="V130" t="str" cm="1">
        <f t="array" ref="V130">_xlfn.IFS(
  AND(S130&gt;0,U130&gt;0),"Expansion",
  AND(S130&lt;0,U130&gt;0),"Slowdown",
  AND(S130&lt;0,U130&lt;0),"Contraction",
  AND(S130&gt;0,U130&lt;0),"Recovery",
  TRUE,"Undefined"
)</f>
        <v>Expansion</v>
      </c>
      <c r="W130">
        <f t="shared" si="17"/>
        <v>0</v>
      </c>
      <c r="X130">
        <f t="shared" si="18"/>
        <v>0</v>
      </c>
      <c r="Y130">
        <v>1</v>
      </c>
    </row>
    <row r="131" spans="1:25" x14ac:dyDescent="0.35">
      <c r="A131" s="1">
        <f>Data!A131</f>
        <v>21094</v>
      </c>
      <c r="B131" s="2">
        <f>IFERROR((Data!B131/Data!B130-1)*100,"")</f>
        <v>0</v>
      </c>
      <c r="C131" s="2">
        <f>IFERROR((Data!C131/Data!C130-1)*100,"")</f>
        <v>-1.4813422400315468</v>
      </c>
      <c r="D131">
        <f t="shared" si="11"/>
        <v>-0.7793894037255833</v>
      </c>
      <c r="E131">
        <f t="shared" si="12"/>
        <v>0.15356828846620671</v>
      </c>
      <c r="P131" t="str" cm="1">
        <f t="array" ref="P131">_xlfn.IFS(
  AND(D131&gt;0,E131&gt;0),"Expansion",
  AND(D131&lt;0,E131&gt;0),"Slowdown",
  AND(D131&lt;0,E131&lt;0),"Contraction",
  AND(D131&gt;0,E131&lt;0),"Recovery",
  TRUE,"Undefined"
)</f>
        <v>Slowdown</v>
      </c>
      <c r="Q131" t="str">
        <f t="shared" si="19"/>
        <v>Slowdown</v>
      </c>
      <c r="R131">
        <f t="shared" si="13"/>
        <v>-1</v>
      </c>
      <c r="S131">
        <f t="shared" si="14"/>
        <v>-1</v>
      </c>
      <c r="T131">
        <f t="shared" si="15"/>
        <v>1</v>
      </c>
      <c r="U131">
        <f t="shared" si="16"/>
        <v>1</v>
      </c>
      <c r="V131" t="str" cm="1">
        <f t="array" ref="V131">_xlfn.IFS(
  AND(S131&gt;0,U131&gt;0),"Expansion",
  AND(S131&lt;0,U131&gt;0),"Slowdown",
  AND(S131&lt;0,U131&lt;0),"Contraction",
  AND(S131&gt;0,U131&lt;0),"Recovery",
  TRUE,"Undefined"
)</f>
        <v>Slowdown</v>
      </c>
      <c r="W131">
        <f t="shared" si="17"/>
        <v>0</v>
      </c>
      <c r="X131">
        <f t="shared" si="18"/>
        <v>0</v>
      </c>
      <c r="Y131">
        <v>1</v>
      </c>
    </row>
    <row r="132" spans="1:25" x14ac:dyDescent="0.35">
      <c r="A132" s="1">
        <f>Data!A132</f>
        <v>21125</v>
      </c>
      <c r="B132" s="2">
        <f>IFERROR((Data!B132/Data!B131-1)*100,"")</f>
        <v>0.31779661016948513</v>
      </c>
      <c r="C132" s="2">
        <f>IFERROR((Data!C132/Data!C131-1)*100,"")</f>
        <v>-2.3813069498608397</v>
      </c>
      <c r="D132">
        <f t="shared" si="11"/>
        <v>-1.5731583870125299</v>
      </c>
      <c r="E132">
        <f t="shared" si="12"/>
        <v>0.15307977528987346</v>
      </c>
      <c r="P132" t="str" cm="1">
        <f t="array" ref="P132">_xlfn.IFS(
  AND(D132&gt;0,E132&gt;0),"Expansion",
  AND(D132&lt;0,E132&gt;0),"Slowdown",
  AND(D132&lt;0,E132&lt;0),"Contraction",
  AND(D132&gt;0,E132&lt;0),"Recovery",
  TRUE,"Undefined"
)</f>
        <v>Slowdown</v>
      </c>
      <c r="Q132" t="str">
        <f t="shared" si="19"/>
        <v>Slowdown</v>
      </c>
      <c r="R132">
        <f t="shared" si="13"/>
        <v>-1</v>
      </c>
      <c r="S132">
        <f t="shared" si="14"/>
        <v>-1</v>
      </c>
      <c r="T132">
        <f t="shared" si="15"/>
        <v>1</v>
      </c>
      <c r="U132">
        <f t="shared" si="16"/>
        <v>1</v>
      </c>
      <c r="V132" t="str" cm="1">
        <f t="array" ref="V132">_xlfn.IFS(
  AND(S132&gt;0,U132&gt;0),"Expansion",
  AND(S132&lt;0,U132&gt;0),"Slowdown",
  AND(S132&lt;0,U132&lt;0),"Contraction",
  AND(S132&gt;0,U132&lt;0),"Recovery",
  TRUE,"Undefined"
)</f>
        <v>Slowdown</v>
      </c>
      <c r="W132">
        <f t="shared" si="17"/>
        <v>0</v>
      </c>
      <c r="X132">
        <f t="shared" si="18"/>
        <v>0</v>
      </c>
      <c r="Y132">
        <v>1</v>
      </c>
    </row>
    <row r="133" spans="1:25" x14ac:dyDescent="0.35">
      <c r="A133" s="1">
        <f>Data!A133</f>
        <v>21155</v>
      </c>
      <c r="B133" s="2">
        <f>IFERROR((Data!B133/Data!B132-1)*100,"")</f>
        <v>0.21119324181626542</v>
      </c>
      <c r="C133" s="2">
        <f>IFERROR((Data!C133/Data!C132-1)*100,"")</f>
        <v>-1.9254880461468837</v>
      </c>
      <c r="D133">
        <f t="shared" ref="D133:D196" si="20">SUM(C131:C133)/3</f>
        <v>-1.9293790786797569</v>
      </c>
      <c r="E133">
        <f t="shared" ref="E133:E196" si="21">SUM(B131:B133)/3</f>
        <v>0.17632995066191684</v>
      </c>
      <c r="P133" t="str" cm="1">
        <f t="array" ref="P133">_xlfn.IFS(
  AND(D133&gt;0,E133&gt;0),"Expansion",
  AND(D133&lt;0,E133&gt;0),"Slowdown",
  AND(D133&lt;0,E133&lt;0),"Contraction",
  AND(D133&gt;0,E133&lt;0),"Recovery",
  TRUE,"Undefined"
)</f>
        <v>Slowdown</v>
      </c>
      <c r="Q133" t="str">
        <f t="shared" si="19"/>
        <v>Slowdown</v>
      </c>
      <c r="R133">
        <f t="shared" si="13"/>
        <v>-1</v>
      </c>
      <c r="S133">
        <f t="shared" si="14"/>
        <v>-1</v>
      </c>
      <c r="T133">
        <f t="shared" si="15"/>
        <v>1</v>
      </c>
      <c r="U133">
        <f t="shared" si="16"/>
        <v>1</v>
      </c>
      <c r="V133" t="str" cm="1">
        <f t="array" ref="V133">_xlfn.IFS(
  AND(S133&gt;0,U133&gt;0),"Expansion",
  AND(S133&lt;0,U133&gt;0),"Slowdown",
  AND(S133&lt;0,U133&lt;0),"Contraction",
  AND(S133&gt;0,U133&lt;0),"Recovery",
  TRUE,"Undefined"
)</f>
        <v>Slowdown</v>
      </c>
      <c r="W133">
        <f t="shared" si="17"/>
        <v>0</v>
      </c>
      <c r="X133">
        <f t="shared" si="18"/>
        <v>0</v>
      </c>
      <c r="Y133">
        <v>1</v>
      </c>
    </row>
    <row r="134" spans="1:25" x14ac:dyDescent="0.35">
      <c r="A134" s="1">
        <f>Data!A134</f>
        <v>21186</v>
      </c>
      <c r="B134" s="2">
        <f>IFERROR((Data!B134/Data!B133-1)*100,"")</f>
        <v>0.59711977520198189</v>
      </c>
      <c r="C134" s="2">
        <f>IFERROR((Data!C134/Data!C133-1)*100,"")</f>
        <v>-1.8325345362278145</v>
      </c>
      <c r="D134">
        <f t="shared" si="20"/>
        <v>-2.0464431774118457</v>
      </c>
      <c r="E134">
        <f t="shared" si="21"/>
        <v>0.37536987572924413</v>
      </c>
      <c r="P134" t="str" cm="1">
        <f t="array" ref="P134">_xlfn.IFS(
  AND(D134&gt;0,E134&gt;0),"Expansion",
  AND(D134&lt;0,E134&gt;0),"Slowdown",
  AND(D134&lt;0,E134&lt;0),"Contraction",
  AND(D134&gt;0,E134&lt;0),"Recovery",
  TRUE,"Undefined"
)</f>
        <v>Slowdown</v>
      </c>
      <c r="Q134" t="str">
        <f t="shared" si="19"/>
        <v>Slowdown</v>
      </c>
      <c r="R134">
        <f t="shared" ref="R134:R197" si="22">IF(D134&gt;-0.26, 1, -1)</f>
        <v>-1</v>
      </c>
      <c r="S134">
        <f t="shared" ref="S134:S197" si="23">IF(R134=1, IF(D134 &lt; -$L$5, -1, 1), IF(D134 &gt; $L$5, 1, -1))</f>
        <v>-1</v>
      </c>
      <c r="T134">
        <f t="shared" ref="T134:T197" si="24">IF(E134&gt;0, 1, -1)</f>
        <v>1</v>
      </c>
      <c r="U134">
        <f t="shared" ref="U134:U197" si="25">IF(T134=1, IF(E134 &lt; -$M$5, -1, 1), IF(E134 &gt; $M$5, 1, -1))</f>
        <v>1</v>
      </c>
      <c r="V134" t="str" cm="1">
        <f t="array" ref="V134">_xlfn.IFS(
  AND(S134&gt;0,U134&gt;0),"Expansion",
  AND(S134&lt;0,U134&gt;0),"Slowdown",
  AND(S134&lt;0,U134&lt;0),"Contraction",
  AND(S134&gt;0,U134&lt;0),"Recovery",
  TRUE,"Undefined"
)</f>
        <v>Slowdown</v>
      </c>
      <c r="W134">
        <f t="shared" ref="W134:W197" si="26">IF(Q134="Contraction", 1, 0)</f>
        <v>0</v>
      </c>
      <c r="X134">
        <f t="shared" ref="X134:X197" si="27">IF(V134="Contraction", 1, 0)</f>
        <v>0</v>
      </c>
      <c r="Y134">
        <v>1</v>
      </c>
    </row>
    <row r="135" spans="1:25" x14ac:dyDescent="0.35">
      <c r="A135" s="1">
        <f>Data!A135</f>
        <v>21217</v>
      </c>
      <c r="B135" s="2">
        <f>IFERROR((Data!B135/Data!B134-1)*100,"")</f>
        <v>0.20949720670391248</v>
      </c>
      <c r="C135" s="2">
        <f>IFERROR((Data!C135/Data!C134-1)*100,"")</f>
        <v>-2.1331379112281779</v>
      </c>
      <c r="D135">
        <f t="shared" si="20"/>
        <v>-1.9637201645342921</v>
      </c>
      <c r="E135">
        <f t="shared" si="21"/>
        <v>0.33927007457405328</v>
      </c>
      <c r="P135" t="str" cm="1">
        <f t="array" ref="P135">_xlfn.IFS(
  AND(D135&gt;0,E135&gt;0),"Expansion",
  AND(D135&lt;0,E135&gt;0),"Slowdown",
  AND(D135&lt;0,E135&lt;0),"Contraction",
  AND(D135&gt;0,E135&lt;0),"Recovery",
  TRUE,"Undefined"
)</f>
        <v>Slowdown</v>
      </c>
      <c r="Q135" t="str">
        <f t="shared" si="19"/>
        <v>Slowdown</v>
      </c>
      <c r="R135">
        <f t="shared" si="22"/>
        <v>-1</v>
      </c>
      <c r="S135">
        <f t="shared" si="23"/>
        <v>-1</v>
      </c>
      <c r="T135">
        <f t="shared" si="24"/>
        <v>1</v>
      </c>
      <c r="U135">
        <f t="shared" si="25"/>
        <v>1</v>
      </c>
      <c r="V135" t="str" cm="1">
        <f t="array" ref="V135">_xlfn.IFS(
  AND(S135&gt;0,U135&gt;0),"Expansion",
  AND(S135&lt;0,U135&gt;0),"Slowdown",
  AND(S135&lt;0,U135&lt;0),"Contraction",
  AND(S135&gt;0,U135&lt;0),"Recovery",
  TRUE,"Undefined"
)</f>
        <v>Slowdown</v>
      </c>
      <c r="W135">
        <f t="shared" si="26"/>
        <v>0</v>
      </c>
      <c r="X135">
        <f t="shared" si="27"/>
        <v>0</v>
      </c>
      <c r="Y135">
        <v>1</v>
      </c>
    </row>
    <row r="136" spans="1:25" x14ac:dyDescent="0.35">
      <c r="A136" s="1">
        <f>Data!A136</f>
        <v>21245</v>
      </c>
      <c r="B136" s="2">
        <f>IFERROR((Data!B136/Data!B135-1)*100,"")</f>
        <v>0.59233449477351652</v>
      </c>
      <c r="C136" s="2">
        <f>IFERROR((Data!C136/Data!C135-1)*100,"")</f>
        <v>-1.2259167813486571</v>
      </c>
      <c r="D136">
        <f t="shared" si="20"/>
        <v>-1.7305297429348832</v>
      </c>
      <c r="E136">
        <f t="shared" si="21"/>
        <v>0.46631715889313696</v>
      </c>
      <c r="P136" t="str" cm="1">
        <f t="array" ref="P136">_xlfn.IFS(
  AND(D136&gt;0,E136&gt;0),"Expansion",
  AND(D136&lt;0,E136&gt;0),"Slowdown",
  AND(D136&lt;0,E136&lt;0),"Contraction",
  AND(D136&gt;0,E136&lt;0),"Recovery",
  TRUE,"Undefined"
)</f>
        <v>Slowdown</v>
      </c>
      <c r="Q136" t="str">
        <f t="shared" ref="Q136:Q199" si="28">IF(AND(P136=P135, P135=P134), P136, Q135)</f>
        <v>Slowdown</v>
      </c>
      <c r="R136">
        <f t="shared" si="22"/>
        <v>-1</v>
      </c>
      <c r="S136">
        <f t="shared" si="23"/>
        <v>-1</v>
      </c>
      <c r="T136">
        <f t="shared" si="24"/>
        <v>1</v>
      </c>
      <c r="U136">
        <f t="shared" si="25"/>
        <v>1</v>
      </c>
      <c r="V136" t="str" cm="1">
        <f t="array" ref="V136">_xlfn.IFS(
  AND(S136&gt;0,U136&gt;0),"Expansion",
  AND(S136&lt;0,U136&gt;0),"Slowdown",
  AND(S136&lt;0,U136&lt;0),"Contraction",
  AND(S136&gt;0,U136&lt;0),"Recovery",
  TRUE,"Undefined"
)</f>
        <v>Slowdown</v>
      </c>
      <c r="W136">
        <f t="shared" si="26"/>
        <v>0</v>
      </c>
      <c r="X136">
        <f t="shared" si="27"/>
        <v>0</v>
      </c>
      <c r="Y136">
        <v>1</v>
      </c>
    </row>
    <row r="137" spans="1:25" x14ac:dyDescent="0.35">
      <c r="A137" s="1">
        <f>Data!A137</f>
        <v>21276</v>
      </c>
      <c r="B137" s="2">
        <f>IFERROR((Data!B137/Data!B136-1)*100,"")</f>
        <v>0.24246622791825878</v>
      </c>
      <c r="C137" s="2">
        <f>IFERROR((Data!C137/Data!C136-1)*100,"")</f>
        <v>-1.6555256755026226</v>
      </c>
      <c r="D137">
        <f t="shared" si="20"/>
        <v>-1.6715267893598191</v>
      </c>
      <c r="E137">
        <f t="shared" si="21"/>
        <v>0.34809930979856257</v>
      </c>
      <c r="P137" t="str" cm="1">
        <f t="array" ref="P137">_xlfn.IFS(
  AND(D137&gt;0,E137&gt;0),"Expansion",
  AND(D137&lt;0,E137&gt;0),"Slowdown",
  AND(D137&lt;0,E137&lt;0),"Contraction",
  AND(D137&gt;0,E137&lt;0),"Recovery",
  TRUE,"Undefined"
)</f>
        <v>Slowdown</v>
      </c>
      <c r="Q137" t="str">
        <f t="shared" si="28"/>
        <v>Slowdown</v>
      </c>
      <c r="R137">
        <f t="shared" si="22"/>
        <v>-1</v>
      </c>
      <c r="S137">
        <f t="shared" si="23"/>
        <v>-1</v>
      </c>
      <c r="T137">
        <f t="shared" si="24"/>
        <v>1</v>
      </c>
      <c r="U137">
        <f t="shared" si="25"/>
        <v>1</v>
      </c>
      <c r="V137" t="str" cm="1">
        <f t="array" ref="V137">_xlfn.IFS(
  AND(S137&gt;0,U137&gt;0),"Expansion",
  AND(S137&lt;0,U137&gt;0),"Slowdown",
  AND(S137&lt;0,U137&lt;0),"Contraction",
  AND(S137&gt;0,U137&lt;0),"Recovery",
  TRUE,"Undefined"
)</f>
        <v>Slowdown</v>
      </c>
      <c r="W137">
        <f t="shared" si="26"/>
        <v>0</v>
      </c>
      <c r="X137">
        <f t="shared" si="27"/>
        <v>0</v>
      </c>
      <c r="Y137">
        <v>1</v>
      </c>
    </row>
    <row r="138" spans="1:25" x14ac:dyDescent="0.35">
      <c r="A138" s="1">
        <f>Data!A138</f>
        <v>21306</v>
      </c>
      <c r="B138" s="2">
        <f>IFERROR((Data!B138/Data!B137-1)*100,"")</f>
        <v>0</v>
      </c>
      <c r="C138" s="2">
        <f>IFERROR((Data!C138/Data!C137-1)*100,"")</f>
        <v>0.98180662836664379</v>
      </c>
      <c r="D138">
        <f t="shared" si="20"/>
        <v>-0.63321194282821203</v>
      </c>
      <c r="E138">
        <f t="shared" si="21"/>
        <v>0.27826690756392508</v>
      </c>
      <c r="P138" t="str" cm="1">
        <f t="array" ref="P138">_xlfn.IFS(
  AND(D138&gt;0,E138&gt;0),"Expansion",
  AND(D138&lt;0,E138&gt;0),"Slowdown",
  AND(D138&lt;0,E138&lt;0),"Contraction",
  AND(D138&gt;0,E138&lt;0),"Recovery",
  TRUE,"Undefined"
)</f>
        <v>Slowdown</v>
      </c>
      <c r="Q138" t="str">
        <f t="shared" si="28"/>
        <v>Slowdown</v>
      </c>
      <c r="R138">
        <f t="shared" si="22"/>
        <v>-1</v>
      </c>
      <c r="S138">
        <f t="shared" si="23"/>
        <v>-1</v>
      </c>
      <c r="T138">
        <f t="shared" si="24"/>
        <v>1</v>
      </c>
      <c r="U138">
        <f t="shared" si="25"/>
        <v>1</v>
      </c>
      <c r="V138" t="str" cm="1">
        <f t="array" ref="V138">_xlfn.IFS(
  AND(S138&gt;0,U138&gt;0),"Expansion",
  AND(S138&lt;0,U138&gt;0),"Slowdown",
  AND(S138&lt;0,U138&lt;0),"Contraction",
  AND(S138&gt;0,U138&lt;0),"Recovery",
  TRUE,"Undefined"
)</f>
        <v>Slowdown</v>
      </c>
      <c r="W138">
        <f t="shared" si="26"/>
        <v>0</v>
      </c>
      <c r="X138">
        <f t="shared" si="27"/>
        <v>0</v>
      </c>
      <c r="Y138">
        <v>0</v>
      </c>
    </row>
    <row r="139" spans="1:25" x14ac:dyDescent="0.35">
      <c r="A139" s="1">
        <f>Data!A139</f>
        <v>21337</v>
      </c>
      <c r="B139" s="2">
        <f>IFERROR((Data!B139/Data!B138-1)*100,"")</f>
        <v>-0.10366275051831852</v>
      </c>
      <c r="C139" s="2">
        <f>IFERROR((Data!C139/Data!C138-1)*100,"")</f>
        <v>2.638772836526071</v>
      </c>
      <c r="D139">
        <f t="shared" si="20"/>
        <v>0.65501792979669737</v>
      </c>
      <c r="E139">
        <f t="shared" si="21"/>
        <v>4.6267825799980088E-2</v>
      </c>
      <c r="P139" t="str" cm="1">
        <f t="array" ref="P139">_xlfn.IFS(
  AND(D139&gt;0,E139&gt;0),"Expansion",
  AND(D139&lt;0,E139&gt;0),"Slowdown",
  AND(D139&lt;0,E139&lt;0),"Contraction",
  AND(D139&gt;0,E139&lt;0),"Recovery",
  TRUE,"Undefined"
)</f>
        <v>Expansion</v>
      </c>
      <c r="Q139" t="str">
        <f t="shared" si="28"/>
        <v>Slowdown</v>
      </c>
      <c r="R139">
        <f t="shared" si="22"/>
        <v>1</v>
      </c>
      <c r="S139">
        <f t="shared" si="23"/>
        <v>1</v>
      </c>
      <c r="T139">
        <f t="shared" si="24"/>
        <v>1</v>
      </c>
      <c r="U139">
        <f t="shared" si="25"/>
        <v>1</v>
      </c>
      <c r="V139" t="str" cm="1">
        <f t="array" ref="V139">_xlfn.IFS(
  AND(S139&gt;0,U139&gt;0),"Expansion",
  AND(S139&lt;0,U139&gt;0),"Slowdown",
  AND(S139&lt;0,U139&lt;0),"Contraction",
  AND(S139&gt;0,U139&lt;0),"Recovery",
  TRUE,"Undefined"
)</f>
        <v>Expansion</v>
      </c>
      <c r="W139">
        <f t="shared" si="26"/>
        <v>0</v>
      </c>
      <c r="X139">
        <f t="shared" si="27"/>
        <v>0</v>
      </c>
      <c r="Y139">
        <v>0</v>
      </c>
    </row>
    <row r="140" spans="1:25" x14ac:dyDescent="0.35">
      <c r="A140" s="1">
        <f>Data!A140</f>
        <v>21367</v>
      </c>
      <c r="B140" s="2">
        <f>IFERROR((Data!B140/Data!B139-1)*100,"")</f>
        <v>-6.9180214458663958E-2</v>
      </c>
      <c r="C140" s="2">
        <f>IFERROR((Data!C140/Data!C139-1)*100,"")</f>
        <v>1.4884870900630176</v>
      </c>
      <c r="D140">
        <f t="shared" si="20"/>
        <v>1.703022184985244</v>
      </c>
      <c r="E140">
        <f t="shared" si="21"/>
        <v>-5.7614321658994161E-2</v>
      </c>
      <c r="P140" t="str" cm="1">
        <f t="array" ref="P140">_xlfn.IFS(
  AND(D140&gt;0,E140&gt;0),"Expansion",
  AND(D140&lt;0,E140&gt;0),"Slowdown",
  AND(D140&lt;0,E140&lt;0),"Contraction",
  AND(D140&gt;0,E140&lt;0),"Recovery",
  TRUE,"Undefined"
)</f>
        <v>Recovery</v>
      </c>
      <c r="Q140" t="str">
        <f t="shared" si="28"/>
        <v>Slowdown</v>
      </c>
      <c r="R140">
        <f t="shared" si="22"/>
        <v>1</v>
      </c>
      <c r="S140">
        <f t="shared" si="23"/>
        <v>1</v>
      </c>
      <c r="T140">
        <f t="shared" si="24"/>
        <v>-1</v>
      </c>
      <c r="U140">
        <f t="shared" si="25"/>
        <v>-1</v>
      </c>
      <c r="V140" t="str" cm="1">
        <f t="array" ref="V140">_xlfn.IFS(
  AND(S140&gt;0,U140&gt;0),"Expansion",
  AND(S140&lt;0,U140&gt;0),"Slowdown",
  AND(S140&lt;0,U140&lt;0),"Contraction",
  AND(S140&gt;0,U140&lt;0),"Recovery",
  TRUE,"Undefined"
)</f>
        <v>Recovery</v>
      </c>
      <c r="W140">
        <f t="shared" si="26"/>
        <v>0</v>
      </c>
      <c r="X140">
        <f t="shared" si="27"/>
        <v>0</v>
      </c>
      <c r="Y140">
        <v>0</v>
      </c>
    </row>
    <row r="141" spans="1:25" x14ac:dyDescent="0.35">
      <c r="A141" s="1">
        <f>Data!A141</f>
        <v>21398</v>
      </c>
      <c r="B141" s="2">
        <f>IFERROR((Data!B141/Data!B140-1)*100,"")</f>
        <v>0.17307026652821911</v>
      </c>
      <c r="C141" s="2">
        <f>IFERROR((Data!C141/Data!C140-1)*100,"")</f>
        <v>1.9999405811166771</v>
      </c>
      <c r="D141">
        <f t="shared" si="20"/>
        <v>2.0424001692352554</v>
      </c>
      <c r="E141">
        <f t="shared" si="21"/>
        <v>7.5767183745541658E-5</v>
      </c>
      <c r="P141" t="str" cm="1">
        <f t="array" ref="P141">_xlfn.IFS(
  AND(D141&gt;0,E141&gt;0),"Expansion",
  AND(D141&lt;0,E141&gt;0),"Slowdown",
  AND(D141&lt;0,E141&lt;0),"Contraction",
  AND(D141&gt;0,E141&lt;0),"Recovery",
  TRUE,"Undefined"
)</f>
        <v>Expansion</v>
      </c>
      <c r="Q141" t="str">
        <f t="shared" si="28"/>
        <v>Slowdown</v>
      </c>
      <c r="R141">
        <f t="shared" si="22"/>
        <v>1</v>
      </c>
      <c r="S141">
        <f t="shared" si="23"/>
        <v>1</v>
      </c>
      <c r="T141">
        <f t="shared" si="24"/>
        <v>1</v>
      </c>
      <c r="U141">
        <f t="shared" si="25"/>
        <v>1</v>
      </c>
      <c r="V141" t="str" cm="1">
        <f t="array" ref="V141">_xlfn.IFS(
  AND(S141&gt;0,U141&gt;0),"Expansion",
  AND(S141&lt;0,U141&gt;0),"Slowdown",
  AND(S141&lt;0,U141&lt;0),"Contraction",
  AND(S141&gt;0,U141&lt;0),"Recovery",
  TRUE,"Undefined"
)</f>
        <v>Expansion</v>
      </c>
      <c r="W141">
        <f t="shared" si="26"/>
        <v>0</v>
      </c>
      <c r="X141">
        <f t="shared" si="27"/>
        <v>0</v>
      </c>
      <c r="Y141">
        <v>0</v>
      </c>
    </row>
    <row r="142" spans="1:25" x14ac:dyDescent="0.35">
      <c r="A142" s="1">
        <f>Data!A142</f>
        <v>21429</v>
      </c>
      <c r="B142" s="2">
        <f>IFERROR((Data!B142/Data!B141-1)*100,"")</f>
        <v>-0.10366275051831852</v>
      </c>
      <c r="C142" s="2">
        <f>IFERROR((Data!C142/Data!C141-1)*100,"")</f>
        <v>0.91555620282046668</v>
      </c>
      <c r="D142">
        <f t="shared" si="20"/>
        <v>1.4679946246667204</v>
      </c>
      <c r="E142">
        <f t="shared" si="21"/>
        <v>7.5767183745541658E-5</v>
      </c>
      <c r="P142" t="str" cm="1">
        <f t="array" ref="P142">_xlfn.IFS(
  AND(D142&gt;0,E142&gt;0),"Expansion",
  AND(D142&lt;0,E142&gt;0),"Slowdown",
  AND(D142&lt;0,E142&lt;0),"Contraction",
  AND(D142&gt;0,E142&lt;0),"Recovery",
  TRUE,"Undefined"
)</f>
        <v>Expansion</v>
      </c>
      <c r="Q142" t="str">
        <f t="shared" si="28"/>
        <v>Slowdown</v>
      </c>
      <c r="R142">
        <f t="shared" si="22"/>
        <v>1</v>
      </c>
      <c r="S142">
        <f t="shared" si="23"/>
        <v>1</v>
      </c>
      <c r="T142">
        <f t="shared" si="24"/>
        <v>1</v>
      </c>
      <c r="U142">
        <f t="shared" si="25"/>
        <v>1</v>
      </c>
      <c r="V142" t="str" cm="1">
        <f t="array" ref="V142">_xlfn.IFS(
  AND(S142&gt;0,U142&gt;0),"Expansion",
  AND(S142&lt;0,U142&gt;0),"Slowdown",
  AND(S142&lt;0,U142&lt;0),"Contraction",
  AND(S142&gt;0,U142&lt;0),"Recovery",
  TRUE,"Undefined"
)</f>
        <v>Expansion</v>
      </c>
      <c r="W142">
        <f t="shared" si="26"/>
        <v>0</v>
      </c>
      <c r="X142">
        <f t="shared" si="27"/>
        <v>0</v>
      </c>
      <c r="Y142">
        <v>0</v>
      </c>
    </row>
    <row r="143" spans="1:25" x14ac:dyDescent="0.35">
      <c r="A143" s="1">
        <f>Data!A143</f>
        <v>21459</v>
      </c>
      <c r="B143" s="2">
        <f>IFERROR((Data!B143/Data!B142-1)*100,"")</f>
        <v>0</v>
      </c>
      <c r="C143" s="2">
        <f>IFERROR((Data!C143/Data!C142-1)*100,"")</f>
        <v>1.1655706870757898</v>
      </c>
      <c r="D143">
        <f t="shared" si="20"/>
        <v>1.3603558236709778</v>
      </c>
      <c r="E143">
        <f t="shared" si="21"/>
        <v>2.3135838669966862E-2</v>
      </c>
      <c r="P143" t="str" cm="1">
        <f t="array" ref="P143">_xlfn.IFS(
  AND(D143&gt;0,E143&gt;0),"Expansion",
  AND(D143&lt;0,E143&gt;0),"Slowdown",
  AND(D143&lt;0,E143&lt;0),"Contraction",
  AND(D143&gt;0,E143&lt;0),"Recovery",
  TRUE,"Undefined"
)</f>
        <v>Expansion</v>
      </c>
      <c r="Q143" t="str">
        <f t="shared" si="28"/>
        <v>Expansion</v>
      </c>
      <c r="R143">
        <f t="shared" si="22"/>
        <v>1</v>
      </c>
      <c r="S143">
        <f t="shared" si="23"/>
        <v>1</v>
      </c>
      <c r="T143">
        <f t="shared" si="24"/>
        <v>1</v>
      </c>
      <c r="U143">
        <f t="shared" si="25"/>
        <v>1</v>
      </c>
      <c r="V143" t="str" cm="1">
        <f t="array" ref="V143">_xlfn.IFS(
  AND(S143&gt;0,U143&gt;0),"Expansion",
  AND(S143&lt;0,U143&gt;0),"Slowdown",
  AND(S143&lt;0,U143&lt;0),"Contraction",
  AND(S143&gt;0,U143&lt;0),"Recovery",
  TRUE,"Undefined"
)</f>
        <v>Expansion</v>
      </c>
      <c r="W143">
        <f t="shared" si="26"/>
        <v>0</v>
      </c>
      <c r="X143">
        <f t="shared" si="27"/>
        <v>0</v>
      </c>
      <c r="Y143">
        <v>0</v>
      </c>
    </row>
    <row r="144" spans="1:25" x14ac:dyDescent="0.35">
      <c r="A144" s="1">
        <f>Data!A144</f>
        <v>21490</v>
      </c>
      <c r="B144" s="2">
        <f>IFERROR((Data!B144/Data!B143-1)*100,"")</f>
        <v>0.13836042891732792</v>
      </c>
      <c r="C144" s="2">
        <f>IFERROR((Data!C144/Data!C143-1)*100,"")</f>
        <v>2.944784692635416</v>
      </c>
      <c r="D144">
        <f t="shared" si="20"/>
        <v>1.6753038608438908</v>
      </c>
      <c r="E144">
        <f t="shared" si="21"/>
        <v>1.1565892799669797E-2</v>
      </c>
      <c r="P144" t="str" cm="1">
        <f t="array" ref="P144">_xlfn.IFS(
  AND(D144&gt;0,E144&gt;0),"Expansion",
  AND(D144&lt;0,E144&gt;0),"Slowdown",
  AND(D144&lt;0,E144&lt;0),"Contraction",
  AND(D144&gt;0,E144&lt;0),"Recovery",
  TRUE,"Undefined"
)</f>
        <v>Expansion</v>
      </c>
      <c r="Q144" t="str">
        <f t="shared" si="28"/>
        <v>Expansion</v>
      </c>
      <c r="R144">
        <f t="shared" si="22"/>
        <v>1</v>
      </c>
      <c r="S144">
        <f t="shared" si="23"/>
        <v>1</v>
      </c>
      <c r="T144">
        <f t="shared" si="24"/>
        <v>1</v>
      </c>
      <c r="U144">
        <f t="shared" si="25"/>
        <v>1</v>
      </c>
      <c r="V144" t="str" cm="1">
        <f t="array" ref="V144">_xlfn.IFS(
  AND(S144&gt;0,U144&gt;0),"Expansion",
  AND(S144&lt;0,U144&gt;0),"Slowdown",
  AND(S144&lt;0,U144&lt;0),"Contraction",
  AND(S144&gt;0,U144&lt;0),"Recovery",
  TRUE,"Undefined"
)</f>
        <v>Expansion</v>
      </c>
      <c r="W144">
        <f t="shared" si="26"/>
        <v>0</v>
      </c>
      <c r="X144">
        <f t="shared" si="27"/>
        <v>0</v>
      </c>
      <c r="Y144">
        <v>0</v>
      </c>
    </row>
    <row r="145" spans="1:25" x14ac:dyDescent="0.35">
      <c r="A145" s="1">
        <f>Data!A145</f>
        <v>21520</v>
      </c>
      <c r="B145" s="2">
        <f>IFERROR((Data!B145/Data!B144-1)*100,"")</f>
        <v>6.9084628670124104E-2</v>
      </c>
      <c r="C145" s="2">
        <f>IFERROR((Data!C145/Data!C144-1)*100,"")</f>
        <v>0.12471304452255083</v>
      </c>
      <c r="D145">
        <f t="shared" si="20"/>
        <v>1.4116894747445856</v>
      </c>
      <c r="E145">
        <f t="shared" si="21"/>
        <v>6.9148352529150678E-2</v>
      </c>
      <c r="P145" t="str" cm="1">
        <f t="array" ref="P145">_xlfn.IFS(
  AND(D145&gt;0,E145&gt;0),"Expansion",
  AND(D145&lt;0,E145&gt;0),"Slowdown",
  AND(D145&lt;0,E145&lt;0),"Contraction",
  AND(D145&gt;0,E145&lt;0),"Recovery",
  TRUE,"Undefined"
)</f>
        <v>Expansion</v>
      </c>
      <c r="Q145" t="str">
        <f t="shared" si="28"/>
        <v>Expansion</v>
      </c>
      <c r="R145">
        <f t="shared" si="22"/>
        <v>1</v>
      </c>
      <c r="S145">
        <f t="shared" si="23"/>
        <v>1</v>
      </c>
      <c r="T145">
        <f t="shared" si="24"/>
        <v>1</v>
      </c>
      <c r="U145">
        <f t="shared" si="25"/>
        <v>1</v>
      </c>
      <c r="V145" t="str" cm="1">
        <f t="array" ref="V145">_xlfn.IFS(
  AND(S145&gt;0,U145&gt;0),"Expansion",
  AND(S145&lt;0,U145&gt;0),"Slowdown",
  AND(S145&lt;0,U145&lt;0),"Contraction",
  AND(S145&gt;0,U145&lt;0),"Recovery",
  TRUE,"Undefined"
)</f>
        <v>Expansion</v>
      </c>
      <c r="W145">
        <f t="shared" si="26"/>
        <v>0</v>
      </c>
      <c r="X145">
        <f t="shared" si="27"/>
        <v>0</v>
      </c>
      <c r="Y145">
        <v>0</v>
      </c>
    </row>
    <row r="146" spans="1:25" x14ac:dyDescent="0.35">
      <c r="A146" s="1">
        <f>Data!A146</f>
        <v>21551</v>
      </c>
      <c r="B146" s="2">
        <f>IFERROR((Data!B146/Data!B145-1)*100,"")</f>
        <v>0.13807386952020551</v>
      </c>
      <c r="C146" s="2">
        <f>IFERROR((Data!C146/Data!C145-1)*100,"")</f>
        <v>1.4905405343064171</v>
      </c>
      <c r="D146">
        <f t="shared" si="20"/>
        <v>1.5200127571547946</v>
      </c>
      <c r="E146">
        <f t="shared" si="21"/>
        <v>0.11517297570255251</v>
      </c>
      <c r="P146" t="str" cm="1">
        <f t="array" ref="P146">_xlfn.IFS(
  AND(D146&gt;0,E146&gt;0),"Expansion",
  AND(D146&lt;0,E146&gt;0),"Slowdown",
  AND(D146&lt;0,E146&lt;0),"Contraction",
  AND(D146&gt;0,E146&lt;0),"Recovery",
  TRUE,"Undefined"
)</f>
        <v>Expansion</v>
      </c>
      <c r="Q146" t="str">
        <f t="shared" si="28"/>
        <v>Expansion</v>
      </c>
      <c r="R146">
        <f t="shared" si="22"/>
        <v>1</v>
      </c>
      <c r="S146">
        <f t="shared" si="23"/>
        <v>1</v>
      </c>
      <c r="T146">
        <f t="shared" si="24"/>
        <v>1</v>
      </c>
      <c r="U146">
        <f t="shared" si="25"/>
        <v>1</v>
      </c>
      <c r="V146" t="str" cm="1">
        <f t="array" ref="V146">_xlfn.IFS(
  AND(S146&gt;0,U146&gt;0),"Expansion",
  AND(S146&lt;0,U146&gt;0),"Slowdown",
  AND(S146&lt;0,U146&lt;0),"Contraction",
  AND(S146&gt;0,U146&lt;0),"Recovery",
  TRUE,"Undefined"
)</f>
        <v>Expansion</v>
      </c>
      <c r="W146">
        <f t="shared" si="26"/>
        <v>0</v>
      </c>
      <c r="X146">
        <f t="shared" si="27"/>
        <v>0</v>
      </c>
      <c r="Y146">
        <v>0</v>
      </c>
    </row>
    <row r="147" spans="1:25" x14ac:dyDescent="0.35">
      <c r="A147" s="1">
        <f>Data!A147</f>
        <v>21582</v>
      </c>
      <c r="B147" s="2">
        <f>IFERROR((Data!B147/Data!B146-1)*100,"")</f>
        <v>-3.4470872113068207E-2</v>
      </c>
      <c r="C147" s="2">
        <f>IFERROR((Data!C147/Data!C146-1)*100,"")</f>
        <v>1.9581996199965257</v>
      </c>
      <c r="D147">
        <f t="shared" si="20"/>
        <v>1.1911510662751645</v>
      </c>
      <c r="E147">
        <f t="shared" si="21"/>
        <v>5.7562542025753803E-2</v>
      </c>
      <c r="P147" t="str" cm="1">
        <f t="array" ref="P147">_xlfn.IFS(
  AND(D147&gt;0,E147&gt;0),"Expansion",
  AND(D147&lt;0,E147&gt;0),"Slowdown",
  AND(D147&lt;0,E147&lt;0),"Contraction",
  AND(D147&gt;0,E147&lt;0),"Recovery",
  TRUE,"Undefined"
)</f>
        <v>Expansion</v>
      </c>
      <c r="Q147" t="str">
        <f t="shared" si="28"/>
        <v>Expansion</v>
      </c>
      <c r="R147">
        <f t="shared" si="22"/>
        <v>1</v>
      </c>
      <c r="S147">
        <f t="shared" si="23"/>
        <v>1</v>
      </c>
      <c r="T147">
        <f t="shared" si="24"/>
        <v>1</v>
      </c>
      <c r="U147">
        <f t="shared" si="25"/>
        <v>1</v>
      </c>
      <c r="V147" t="str" cm="1">
        <f t="array" ref="V147">_xlfn.IFS(
  AND(S147&gt;0,U147&gt;0),"Expansion",
  AND(S147&lt;0,U147&gt;0),"Slowdown",
  AND(S147&lt;0,U147&lt;0),"Contraction",
  AND(S147&gt;0,U147&lt;0),"Recovery",
  TRUE,"Undefined"
)</f>
        <v>Expansion</v>
      </c>
      <c r="W147">
        <f t="shared" si="26"/>
        <v>0</v>
      </c>
      <c r="X147">
        <f t="shared" si="27"/>
        <v>0</v>
      </c>
      <c r="Y147">
        <v>0</v>
      </c>
    </row>
    <row r="148" spans="1:25" x14ac:dyDescent="0.35">
      <c r="A148" s="1">
        <f>Data!A148</f>
        <v>21610</v>
      </c>
      <c r="B148" s="2">
        <f>IFERROR((Data!B148/Data!B147-1)*100,"")</f>
        <v>-0.1034482758620725</v>
      </c>
      <c r="C148" s="2">
        <f>IFERROR((Data!C148/Data!C147-1)*100,"")</f>
        <v>1.4408887858550434</v>
      </c>
      <c r="D148">
        <f t="shared" si="20"/>
        <v>1.6298763133859955</v>
      </c>
      <c r="E148">
        <f t="shared" si="21"/>
        <v>5.1573848354931805E-5</v>
      </c>
      <c r="P148" t="str" cm="1">
        <f t="array" ref="P148">_xlfn.IFS(
  AND(D148&gt;0,E148&gt;0),"Expansion",
  AND(D148&lt;0,E148&gt;0),"Slowdown",
  AND(D148&lt;0,E148&lt;0),"Contraction",
  AND(D148&gt;0,E148&lt;0),"Recovery",
  TRUE,"Undefined"
)</f>
        <v>Expansion</v>
      </c>
      <c r="Q148" t="str">
        <f t="shared" si="28"/>
        <v>Expansion</v>
      </c>
      <c r="R148">
        <f t="shared" si="22"/>
        <v>1</v>
      </c>
      <c r="S148">
        <f t="shared" si="23"/>
        <v>1</v>
      </c>
      <c r="T148">
        <f t="shared" si="24"/>
        <v>1</v>
      </c>
      <c r="U148">
        <f t="shared" si="25"/>
        <v>1</v>
      </c>
      <c r="V148" t="str" cm="1">
        <f t="array" ref="V148">_xlfn.IFS(
  AND(S148&gt;0,U148&gt;0),"Expansion",
  AND(S148&lt;0,U148&gt;0),"Slowdown",
  AND(S148&lt;0,U148&lt;0),"Contraction",
  AND(S148&gt;0,U148&lt;0),"Recovery",
  TRUE,"Undefined"
)</f>
        <v>Expansion</v>
      </c>
      <c r="W148">
        <f t="shared" si="26"/>
        <v>0</v>
      </c>
      <c r="X148">
        <f t="shared" si="27"/>
        <v>0</v>
      </c>
      <c r="Y148">
        <v>0</v>
      </c>
    </row>
    <row r="149" spans="1:25" x14ac:dyDescent="0.35">
      <c r="A149" s="1">
        <f>Data!A149</f>
        <v>21641</v>
      </c>
      <c r="B149" s="2">
        <f>IFERROR((Data!B149/Data!B148-1)*100,"")</f>
        <v>3.4518467380051376E-2</v>
      </c>
      <c r="C149" s="2">
        <f>IFERROR((Data!C149/Data!C148-1)*100,"")</f>
        <v>2.1297541509549989</v>
      </c>
      <c r="D149">
        <f t="shared" si="20"/>
        <v>1.8429475189355227</v>
      </c>
      <c r="E149">
        <f t="shared" si="21"/>
        <v>-3.4466893531696442E-2</v>
      </c>
      <c r="P149" t="str" cm="1">
        <f t="array" ref="P149">_xlfn.IFS(
  AND(D149&gt;0,E149&gt;0),"Expansion",
  AND(D149&lt;0,E149&gt;0),"Slowdown",
  AND(D149&lt;0,E149&lt;0),"Contraction",
  AND(D149&gt;0,E149&lt;0),"Recovery",
  TRUE,"Undefined"
)</f>
        <v>Recovery</v>
      </c>
      <c r="Q149" t="str">
        <f t="shared" si="28"/>
        <v>Expansion</v>
      </c>
      <c r="R149">
        <f t="shared" si="22"/>
        <v>1</v>
      </c>
      <c r="S149">
        <f t="shared" si="23"/>
        <v>1</v>
      </c>
      <c r="T149">
        <f t="shared" si="24"/>
        <v>-1</v>
      </c>
      <c r="U149">
        <f t="shared" si="25"/>
        <v>-1</v>
      </c>
      <c r="V149" t="str" cm="1">
        <f t="array" ref="V149">_xlfn.IFS(
  AND(S149&gt;0,U149&gt;0),"Expansion",
  AND(S149&lt;0,U149&gt;0),"Slowdown",
  AND(S149&lt;0,U149&lt;0),"Contraction",
  AND(S149&gt;0,U149&lt;0),"Recovery",
  TRUE,"Undefined"
)</f>
        <v>Recovery</v>
      </c>
      <c r="W149">
        <f t="shared" si="26"/>
        <v>0</v>
      </c>
      <c r="X149">
        <f t="shared" si="27"/>
        <v>0</v>
      </c>
      <c r="Y149">
        <v>0</v>
      </c>
    </row>
    <row r="150" spans="1:25" x14ac:dyDescent="0.35">
      <c r="A150" s="1">
        <f>Data!A150</f>
        <v>21671</v>
      </c>
      <c r="B150" s="2">
        <f>IFERROR((Data!B150/Data!B149-1)*100,"")</f>
        <v>0.20703933747412417</v>
      </c>
      <c r="C150" s="2">
        <f>IFERROR((Data!C150/Data!C149-1)*100,"")</f>
        <v>1.5065581107132964</v>
      </c>
      <c r="D150">
        <f t="shared" si="20"/>
        <v>1.6924003491744462</v>
      </c>
      <c r="E150">
        <f t="shared" si="21"/>
        <v>4.6036509664034352E-2</v>
      </c>
      <c r="P150" t="str" cm="1">
        <f t="array" ref="P150">_xlfn.IFS(
  AND(D150&gt;0,E150&gt;0),"Expansion",
  AND(D150&lt;0,E150&gt;0),"Slowdown",
  AND(D150&lt;0,E150&lt;0),"Contraction",
  AND(D150&gt;0,E150&lt;0),"Recovery",
  TRUE,"Undefined"
)</f>
        <v>Expansion</v>
      </c>
      <c r="Q150" t="str">
        <f t="shared" si="28"/>
        <v>Expansion</v>
      </c>
      <c r="R150">
        <f t="shared" si="22"/>
        <v>1</v>
      </c>
      <c r="S150">
        <f t="shared" si="23"/>
        <v>1</v>
      </c>
      <c r="T150">
        <f t="shared" si="24"/>
        <v>1</v>
      </c>
      <c r="U150">
        <f t="shared" si="25"/>
        <v>1</v>
      </c>
      <c r="V150" t="str" cm="1">
        <f t="array" ref="V150">_xlfn.IFS(
  AND(S150&gt;0,U150&gt;0),"Expansion",
  AND(S150&lt;0,U150&gt;0),"Slowdown",
  AND(S150&lt;0,U150&lt;0),"Contraction",
  AND(S150&gt;0,U150&lt;0),"Recovery",
  TRUE,"Undefined"
)</f>
        <v>Expansion</v>
      </c>
      <c r="W150">
        <f t="shared" si="26"/>
        <v>0</v>
      </c>
      <c r="X150">
        <f t="shared" si="27"/>
        <v>0</v>
      </c>
      <c r="Y150">
        <v>0</v>
      </c>
    </row>
    <row r="151" spans="1:25" x14ac:dyDescent="0.35">
      <c r="A151" s="1">
        <f>Data!A151</f>
        <v>21702</v>
      </c>
      <c r="B151" s="2">
        <f>IFERROR((Data!B151/Data!B150-1)*100,"")</f>
        <v>0.24104683195591559</v>
      </c>
      <c r="C151" s="2">
        <f>IFERROR((Data!C151/Data!C150-1)*100,"")</f>
        <v>0.11446255590648047</v>
      </c>
      <c r="D151">
        <f t="shared" si="20"/>
        <v>1.2502582725249252</v>
      </c>
      <c r="E151">
        <f t="shared" si="21"/>
        <v>0.16086821227003037</v>
      </c>
      <c r="P151" t="str" cm="1">
        <f t="array" ref="P151">_xlfn.IFS(
  AND(D151&gt;0,E151&gt;0),"Expansion",
  AND(D151&lt;0,E151&gt;0),"Slowdown",
  AND(D151&lt;0,E151&lt;0),"Contraction",
  AND(D151&gt;0,E151&lt;0),"Recovery",
  TRUE,"Undefined"
)</f>
        <v>Expansion</v>
      </c>
      <c r="Q151" t="str">
        <f t="shared" si="28"/>
        <v>Expansion</v>
      </c>
      <c r="R151">
        <f t="shared" si="22"/>
        <v>1</v>
      </c>
      <c r="S151">
        <f t="shared" si="23"/>
        <v>1</v>
      </c>
      <c r="T151">
        <f t="shared" si="24"/>
        <v>1</v>
      </c>
      <c r="U151">
        <f t="shared" si="25"/>
        <v>1</v>
      </c>
      <c r="V151" t="str" cm="1">
        <f t="array" ref="V151">_xlfn.IFS(
  AND(S151&gt;0,U151&gt;0),"Expansion",
  AND(S151&lt;0,U151&gt;0),"Slowdown",
  AND(S151&lt;0,U151&lt;0),"Contraction",
  AND(S151&gt;0,U151&lt;0),"Recovery",
  TRUE,"Undefined"
)</f>
        <v>Expansion</v>
      </c>
      <c r="W151">
        <f t="shared" si="26"/>
        <v>0</v>
      </c>
      <c r="X151">
        <f t="shared" si="27"/>
        <v>0</v>
      </c>
      <c r="Y151">
        <v>0</v>
      </c>
    </row>
    <row r="152" spans="1:25" x14ac:dyDescent="0.35">
      <c r="A152" s="1">
        <f>Data!A152</f>
        <v>21732</v>
      </c>
      <c r="B152" s="2">
        <f>IFERROR((Data!B152/Data!B151-1)*100,"")</f>
        <v>0.13740982480248132</v>
      </c>
      <c r="C152" s="2">
        <f>IFERROR((Data!C152/Data!C151-1)*100,"")</f>
        <v>-2.3946137070991469</v>
      </c>
      <c r="D152">
        <f t="shared" si="20"/>
        <v>-0.2578643468264567</v>
      </c>
      <c r="E152">
        <f t="shared" si="21"/>
        <v>0.19516533141084036</v>
      </c>
      <c r="P152" t="str" cm="1">
        <f t="array" ref="P152">_xlfn.IFS(
  AND(D152&gt;0,E152&gt;0),"Expansion",
  AND(D152&lt;0,E152&gt;0),"Slowdown",
  AND(D152&lt;0,E152&lt;0),"Contraction",
  AND(D152&gt;0,E152&lt;0),"Recovery",
  TRUE,"Undefined"
)</f>
        <v>Slowdown</v>
      </c>
      <c r="Q152" t="str">
        <f t="shared" si="28"/>
        <v>Expansion</v>
      </c>
      <c r="R152">
        <f t="shared" si="22"/>
        <v>1</v>
      </c>
      <c r="S152">
        <f t="shared" si="23"/>
        <v>1</v>
      </c>
      <c r="T152">
        <f t="shared" si="24"/>
        <v>1</v>
      </c>
      <c r="U152">
        <f t="shared" si="25"/>
        <v>1</v>
      </c>
      <c r="V152" t="str" cm="1">
        <f t="array" ref="V152">_xlfn.IFS(
  AND(S152&gt;0,U152&gt;0),"Expansion",
  AND(S152&lt;0,U152&gt;0),"Slowdown",
  AND(S152&lt;0,U152&lt;0),"Contraction",
  AND(S152&gt;0,U152&lt;0),"Recovery",
  TRUE,"Undefined"
)</f>
        <v>Expansion</v>
      </c>
      <c r="W152">
        <f t="shared" si="26"/>
        <v>0</v>
      </c>
      <c r="X152">
        <f t="shared" si="27"/>
        <v>0</v>
      </c>
      <c r="Y152">
        <v>0</v>
      </c>
    </row>
    <row r="153" spans="1:25" x14ac:dyDescent="0.35">
      <c r="A153" s="1">
        <f>Data!A153</f>
        <v>21763</v>
      </c>
      <c r="B153" s="2">
        <f>IFERROR((Data!B153/Data!B152-1)*100,"")</f>
        <v>0.10291595197255976</v>
      </c>
      <c r="C153" s="2">
        <f>IFERROR((Data!C153/Data!C152-1)*100,"")</f>
        <v>-3.3878524945770039</v>
      </c>
      <c r="D153">
        <f t="shared" si="20"/>
        <v>-1.88933454858989</v>
      </c>
      <c r="E153">
        <f t="shared" si="21"/>
        <v>0.16045753624365222</v>
      </c>
      <c r="P153" t="str" cm="1">
        <f t="array" ref="P153">_xlfn.IFS(
  AND(D153&gt;0,E153&gt;0),"Expansion",
  AND(D153&lt;0,E153&gt;0),"Slowdown",
  AND(D153&lt;0,E153&lt;0),"Contraction",
  AND(D153&gt;0,E153&lt;0),"Recovery",
  TRUE,"Undefined"
)</f>
        <v>Slowdown</v>
      </c>
      <c r="Q153" t="str">
        <f t="shared" si="28"/>
        <v>Expansion</v>
      </c>
      <c r="R153">
        <f t="shared" si="22"/>
        <v>-1</v>
      </c>
      <c r="S153">
        <f t="shared" si="23"/>
        <v>-1</v>
      </c>
      <c r="T153">
        <f t="shared" si="24"/>
        <v>1</v>
      </c>
      <c r="U153">
        <f t="shared" si="25"/>
        <v>1</v>
      </c>
      <c r="V153" t="str" cm="1">
        <f t="array" ref="V153">_xlfn.IFS(
  AND(S153&gt;0,U153&gt;0),"Expansion",
  AND(S153&lt;0,U153&gt;0),"Slowdown",
  AND(S153&lt;0,U153&lt;0),"Contraction",
  AND(S153&gt;0,U153&lt;0),"Recovery",
  TRUE,"Undefined"
)</f>
        <v>Slowdown</v>
      </c>
      <c r="W153">
        <f t="shared" si="26"/>
        <v>0</v>
      </c>
      <c r="X153">
        <f t="shared" si="27"/>
        <v>0</v>
      </c>
      <c r="Y153">
        <v>0</v>
      </c>
    </row>
    <row r="154" spans="1:25" x14ac:dyDescent="0.35">
      <c r="A154" s="1">
        <f>Data!A154</f>
        <v>21794</v>
      </c>
      <c r="B154" s="2">
        <f>IFERROR((Data!B154/Data!B153-1)*100,"")</f>
        <v>0.23989033584648212</v>
      </c>
      <c r="C154" s="2">
        <f>IFERROR((Data!C154/Data!C153-1)*100,"")</f>
        <v>-0.12124423528566686</v>
      </c>
      <c r="D154">
        <f t="shared" si="20"/>
        <v>-1.9679034789872727</v>
      </c>
      <c r="E154">
        <f t="shared" si="21"/>
        <v>0.16007203754050772</v>
      </c>
      <c r="P154" t="str" cm="1">
        <f t="array" ref="P154">_xlfn.IFS(
  AND(D154&gt;0,E154&gt;0),"Expansion",
  AND(D154&lt;0,E154&gt;0),"Slowdown",
  AND(D154&lt;0,E154&lt;0),"Contraction",
  AND(D154&gt;0,E154&lt;0),"Recovery",
  TRUE,"Undefined"
)</f>
        <v>Slowdown</v>
      </c>
      <c r="Q154" t="str">
        <f t="shared" si="28"/>
        <v>Slowdown</v>
      </c>
      <c r="R154">
        <f t="shared" si="22"/>
        <v>-1</v>
      </c>
      <c r="S154">
        <f t="shared" si="23"/>
        <v>-1</v>
      </c>
      <c r="T154">
        <f t="shared" si="24"/>
        <v>1</v>
      </c>
      <c r="U154">
        <f t="shared" si="25"/>
        <v>1</v>
      </c>
      <c r="V154" t="str" cm="1">
        <f t="array" ref="V154">_xlfn.IFS(
  AND(S154&gt;0,U154&gt;0),"Expansion",
  AND(S154&lt;0,U154&gt;0),"Slowdown",
  AND(S154&lt;0,U154&lt;0),"Contraction",
  AND(S154&gt;0,U154&lt;0),"Recovery",
  TRUE,"Undefined"
)</f>
        <v>Slowdown</v>
      </c>
      <c r="W154">
        <f t="shared" si="26"/>
        <v>0</v>
      </c>
      <c r="X154">
        <f t="shared" si="27"/>
        <v>0</v>
      </c>
      <c r="Y154">
        <v>0</v>
      </c>
    </row>
    <row r="155" spans="1:25" x14ac:dyDescent="0.35">
      <c r="A155" s="1">
        <f>Data!A155</f>
        <v>21824</v>
      </c>
      <c r="B155" s="2">
        <f>IFERROR((Data!B155/Data!B154-1)*100,"")</f>
        <v>0.34188034188034067</v>
      </c>
      <c r="C155" s="2">
        <f>IFERROR((Data!C155/Data!C154-1)*100,"")</f>
        <v>-0.72610050309998009</v>
      </c>
      <c r="D155">
        <f t="shared" si="20"/>
        <v>-1.4117324109875504</v>
      </c>
      <c r="E155">
        <f t="shared" si="21"/>
        <v>0.22822887656646085</v>
      </c>
      <c r="P155" t="str" cm="1">
        <f t="array" ref="P155">_xlfn.IFS(
  AND(D155&gt;0,E155&gt;0),"Expansion",
  AND(D155&lt;0,E155&gt;0),"Slowdown",
  AND(D155&lt;0,E155&lt;0),"Contraction",
  AND(D155&gt;0,E155&lt;0),"Recovery",
  TRUE,"Undefined"
)</f>
        <v>Slowdown</v>
      </c>
      <c r="Q155" t="str">
        <f t="shared" si="28"/>
        <v>Slowdown</v>
      </c>
      <c r="R155">
        <f t="shared" si="22"/>
        <v>-1</v>
      </c>
      <c r="S155">
        <f t="shared" si="23"/>
        <v>-1</v>
      </c>
      <c r="T155">
        <f t="shared" si="24"/>
        <v>1</v>
      </c>
      <c r="U155">
        <f t="shared" si="25"/>
        <v>1</v>
      </c>
      <c r="V155" t="str" cm="1">
        <f t="array" ref="V155">_xlfn.IFS(
  AND(S155&gt;0,U155&gt;0),"Expansion",
  AND(S155&lt;0,U155&gt;0),"Slowdown",
  AND(S155&lt;0,U155&lt;0),"Contraction",
  AND(S155&gt;0,U155&lt;0),"Recovery",
  TRUE,"Undefined"
)</f>
        <v>Slowdown</v>
      </c>
      <c r="W155">
        <f t="shared" si="26"/>
        <v>0</v>
      </c>
      <c r="X155">
        <f t="shared" si="27"/>
        <v>0</v>
      </c>
      <c r="Y155">
        <v>0</v>
      </c>
    </row>
    <row r="156" spans="1:25" x14ac:dyDescent="0.35">
      <c r="A156" s="1">
        <f>Data!A156</f>
        <v>21855</v>
      </c>
      <c r="B156" s="2">
        <f>IFERROR((Data!B156/Data!B155-1)*100,"")</f>
        <v>0</v>
      </c>
      <c r="C156" s="2">
        <f>IFERROR((Data!C156/Data!C155-1)*100,"")</f>
        <v>0.60958488446871684</v>
      </c>
      <c r="D156">
        <f t="shared" si="20"/>
        <v>-7.9253284638976698E-2</v>
      </c>
      <c r="E156">
        <f t="shared" si="21"/>
        <v>0.19392355924227425</v>
      </c>
      <c r="P156" t="str" cm="1">
        <f t="array" ref="P156">_xlfn.IFS(
  AND(D156&gt;0,E156&gt;0),"Expansion",
  AND(D156&lt;0,E156&gt;0),"Slowdown",
  AND(D156&lt;0,E156&lt;0),"Contraction",
  AND(D156&gt;0,E156&lt;0),"Recovery",
  TRUE,"Undefined"
)</f>
        <v>Slowdown</v>
      </c>
      <c r="Q156" t="str">
        <f t="shared" si="28"/>
        <v>Slowdown</v>
      </c>
      <c r="R156">
        <f t="shared" si="22"/>
        <v>1</v>
      </c>
      <c r="S156">
        <f t="shared" si="23"/>
        <v>1</v>
      </c>
      <c r="T156">
        <f t="shared" si="24"/>
        <v>1</v>
      </c>
      <c r="U156">
        <f t="shared" si="25"/>
        <v>1</v>
      </c>
      <c r="V156" t="str" cm="1">
        <f t="array" ref="V156">_xlfn.IFS(
  AND(S156&gt;0,U156&gt;0),"Expansion",
  AND(S156&lt;0,U156&gt;0),"Slowdown",
  AND(S156&lt;0,U156&lt;0),"Contraction",
  AND(S156&gt;0,U156&lt;0),"Recovery",
  TRUE,"Undefined"
)</f>
        <v>Expansion</v>
      </c>
      <c r="W156">
        <f t="shared" si="26"/>
        <v>0</v>
      </c>
      <c r="X156">
        <f t="shared" si="27"/>
        <v>0</v>
      </c>
      <c r="Y156">
        <v>0</v>
      </c>
    </row>
    <row r="157" spans="1:25" x14ac:dyDescent="0.35">
      <c r="A157" s="1">
        <f>Data!A157</f>
        <v>21885</v>
      </c>
      <c r="B157" s="2">
        <f>IFERROR((Data!B157/Data!B156-1)*100,"")</f>
        <v>0.20442930153321548</v>
      </c>
      <c r="C157" s="2">
        <f>IFERROR((Data!C157/Data!C156-1)*100,"")</f>
        <v>6.1818034498901664</v>
      </c>
      <c r="D157">
        <f t="shared" si="20"/>
        <v>2.0217626104196342</v>
      </c>
      <c r="E157">
        <f t="shared" si="21"/>
        <v>0.18210321447118538</v>
      </c>
      <c r="P157" t="str" cm="1">
        <f t="array" ref="P157">_xlfn.IFS(
  AND(D157&gt;0,E157&gt;0),"Expansion",
  AND(D157&lt;0,E157&gt;0),"Slowdown",
  AND(D157&lt;0,E157&lt;0),"Contraction",
  AND(D157&gt;0,E157&lt;0),"Recovery",
  TRUE,"Undefined"
)</f>
        <v>Expansion</v>
      </c>
      <c r="Q157" t="str">
        <f t="shared" si="28"/>
        <v>Slowdown</v>
      </c>
      <c r="R157">
        <f t="shared" si="22"/>
        <v>1</v>
      </c>
      <c r="S157">
        <f t="shared" si="23"/>
        <v>1</v>
      </c>
      <c r="T157">
        <f t="shared" si="24"/>
        <v>1</v>
      </c>
      <c r="U157">
        <f t="shared" si="25"/>
        <v>1</v>
      </c>
      <c r="V157" t="str" cm="1">
        <f t="array" ref="V157">_xlfn.IFS(
  AND(S157&gt;0,U157&gt;0),"Expansion",
  AND(S157&lt;0,U157&gt;0),"Slowdown",
  AND(S157&lt;0,U157&lt;0),"Contraction",
  AND(S157&gt;0,U157&lt;0),"Recovery",
  TRUE,"Undefined"
)</f>
        <v>Expansion</v>
      </c>
      <c r="W157">
        <f t="shared" si="26"/>
        <v>0</v>
      </c>
      <c r="X157">
        <f t="shared" si="27"/>
        <v>0</v>
      </c>
      <c r="Y157">
        <v>0</v>
      </c>
    </row>
    <row r="158" spans="1:25" x14ac:dyDescent="0.35">
      <c r="A158" s="1">
        <f>Data!A158</f>
        <v>21916</v>
      </c>
      <c r="B158" s="2">
        <f>IFERROR((Data!B158/Data!B157-1)*100,"")</f>
        <v>-0.13600816048963127</v>
      </c>
      <c r="C158" s="2">
        <f>IFERROR((Data!C158/Data!C157-1)*100,"")</f>
        <v>2.625431884180851</v>
      </c>
      <c r="D158">
        <f t="shared" si="20"/>
        <v>3.1389400728465779</v>
      </c>
      <c r="E158">
        <f t="shared" si="21"/>
        <v>2.280704701452807E-2</v>
      </c>
      <c r="P158" t="str" cm="1">
        <f t="array" ref="P158">_xlfn.IFS(
  AND(D158&gt;0,E158&gt;0),"Expansion",
  AND(D158&lt;0,E158&gt;0),"Slowdown",
  AND(D158&lt;0,E158&lt;0),"Contraction",
  AND(D158&gt;0,E158&lt;0),"Recovery",
  TRUE,"Undefined"
)</f>
        <v>Expansion</v>
      </c>
      <c r="Q158" t="str">
        <f t="shared" si="28"/>
        <v>Slowdown</v>
      </c>
      <c r="R158">
        <f t="shared" si="22"/>
        <v>1</v>
      </c>
      <c r="S158">
        <f t="shared" si="23"/>
        <v>1</v>
      </c>
      <c r="T158">
        <f t="shared" si="24"/>
        <v>1</v>
      </c>
      <c r="U158">
        <f t="shared" si="25"/>
        <v>1</v>
      </c>
      <c r="V158" t="str" cm="1">
        <f t="array" ref="V158">_xlfn.IFS(
  AND(S158&gt;0,U158&gt;0),"Expansion",
  AND(S158&lt;0,U158&gt;0),"Slowdown",
  AND(S158&lt;0,U158&lt;0),"Contraction",
  AND(S158&gt;0,U158&lt;0),"Recovery",
  TRUE,"Undefined"
)</f>
        <v>Expansion</v>
      </c>
      <c r="W158">
        <f t="shared" si="26"/>
        <v>0</v>
      </c>
      <c r="X158">
        <f t="shared" si="27"/>
        <v>0</v>
      </c>
      <c r="Y158">
        <v>0</v>
      </c>
    </row>
    <row r="159" spans="1:25" x14ac:dyDescent="0.35">
      <c r="A159" s="1">
        <f>Data!A159</f>
        <v>21947</v>
      </c>
      <c r="B159" s="2">
        <f>IFERROR((Data!B159/Data!B158-1)*100,"")</f>
        <v>0.13619339462036528</v>
      </c>
      <c r="C159" s="2">
        <f>IFERROR((Data!C159/Data!C158-1)*100,"")</f>
        <v>-0.88979585092407998</v>
      </c>
      <c r="D159">
        <f t="shared" si="20"/>
        <v>2.6391464943823122</v>
      </c>
      <c r="E159">
        <f t="shared" si="21"/>
        <v>6.8204845221316493E-2</v>
      </c>
      <c r="P159" t="str" cm="1">
        <f t="array" ref="P159">_xlfn.IFS(
  AND(D159&gt;0,E159&gt;0),"Expansion",
  AND(D159&lt;0,E159&gt;0),"Slowdown",
  AND(D159&lt;0,E159&lt;0),"Contraction",
  AND(D159&gt;0,E159&lt;0),"Recovery",
  TRUE,"Undefined"
)</f>
        <v>Expansion</v>
      </c>
      <c r="Q159" t="str">
        <f t="shared" si="28"/>
        <v>Expansion</v>
      </c>
      <c r="R159">
        <f t="shared" si="22"/>
        <v>1</v>
      </c>
      <c r="S159">
        <f t="shared" si="23"/>
        <v>1</v>
      </c>
      <c r="T159">
        <f t="shared" si="24"/>
        <v>1</v>
      </c>
      <c r="U159">
        <f t="shared" si="25"/>
        <v>1</v>
      </c>
      <c r="V159" t="str" cm="1">
        <f t="array" ref="V159">_xlfn.IFS(
  AND(S159&gt;0,U159&gt;0),"Expansion",
  AND(S159&lt;0,U159&gt;0),"Slowdown",
  AND(S159&lt;0,U159&lt;0),"Contraction",
  AND(S159&gt;0,U159&lt;0),"Recovery",
  TRUE,"Undefined"
)</f>
        <v>Expansion</v>
      </c>
      <c r="W159">
        <f t="shared" si="26"/>
        <v>0</v>
      </c>
      <c r="X159">
        <f t="shared" si="27"/>
        <v>0</v>
      </c>
      <c r="Y159">
        <v>0</v>
      </c>
    </row>
    <row r="160" spans="1:25" x14ac:dyDescent="0.35">
      <c r="A160" s="1">
        <f>Data!A160</f>
        <v>21976</v>
      </c>
      <c r="B160" s="2">
        <f>IFERROR((Data!B160/Data!B159-1)*100,"")</f>
        <v>0</v>
      </c>
      <c r="C160" s="2">
        <f>IFERROR((Data!C160/Data!C159-1)*100,"")</f>
        <v>-0.89778429836114837</v>
      </c>
      <c r="D160">
        <f t="shared" si="20"/>
        <v>0.27928391163187422</v>
      </c>
      <c r="E160">
        <f t="shared" si="21"/>
        <v>6.1744710244671097E-5</v>
      </c>
      <c r="P160" t="str" cm="1">
        <f t="array" ref="P160">_xlfn.IFS(
  AND(D160&gt;0,E160&gt;0),"Expansion",
  AND(D160&lt;0,E160&gt;0),"Slowdown",
  AND(D160&lt;0,E160&lt;0),"Contraction",
  AND(D160&gt;0,E160&lt;0),"Recovery",
  TRUE,"Undefined"
)</f>
        <v>Expansion</v>
      </c>
      <c r="Q160" t="str">
        <f t="shared" si="28"/>
        <v>Expansion</v>
      </c>
      <c r="R160">
        <f t="shared" si="22"/>
        <v>1</v>
      </c>
      <c r="S160">
        <f t="shared" si="23"/>
        <v>1</v>
      </c>
      <c r="T160">
        <f t="shared" si="24"/>
        <v>1</v>
      </c>
      <c r="U160">
        <f t="shared" si="25"/>
        <v>1</v>
      </c>
      <c r="V160" t="str" cm="1">
        <f t="array" ref="V160">_xlfn.IFS(
  AND(S160&gt;0,U160&gt;0),"Expansion",
  AND(S160&lt;0,U160&gt;0),"Slowdown",
  AND(S160&lt;0,U160&lt;0),"Contraction",
  AND(S160&gt;0,U160&lt;0),"Recovery",
  TRUE,"Undefined"
)</f>
        <v>Expansion</v>
      </c>
      <c r="W160">
        <f t="shared" si="26"/>
        <v>0</v>
      </c>
      <c r="X160">
        <f t="shared" si="27"/>
        <v>0</v>
      </c>
      <c r="Y160">
        <v>0</v>
      </c>
    </row>
    <row r="161" spans="1:25" x14ac:dyDescent="0.35">
      <c r="A161" s="1">
        <f>Data!A161</f>
        <v>22007</v>
      </c>
      <c r="B161" s="2">
        <f>IFERROR((Data!B161/Data!B160-1)*100,"")</f>
        <v>0.44202652159128775</v>
      </c>
      <c r="C161" s="2">
        <f>IFERROR((Data!C161/Data!C160-1)*100,"")</f>
        <v>-0.79278294149809359</v>
      </c>
      <c r="D161">
        <f t="shared" si="20"/>
        <v>-0.86012103026110731</v>
      </c>
      <c r="E161">
        <f t="shared" si="21"/>
        <v>0.19273997207055102</v>
      </c>
      <c r="P161" t="str" cm="1">
        <f t="array" ref="P161">_xlfn.IFS(
  AND(D161&gt;0,E161&gt;0),"Expansion",
  AND(D161&lt;0,E161&gt;0),"Slowdown",
  AND(D161&lt;0,E161&lt;0),"Contraction",
  AND(D161&gt;0,E161&lt;0),"Recovery",
  TRUE,"Undefined"
)</f>
        <v>Slowdown</v>
      </c>
      <c r="Q161" t="str">
        <f t="shared" si="28"/>
        <v>Expansion</v>
      </c>
      <c r="R161">
        <f t="shared" si="22"/>
        <v>-1</v>
      </c>
      <c r="S161">
        <f t="shared" si="23"/>
        <v>-1</v>
      </c>
      <c r="T161">
        <f t="shared" si="24"/>
        <v>1</v>
      </c>
      <c r="U161">
        <f t="shared" si="25"/>
        <v>1</v>
      </c>
      <c r="V161" t="str" cm="1">
        <f t="array" ref="V161">_xlfn.IFS(
  AND(S161&gt;0,U161&gt;0),"Expansion",
  AND(S161&lt;0,U161&gt;0),"Slowdown",
  AND(S161&lt;0,U161&lt;0),"Contraction",
  AND(S161&gt;0,U161&lt;0),"Recovery",
  TRUE,"Undefined"
)</f>
        <v>Slowdown</v>
      </c>
      <c r="W161">
        <f t="shared" si="26"/>
        <v>0</v>
      </c>
      <c r="X161">
        <f t="shared" si="27"/>
        <v>0</v>
      </c>
      <c r="Y161">
        <v>0</v>
      </c>
    </row>
    <row r="162" spans="1:25" x14ac:dyDescent="0.35">
      <c r="A162" s="1">
        <f>Data!A162</f>
        <v>22037</v>
      </c>
      <c r="B162" s="2">
        <f>IFERROR((Data!B162/Data!B161-1)*100,"")</f>
        <v>0.10155721056195333</v>
      </c>
      <c r="C162" s="2">
        <f>IFERROR((Data!C162/Data!C161-1)*100,"")</f>
        <v>-0.11403862051423408</v>
      </c>
      <c r="D162">
        <f t="shared" si="20"/>
        <v>-0.60153528679115864</v>
      </c>
      <c r="E162">
        <f t="shared" si="21"/>
        <v>0.18119457738441369</v>
      </c>
      <c r="P162" t="str" cm="1">
        <f t="array" ref="P162">_xlfn.IFS(
  AND(D162&gt;0,E162&gt;0),"Expansion",
  AND(D162&lt;0,E162&gt;0),"Slowdown",
  AND(D162&lt;0,E162&lt;0),"Contraction",
  AND(D162&gt;0,E162&lt;0),"Recovery",
  TRUE,"Undefined"
)</f>
        <v>Slowdown</v>
      </c>
      <c r="Q162" t="str">
        <f t="shared" si="28"/>
        <v>Expansion</v>
      </c>
      <c r="R162">
        <f t="shared" si="22"/>
        <v>-1</v>
      </c>
      <c r="S162">
        <f t="shared" si="23"/>
        <v>-1</v>
      </c>
      <c r="T162">
        <f t="shared" si="24"/>
        <v>1</v>
      </c>
      <c r="U162">
        <f t="shared" si="25"/>
        <v>1</v>
      </c>
      <c r="V162" t="str" cm="1">
        <f t="array" ref="V162">_xlfn.IFS(
  AND(S162&gt;0,U162&gt;0),"Expansion",
  AND(S162&lt;0,U162&gt;0),"Slowdown",
  AND(S162&lt;0,U162&lt;0),"Contraction",
  AND(S162&gt;0,U162&lt;0),"Recovery",
  TRUE,"Undefined"
)</f>
        <v>Slowdown</v>
      </c>
      <c r="W162">
        <f t="shared" si="26"/>
        <v>0</v>
      </c>
      <c r="X162">
        <f t="shared" si="27"/>
        <v>0</v>
      </c>
      <c r="Y162">
        <v>1</v>
      </c>
    </row>
    <row r="163" spans="1:25" x14ac:dyDescent="0.35">
      <c r="A163" s="1">
        <f>Data!A163</f>
        <v>22068</v>
      </c>
      <c r="B163" s="2">
        <f>IFERROR((Data!B163/Data!B162-1)*100,"")</f>
        <v>0.1352722353736846</v>
      </c>
      <c r="C163" s="2">
        <f>IFERROR((Data!C163/Data!C162-1)*100,"")</f>
        <v>-1.2571302458237121</v>
      </c>
      <c r="D163">
        <f t="shared" si="20"/>
        <v>-0.7213172692786799</v>
      </c>
      <c r="E163">
        <f t="shared" si="21"/>
        <v>0.22628532250897523</v>
      </c>
      <c r="P163" t="str" cm="1">
        <f t="array" ref="P163">_xlfn.IFS(
  AND(D163&gt;0,E163&gt;0),"Expansion",
  AND(D163&lt;0,E163&gt;0),"Slowdown",
  AND(D163&lt;0,E163&lt;0),"Contraction",
  AND(D163&gt;0,E163&lt;0),"Recovery",
  TRUE,"Undefined"
)</f>
        <v>Slowdown</v>
      </c>
      <c r="Q163" t="str">
        <f t="shared" si="28"/>
        <v>Slowdown</v>
      </c>
      <c r="R163">
        <f t="shared" si="22"/>
        <v>-1</v>
      </c>
      <c r="S163">
        <f t="shared" si="23"/>
        <v>-1</v>
      </c>
      <c r="T163">
        <f t="shared" si="24"/>
        <v>1</v>
      </c>
      <c r="U163">
        <f t="shared" si="25"/>
        <v>1</v>
      </c>
      <c r="V163" t="str" cm="1">
        <f t="array" ref="V163">_xlfn.IFS(
  AND(S163&gt;0,U163&gt;0),"Expansion",
  AND(S163&lt;0,U163&gt;0),"Slowdown",
  AND(S163&lt;0,U163&lt;0),"Contraction",
  AND(S163&gt;0,U163&lt;0),"Recovery",
  TRUE,"Undefined"
)</f>
        <v>Slowdown</v>
      </c>
      <c r="W163">
        <f t="shared" si="26"/>
        <v>0</v>
      </c>
      <c r="X163">
        <f t="shared" si="27"/>
        <v>0</v>
      </c>
      <c r="Y163">
        <v>1</v>
      </c>
    </row>
    <row r="164" spans="1:25" x14ac:dyDescent="0.35">
      <c r="A164" s="1">
        <f>Data!A164</f>
        <v>22098</v>
      </c>
      <c r="B164" s="2">
        <f>IFERROR((Data!B164/Data!B163-1)*100,"")</f>
        <v>-0.20263424518742745</v>
      </c>
      <c r="C164" s="2">
        <f>IFERROR((Data!C164/Data!C163-1)*100,"")</f>
        <v>-0.34729684424080753</v>
      </c>
      <c r="D164">
        <f t="shared" si="20"/>
        <v>-0.57282190352625129</v>
      </c>
      <c r="E164">
        <f t="shared" si="21"/>
        <v>1.1398400249403492E-2</v>
      </c>
      <c r="P164" t="str" cm="1">
        <f t="array" ref="P164">_xlfn.IFS(
  AND(D164&gt;0,E164&gt;0),"Expansion",
  AND(D164&lt;0,E164&gt;0),"Slowdown",
  AND(D164&lt;0,E164&lt;0),"Contraction",
  AND(D164&gt;0,E164&lt;0),"Recovery",
  TRUE,"Undefined"
)</f>
        <v>Slowdown</v>
      </c>
      <c r="Q164" t="str">
        <f t="shared" si="28"/>
        <v>Slowdown</v>
      </c>
      <c r="R164">
        <f t="shared" si="22"/>
        <v>-1</v>
      </c>
      <c r="S164">
        <f t="shared" si="23"/>
        <v>-1</v>
      </c>
      <c r="T164">
        <f t="shared" si="24"/>
        <v>1</v>
      </c>
      <c r="U164">
        <f t="shared" si="25"/>
        <v>1</v>
      </c>
      <c r="V164" t="str" cm="1">
        <f t="array" ref="V164">_xlfn.IFS(
  AND(S164&gt;0,U164&gt;0),"Expansion",
  AND(S164&lt;0,U164&gt;0),"Slowdown",
  AND(S164&lt;0,U164&lt;0),"Contraction",
  AND(S164&gt;0,U164&lt;0),"Recovery",
  TRUE,"Undefined"
)</f>
        <v>Slowdown</v>
      </c>
      <c r="W164">
        <f t="shared" si="26"/>
        <v>0</v>
      </c>
      <c r="X164">
        <f t="shared" si="27"/>
        <v>0</v>
      </c>
      <c r="Y164">
        <v>1</v>
      </c>
    </row>
    <row r="165" spans="1:25" x14ac:dyDescent="0.35">
      <c r="A165" s="1">
        <f>Data!A165</f>
        <v>22129</v>
      </c>
      <c r="B165" s="2">
        <f>IFERROR((Data!B165/Data!B164-1)*100,"")</f>
        <v>0.20304568527917954</v>
      </c>
      <c r="C165" s="2">
        <f>IFERROR((Data!C165/Data!C164-1)*100,"")</f>
        <v>-0.11602529265115624</v>
      </c>
      <c r="D165">
        <f t="shared" si="20"/>
        <v>-0.57348412757189193</v>
      </c>
      <c r="E165">
        <f t="shared" si="21"/>
        <v>4.5227891821812229E-2</v>
      </c>
      <c r="P165" t="str" cm="1">
        <f t="array" ref="P165">_xlfn.IFS(
  AND(D165&gt;0,E165&gt;0),"Expansion",
  AND(D165&lt;0,E165&gt;0),"Slowdown",
  AND(D165&lt;0,E165&lt;0),"Contraction",
  AND(D165&gt;0,E165&lt;0),"Recovery",
  TRUE,"Undefined"
)</f>
        <v>Slowdown</v>
      </c>
      <c r="Q165" t="str">
        <f t="shared" si="28"/>
        <v>Slowdown</v>
      </c>
      <c r="R165">
        <f t="shared" si="22"/>
        <v>-1</v>
      </c>
      <c r="S165">
        <f t="shared" si="23"/>
        <v>-1</v>
      </c>
      <c r="T165">
        <f t="shared" si="24"/>
        <v>1</v>
      </c>
      <c r="U165">
        <f t="shared" si="25"/>
        <v>1</v>
      </c>
      <c r="V165" t="str" cm="1">
        <f t="array" ref="V165">_xlfn.IFS(
  AND(S165&gt;0,U165&gt;0),"Expansion",
  AND(S165&lt;0,U165&gt;0),"Slowdown",
  AND(S165&lt;0,U165&lt;0),"Contraction",
  AND(S165&gt;0,U165&lt;0),"Recovery",
  TRUE,"Undefined"
)</f>
        <v>Slowdown</v>
      </c>
      <c r="W165">
        <f t="shared" si="26"/>
        <v>0</v>
      </c>
      <c r="X165">
        <f t="shared" si="27"/>
        <v>0</v>
      </c>
      <c r="Y165">
        <v>1</v>
      </c>
    </row>
    <row r="166" spans="1:25" x14ac:dyDescent="0.35">
      <c r="A166" s="1">
        <f>Data!A166</f>
        <v>22160</v>
      </c>
      <c r="B166" s="2">
        <f>IFERROR((Data!B166/Data!B165-1)*100,"")</f>
        <v>0</v>
      </c>
      <c r="C166" s="2">
        <f>IFERROR((Data!C166/Data!C165-1)*100,"")</f>
        <v>-1.0467360748260823</v>
      </c>
      <c r="D166">
        <f t="shared" si="20"/>
        <v>-0.5033527372393487</v>
      </c>
      <c r="E166">
        <f t="shared" si="21"/>
        <v>1.3714669725069703E-4</v>
      </c>
      <c r="P166" t="str" cm="1">
        <f t="array" ref="P166">_xlfn.IFS(
  AND(D166&gt;0,E166&gt;0),"Expansion",
  AND(D166&lt;0,E166&gt;0),"Slowdown",
  AND(D166&lt;0,E166&lt;0),"Contraction",
  AND(D166&gt;0,E166&lt;0),"Recovery",
  TRUE,"Undefined"
)</f>
        <v>Slowdown</v>
      </c>
      <c r="Q166" t="str">
        <f t="shared" si="28"/>
        <v>Slowdown</v>
      </c>
      <c r="R166">
        <f t="shared" si="22"/>
        <v>-1</v>
      </c>
      <c r="S166">
        <f t="shared" si="23"/>
        <v>-1</v>
      </c>
      <c r="T166">
        <f t="shared" si="24"/>
        <v>1</v>
      </c>
      <c r="U166">
        <f t="shared" si="25"/>
        <v>1</v>
      </c>
      <c r="V166" t="str" cm="1">
        <f t="array" ref="V166">_xlfn.IFS(
  AND(S166&gt;0,U166&gt;0),"Expansion",
  AND(S166&lt;0,U166&gt;0),"Slowdown",
  AND(S166&lt;0,U166&lt;0),"Contraction",
  AND(S166&gt;0,U166&lt;0),"Recovery",
  TRUE,"Undefined"
)</f>
        <v>Slowdown</v>
      </c>
      <c r="W166">
        <f t="shared" si="26"/>
        <v>0</v>
      </c>
      <c r="X166">
        <f t="shared" si="27"/>
        <v>0</v>
      </c>
      <c r="Y166">
        <v>1</v>
      </c>
    </row>
    <row r="167" spans="1:25" x14ac:dyDescent="0.35">
      <c r="A167" s="1">
        <f>Data!A167</f>
        <v>22190</v>
      </c>
      <c r="B167" s="2">
        <f>IFERROR((Data!B167/Data!B166-1)*100,"")</f>
        <v>0.47281323877068626</v>
      </c>
      <c r="C167" s="2">
        <f>IFERROR((Data!C167/Data!C166-1)*100,"")</f>
        <v>-0.11738881882409347</v>
      </c>
      <c r="D167">
        <f t="shared" si="20"/>
        <v>-0.4267167287671107</v>
      </c>
      <c r="E167">
        <f t="shared" si="21"/>
        <v>0.22528630801662194</v>
      </c>
      <c r="P167" t="str" cm="1">
        <f t="array" ref="P167">_xlfn.IFS(
  AND(D167&gt;0,E167&gt;0),"Expansion",
  AND(D167&lt;0,E167&gt;0),"Slowdown",
  AND(D167&lt;0,E167&lt;0),"Contraction",
  AND(D167&gt;0,E167&lt;0),"Recovery",
  TRUE,"Undefined"
)</f>
        <v>Slowdown</v>
      </c>
      <c r="Q167" t="str">
        <f t="shared" si="28"/>
        <v>Slowdown</v>
      </c>
      <c r="R167">
        <f t="shared" si="22"/>
        <v>-1</v>
      </c>
      <c r="S167">
        <f t="shared" si="23"/>
        <v>-1</v>
      </c>
      <c r="T167">
        <f t="shared" si="24"/>
        <v>1</v>
      </c>
      <c r="U167">
        <f t="shared" si="25"/>
        <v>1</v>
      </c>
      <c r="V167" t="str" cm="1">
        <f t="array" ref="V167">_xlfn.IFS(
  AND(S167&gt;0,U167&gt;0),"Expansion",
  AND(S167&lt;0,U167&gt;0),"Slowdown",
  AND(S167&lt;0,U167&lt;0),"Contraction",
  AND(S167&gt;0,U167&lt;0),"Recovery",
  TRUE,"Undefined"
)</f>
        <v>Slowdown</v>
      </c>
      <c r="W167">
        <f t="shared" si="26"/>
        <v>0</v>
      </c>
      <c r="X167">
        <f t="shared" si="27"/>
        <v>0</v>
      </c>
      <c r="Y167">
        <v>1</v>
      </c>
    </row>
    <row r="168" spans="1:25" x14ac:dyDescent="0.35">
      <c r="A168" s="1">
        <f>Data!A168</f>
        <v>22221</v>
      </c>
      <c r="B168" s="2">
        <f>IFERROR((Data!B168/Data!B167-1)*100,"")</f>
        <v>0.10084033613446675</v>
      </c>
      <c r="C168" s="2">
        <f>IFERROR((Data!C168/Data!C167-1)*100,"")</f>
        <v>-1.4116320931126691</v>
      </c>
      <c r="D168">
        <f t="shared" si="20"/>
        <v>-0.85858566225428168</v>
      </c>
      <c r="E168">
        <f t="shared" si="21"/>
        <v>0.19121785830171767</v>
      </c>
      <c r="P168" t="str" cm="1">
        <f t="array" ref="P168">_xlfn.IFS(
  AND(D168&gt;0,E168&gt;0),"Expansion",
  AND(D168&lt;0,E168&gt;0),"Slowdown",
  AND(D168&lt;0,E168&lt;0),"Contraction",
  AND(D168&gt;0,E168&lt;0),"Recovery",
  TRUE,"Undefined"
)</f>
        <v>Slowdown</v>
      </c>
      <c r="Q168" t="str">
        <f t="shared" si="28"/>
        <v>Slowdown</v>
      </c>
      <c r="R168">
        <f t="shared" si="22"/>
        <v>-1</v>
      </c>
      <c r="S168">
        <f t="shared" si="23"/>
        <v>-1</v>
      </c>
      <c r="T168">
        <f t="shared" si="24"/>
        <v>1</v>
      </c>
      <c r="U168">
        <f t="shared" si="25"/>
        <v>1</v>
      </c>
      <c r="V168" t="str" cm="1">
        <f t="array" ref="V168">_xlfn.IFS(
  AND(S168&gt;0,U168&gt;0),"Expansion",
  AND(S168&lt;0,U168&gt;0),"Slowdown",
  AND(S168&lt;0,U168&lt;0),"Contraction",
  AND(S168&gt;0,U168&lt;0),"Recovery",
  TRUE,"Undefined"
)</f>
        <v>Slowdown</v>
      </c>
      <c r="W168">
        <f t="shared" si="26"/>
        <v>0</v>
      </c>
      <c r="X168">
        <f t="shared" si="27"/>
        <v>0</v>
      </c>
      <c r="Y168">
        <v>1</v>
      </c>
    </row>
    <row r="169" spans="1:25" x14ac:dyDescent="0.35">
      <c r="A169" s="1">
        <f>Data!A169</f>
        <v>22251</v>
      </c>
      <c r="B169" s="2">
        <f>IFERROR((Data!B169/Data!B168-1)*100,"")</f>
        <v>0.1007387508394908</v>
      </c>
      <c r="C169" s="2">
        <f>IFERROR((Data!C169/Data!C168-1)*100,"")</f>
        <v>-1.909569117184351</v>
      </c>
      <c r="D169">
        <f t="shared" si="20"/>
        <v>-1.1461966763737046</v>
      </c>
      <c r="E169">
        <f t="shared" si="21"/>
        <v>0.22479744191488127</v>
      </c>
      <c r="P169" t="str" cm="1">
        <f t="array" ref="P169">_xlfn.IFS(
  AND(D169&gt;0,E169&gt;0),"Expansion",
  AND(D169&lt;0,E169&gt;0),"Slowdown",
  AND(D169&lt;0,E169&lt;0),"Contraction",
  AND(D169&gt;0,E169&lt;0),"Recovery",
  TRUE,"Undefined"
)</f>
        <v>Slowdown</v>
      </c>
      <c r="Q169" t="str">
        <f t="shared" si="28"/>
        <v>Slowdown</v>
      </c>
      <c r="R169">
        <f t="shared" si="22"/>
        <v>-1</v>
      </c>
      <c r="S169">
        <f t="shared" si="23"/>
        <v>-1</v>
      </c>
      <c r="T169">
        <f t="shared" si="24"/>
        <v>1</v>
      </c>
      <c r="U169">
        <f t="shared" si="25"/>
        <v>1</v>
      </c>
      <c r="V169" t="str" cm="1">
        <f t="array" ref="V169">_xlfn.IFS(
  AND(S169&gt;0,U169&gt;0),"Expansion",
  AND(S169&lt;0,U169&gt;0),"Slowdown",
  AND(S169&lt;0,U169&lt;0),"Contraction",
  AND(S169&gt;0,U169&lt;0),"Recovery",
  TRUE,"Undefined"
)</f>
        <v>Slowdown</v>
      </c>
      <c r="W169">
        <f t="shared" si="26"/>
        <v>0</v>
      </c>
      <c r="X169">
        <f t="shared" si="27"/>
        <v>0</v>
      </c>
      <c r="Y169">
        <v>1</v>
      </c>
    </row>
    <row r="170" spans="1:25" x14ac:dyDescent="0.35">
      <c r="A170" s="1">
        <f>Data!A170</f>
        <v>22282</v>
      </c>
      <c r="B170" s="2">
        <f>IFERROR((Data!B170/Data!B169-1)*100,"")</f>
        <v>0.10063737001007045</v>
      </c>
      <c r="C170" s="2">
        <f>IFERROR((Data!C170/Data!C169-1)*100,"")</f>
        <v>0.12153028769699148</v>
      </c>
      <c r="D170">
        <f t="shared" si="20"/>
        <v>-1.0665569742000096</v>
      </c>
      <c r="E170">
        <f t="shared" si="21"/>
        <v>0.100738818994676</v>
      </c>
      <c r="P170" t="str" cm="1">
        <f t="array" ref="P170">_xlfn.IFS(
  AND(D170&gt;0,E170&gt;0),"Expansion",
  AND(D170&lt;0,E170&gt;0),"Slowdown",
  AND(D170&lt;0,E170&lt;0),"Contraction",
  AND(D170&gt;0,E170&lt;0),"Recovery",
  TRUE,"Undefined"
)</f>
        <v>Slowdown</v>
      </c>
      <c r="Q170" t="str">
        <f t="shared" si="28"/>
        <v>Slowdown</v>
      </c>
      <c r="R170">
        <f t="shared" si="22"/>
        <v>-1</v>
      </c>
      <c r="S170">
        <f t="shared" si="23"/>
        <v>-1</v>
      </c>
      <c r="T170">
        <f t="shared" si="24"/>
        <v>1</v>
      </c>
      <c r="U170">
        <f t="shared" si="25"/>
        <v>1</v>
      </c>
      <c r="V170" t="str" cm="1">
        <f t="array" ref="V170">_xlfn.IFS(
  AND(S170&gt;0,U170&gt;0),"Expansion",
  AND(S170&lt;0,U170&gt;0),"Slowdown",
  AND(S170&lt;0,U170&lt;0),"Contraction",
  AND(S170&gt;0,U170&lt;0),"Recovery",
  TRUE,"Undefined"
)</f>
        <v>Slowdown</v>
      </c>
      <c r="W170">
        <f t="shared" si="26"/>
        <v>0</v>
      </c>
      <c r="X170">
        <f t="shared" si="27"/>
        <v>0</v>
      </c>
      <c r="Y170">
        <v>1</v>
      </c>
    </row>
    <row r="171" spans="1:25" x14ac:dyDescent="0.35">
      <c r="A171" s="1">
        <f>Data!A171</f>
        <v>22313</v>
      </c>
      <c r="B171" s="2">
        <f>IFERROR((Data!B171/Data!B170-1)*100,"")</f>
        <v>0</v>
      </c>
      <c r="C171" s="2">
        <f>IFERROR((Data!C171/Data!C170-1)*100,"")</f>
        <v>-0.12138277086634064</v>
      </c>
      <c r="D171">
        <f t="shared" si="20"/>
        <v>-0.63647386678456674</v>
      </c>
      <c r="E171">
        <f t="shared" si="21"/>
        <v>6.712537361652042E-2</v>
      </c>
      <c r="P171" t="str" cm="1">
        <f t="array" ref="P171">_xlfn.IFS(
  AND(D171&gt;0,E171&gt;0),"Expansion",
  AND(D171&lt;0,E171&gt;0),"Slowdown",
  AND(D171&lt;0,E171&lt;0),"Contraction",
  AND(D171&gt;0,E171&lt;0),"Recovery",
  TRUE,"Undefined"
)</f>
        <v>Slowdown</v>
      </c>
      <c r="Q171" t="str">
        <f t="shared" si="28"/>
        <v>Slowdown</v>
      </c>
      <c r="R171">
        <f t="shared" si="22"/>
        <v>-1</v>
      </c>
      <c r="S171">
        <f t="shared" si="23"/>
        <v>-1</v>
      </c>
      <c r="T171">
        <f t="shared" si="24"/>
        <v>1</v>
      </c>
      <c r="U171">
        <f t="shared" si="25"/>
        <v>1</v>
      </c>
      <c r="V171" t="str" cm="1">
        <f t="array" ref="V171">_xlfn.IFS(
  AND(S171&gt;0,U171&gt;0),"Expansion",
  AND(S171&lt;0,U171&gt;0),"Slowdown",
  AND(S171&lt;0,U171&lt;0),"Contraction",
  AND(S171&gt;0,U171&lt;0),"Recovery",
  TRUE,"Undefined"
)</f>
        <v>Slowdown</v>
      </c>
      <c r="W171">
        <f t="shared" si="26"/>
        <v>0</v>
      </c>
      <c r="X171">
        <f t="shared" si="27"/>
        <v>0</v>
      </c>
      <c r="Y171">
        <v>1</v>
      </c>
    </row>
    <row r="172" spans="1:25" x14ac:dyDescent="0.35">
      <c r="A172" s="1">
        <f>Data!A172</f>
        <v>22341</v>
      </c>
      <c r="B172" s="2">
        <f>IFERROR((Data!B172/Data!B171-1)*100,"")</f>
        <v>0</v>
      </c>
      <c r="C172" s="2">
        <f>IFERROR((Data!C172/Data!C171-1)*100,"")</f>
        <v>0.60855500939713814</v>
      </c>
      <c r="D172">
        <f t="shared" si="20"/>
        <v>0.20290084207592965</v>
      </c>
      <c r="E172">
        <f t="shared" si="21"/>
        <v>3.3545790003356814E-2</v>
      </c>
      <c r="P172" t="str" cm="1">
        <f t="array" ref="P172">_xlfn.IFS(
  AND(D172&gt;0,E172&gt;0),"Expansion",
  AND(D172&lt;0,E172&gt;0),"Slowdown",
  AND(D172&lt;0,E172&lt;0),"Contraction",
  AND(D172&gt;0,E172&lt;0),"Recovery",
  TRUE,"Undefined"
)</f>
        <v>Expansion</v>
      </c>
      <c r="Q172" t="str">
        <f t="shared" si="28"/>
        <v>Slowdown</v>
      </c>
      <c r="R172">
        <f t="shared" si="22"/>
        <v>1</v>
      </c>
      <c r="S172">
        <f t="shared" si="23"/>
        <v>1</v>
      </c>
      <c r="T172">
        <f t="shared" si="24"/>
        <v>1</v>
      </c>
      <c r="U172">
        <f t="shared" si="25"/>
        <v>1</v>
      </c>
      <c r="V172" t="str" cm="1">
        <f t="array" ref="V172">_xlfn.IFS(
  AND(S172&gt;0,U172&gt;0),"Expansion",
  AND(S172&lt;0,U172&gt;0),"Slowdown",
  AND(S172&lt;0,U172&lt;0),"Contraction",
  AND(S172&gt;0,U172&lt;0),"Recovery",
  TRUE,"Undefined"
)</f>
        <v>Expansion</v>
      </c>
      <c r="W172">
        <f t="shared" si="26"/>
        <v>0</v>
      </c>
      <c r="X172">
        <f t="shared" si="27"/>
        <v>0</v>
      </c>
      <c r="Y172">
        <v>0</v>
      </c>
    </row>
    <row r="173" spans="1:25" x14ac:dyDescent="0.35">
      <c r="A173" s="1">
        <f>Data!A173</f>
        <v>22372</v>
      </c>
      <c r="B173" s="2">
        <f>IFERROR((Data!B173/Data!B172-1)*100,"")</f>
        <v>-0.10053619302949901</v>
      </c>
      <c r="C173" s="2">
        <f>IFERROR((Data!C173/Data!C172-1)*100,"")</f>
        <v>2.055314314453649</v>
      </c>
      <c r="D173">
        <f t="shared" si="20"/>
        <v>0.84749551766148212</v>
      </c>
      <c r="E173">
        <f t="shared" si="21"/>
        <v>-3.3512064343166337E-2</v>
      </c>
      <c r="P173" t="str" cm="1">
        <f t="array" ref="P173">_xlfn.IFS(
  AND(D173&gt;0,E173&gt;0),"Expansion",
  AND(D173&lt;0,E173&gt;0),"Slowdown",
  AND(D173&lt;0,E173&lt;0),"Contraction",
  AND(D173&gt;0,E173&lt;0),"Recovery",
  TRUE,"Undefined"
)</f>
        <v>Recovery</v>
      </c>
      <c r="Q173" t="str">
        <f t="shared" si="28"/>
        <v>Slowdown</v>
      </c>
      <c r="R173">
        <f t="shared" si="22"/>
        <v>1</v>
      </c>
      <c r="S173">
        <f t="shared" si="23"/>
        <v>1</v>
      </c>
      <c r="T173">
        <f t="shared" si="24"/>
        <v>-1</v>
      </c>
      <c r="U173">
        <f t="shared" si="25"/>
        <v>-1</v>
      </c>
      <c r="V173" t="str" cm="1">
        <f t="array" ref="V173">_xlfn.IFS(
  AND(S173&gt;0,U173&gt;0),"Expansion",
  AND(S173&lt;0,U173&gt;0),"Slowdown",
  AND(S173&lt;0,U173&lt;0),"Contraction",
  AND(S173&gt;0,U173&lt;0),"Recovery",
  TRUE,"Undefined"
)</f>
        <v>Recovery</v>
      </c>
      <c r="W173">
        <f t="shared" si="26"/>
        <v>0</v>
      </c>
      <c r="X173">
        <f t="shared" si="27"/>
        <v>0</v>
      </c>
      <c r="Y173">
        <v>0</v>
      </c>
    </row>
    <row r="174" spans="1:25" x14ac:dyDescent="0.35">
      <c r="A174" s="1">
        <f>Data!A174</f>
        <v>22402</v>
      </c>
      <c r="B174" s="2">
        <f>IFERROR((Data!B174/Data!B173-1)*100,"")</f>
        <v>0.10063737001007045</v>
      </c>
      <c r="C174" s="2">
        <f>IFERROR((Data!C174/Data!C173-1)*100,"")</f>
        <v>1.5404720418184636</v>
      </c>
      <c r="D174">
        <f t="shared" si="20"/>
        <v>1.4014471218897502</v>
      </c>
      <c r="E174">
        <f t="shared" si="21"/>
        <v>3.3725660190479324E-5</v>
      </c>
      <c r="P174" t="str" cm="1">
        <f t="array" ref="P174">_xlfn.IFS(
  AND(D174&gt;0,E174&gt;0),"Expansion",
  AND(D174&lt;0,E174&gt;0),"Slowdown",
  AND(D174&lt;0,E174&lt;0),"Contraction",
  AND(D174&gt;0,E174&lt;0),"Recovery",
  TRUE,"Undefined"
)</f>
        <v>Expansion</v>
      </c>
      <c r="Q174" t="str">
        <f t="shared" si="28"/>
        <v>Slowdown</v>
      </c>
      <c r="R174">
        <f t="shared" si="22"/>
        <v>1</v>
      </c>
      <c r="S174">
        <f t="shared" si="23"/>
        <v>1</v>
      </c>
      <c r="T174">
        <f t="shared" si="24"/>
        <v>1</v>
      </c>
      <c r="U174">
        <f t="shared" si="25"/>
        <v>1</v>
      </c>
      <c r="V174" t="str" cm="1">
        <f t="array" ref="V174">_xlfn.IFS(
  AND(S174&gt;0,U174&gt;0),"Expansion",
  AND(S174&lt;0,U174&gt;0),"Slowdown",
  AND(S174&lt;0,U174&lt;0),"Contraction",
  AND(S174&gt;0,U174&lt;0),"Recovery",
  TRUE,"Undefined"
)</f>
        <v>Expansion</v>
      </c>
      <c r="W174">
        <f t="shared" si="26"/>
        <v>0</v>
      </c>
      <c r="X174">
        <f t="shared" si="27"/>
        <v>0</v>
      </c>
      <c r="Y174">
        <v>0</v>
      </c>
    </row>
    <row r="175" spans="1:25" x14ac:dyDescent="0.35">
      <c r="A175" s="1">
        <f>Data!A175</f>
        <v>22433</v>
      </c>
      <c r="B175" s="2">
        <f>IFERROR((Data!B175/Data!B174-1)*100,"")</f>
        <v>0</v>
      </c>
      <c r="C175" s="2">
        <f>IFERROR((Data!C175/Data!C174-1)*100,"")</f>
        <v>1.4001014001014056</v>
      </c>
      <c r="D175">
        <f t="shared" si="20"/>
        <v>1.6652959187911727</v>
      </c>
      <c r="E175">
        <f t="shared" si="21"/>
        <v>3.3725660190479324E-5</v>
      </c>
      <c r="P175" t="str" cm="1">
        <f t="array" ref="P175">_xlfn.IFS(
  AND(D175&gt;0,E175&gt;0),"Expansion",
  AND(D175&lt;0,E175&gt;0),"Slowdown",
  AND(D175&lt;0,E175&lt;0),"Contraction",
  AND(D175&gt;0,E175&lt;0),"Recovery",
  TRUE,"Undefined"
)</f>
        <v>Expansion</v>
      </c>
      <c r="Q175" t="str">
        <f t="shared" si="28"/>
        <v>Slowdown</v>
      </c>
      <c r="R175">
        <f t="shared" si="22"/>
        <v>1</v>
      </c>
      <c r="S175">
        <f t="shared" si="23"/>
        <v>1</v>
      </c>
      <c r="T175">
        <f t="shared" si="24"/>
        <v>1</v>
      </c>
      <c r="U175">
        <f t="shared" si="25"/>
        <v>1</v>
      </c>
      <c r="V175" t="str" cm="1">
        <f t="array" ref="V175">_xlfn.IFS(
  AND(S175&gt;0,U175&gt;0),"Expansion",
  AND(S175&lt;0,U175&gt;0),"Slowdown",
  AND(S175&lt;0,U175&lt;0),"Contraction",
  AND(S175&gt;0,U175&lt;0),"Recovery",
  TRUE,"Undefined"
)</f>
        <v>Expansion</v>
      </c>
      <c r="W175">
        <f t="shared" si="26"/>
        <v>0</v>
      </c>
      <c r="X175">
        <f t="shared" si="27"/>
        <v>0</v>
      </c>
      <c r="Y175">
        <v>0</v>
      </c>
    </row>
    <row r="176" spans="1:25" x14ac:dyDescent="0.35">
      <c r="A176" s="1">
        <f>Data!A176</f>
        <v>22463</v>
      </c>
      <c r="B176" s="2">
        <f>IFERROR((Data!B176/Data!B175-1)*100,"")</f>
        <v>0.26809651474530849</v>
      </c>
      <c r="C176" s="2">
        <f>IFERROR((Data!C176/Data!C175-1)*100,"")</f>
        <v>1.1508547008546977</v>
      </c>
      <c r="D176">
        <f t="shared" si="20"/>
        <v>1.3638093809248557</v>
      </c>
      <c r="E176">
        <f t="shared" si="21"/>
        <v>0.12291129491845965</v>
      </c>
      <c r="P176" t="str" cm="1">
        <f t="array" ref="P176">_xlfn.IFS(
  AND(D176&gt;0,E176&gt;0),"Expansion",
  AND(D176&lt;0,E176&gt;0),"Slowdown",
  AND(D176&lt;0,E176&lt;0),"Contraction",
  AND(D176&gt;0,E176&lt;0),"Recovery",
  TRUE,"Undefined"
)</f>
        <v>Expansion</v>
      </c>
      <c r="Q176" t="str">
        <f t="shared" si="28"/>
        <v>Expansion</v>
      </c>
      <c r="R176">
        <f t="shared" si="22"/>
        <v>1</v>
      </c>
      <c r="S176">
        <f t="shared" si="23"/>
        <v>1</v>
      </c>
      <c r="T176">
        <f t="shared" si="24"/>
        <v>1</v>
      </c>
      <c r="U176">
        <f t="shared" si="25"/>
        <v>1</v>
      </c>
      <c r="V176" t="str" cm="1">
        <f t="array" ref="V176">_xlfn.IFS(
  AND(S176&gt;0,U176&gt;0),"Expansion",
  AND(S176&lt;0,U176&gt;0),"Slowdown",
  AND(S176&lt;0,U176&lt;0),"Contraction",
  AND(S176&gt;0,U176&lt;0),"Recovery",
  TRUE,"Undefined"
)</f>
        <v>Expansion</v>
      </c>
      <c r="W176">
        <f t="shared" si="26"/>
        <v>0</v>
      </c>
      <c r="X176">
        <f t="shared" si="27"/>
        <v>0</v>
      </c>
      <c r="Y176">
        <v>0</v>
      </c>
    </row>
    <row r="177" spans="1:25" x14ac:dyDescent="0.35">
      <c r="A177" s="1">
        <f>Data!A177</f>
        <v>22494</v>
      </c>
      <c r="B177" s="2">
        <f>IFERROR((Data!B177/Data!B176-1)*100,"")</f>
        <v>6.6844919786102075E-2</v>
      </c>
      <c r="C177" s="2">
        <f>IFERROR((Data!C177/Data!C176-1)*100,"")</f>
        <v>0.91003958714452882</v>
      </c>
      <c r="D177">
        <f t="shared" si="20"/>
        <v>1.1536652293668774</v>
      </c>
      <c r="E177">
        <f t="shared" si="21"/>
        <v>0.11164714484380352</v>
      </c>
      <c r="P177" t="str" cm="1">
        <f t="array" ref="P177">_xlfn.IFS(
  AND(D177&gt;0,E177&gt;0),"Expansion",
  AND(D177&lt;0,E177&gt;0),"Slowdown",
  AND(D177&lt;0,E177&lt;0),"Contraction",
  AND(D177&gt;0,E177&lt;0),"Recovery",
  TRUE,"Undefined"
)</f>
        <v>Expansion</v>
      </c>
      <c r="Q177" t="str">
        <f t="shared" si="28"/>
        <v>Expansion</v>
      </c>
      <c r="R177">
        <f t="shared" si="22"/>
        <v>1</v>
      </c>
      <c r="S177">
        <f t="shared" si="23"/>
        <v>1</v>
      </c>
      <c r="T177">
        <f t="shared" si="24"/>
        <v>1</v>
      </c>
      <c r="U177">
        <f t="shared" si="25"/>
        <v>1</v>
      </c>
      <c r="V177" t="str" cm="1">
        <f t="array" ref="V177">_xlfn.IFS(
  AND(S177&gt;0,U177&gt;0),"Expansion",
  AND(S177&lt;0,U177&gt;0),"Slowdown",
  AND(S177&lt;0,U177&lt;0),"Contraction",
  AND(S177&gt;0,U177&lt;0),"Recovery",
  TRUE,"Undefined"
)</f>
        <v>Expansion</v>
      </c>
      <c r="W177">
        <f t="shared" si="26"/>
        <v>0</v>
      </c>
      <c r="X177">
        <f t="shared" si="27"/>
        <v>0</v>
      </c>
      <c r="Y177">
        <v>0</v>
      </c>
    </row>
    <row r="178" spans="1:25" x14ac:dyDescent="0.35">
      <c r="A178" s="1">
        <f>Data!A178</f>
        <v>22525</v>
      </c>
      <c r="B178" s="2">
        <f>IFERROR((Data!B178/Data!B177-1)*100,"")</f>
        <v>0.13360053440214514</v>
      </c>
      <c r="C178" s="2">
        <f>IFERROR((Data!C178/Data!C177-1)*100,"")</f>
        <v>-0.11262439972031801</v>
      </c>
      <c r="D178">
        <f t="shared" si="20"/>
        <v>0.64942329609296945</v>
      </c>
      <c r="E178">
        <f t="shared" si="21"/>
        <v>0.15618065631118525</v>
      </c>
      <c r="P178" t="str" cm="1">
        <f t="array" ref="P178">_xlfn.IFS(
  AND(D178&gt;0,E178&gt;0),"Expansion",
  AND(D178&lt;0,E178&gt;0),"Slowdown",
  AND(D178&lt;0,E178&lt;0),"Contraction",
  AND(D178&gt;0,E178&lt;0),"Recovery",
  TRUE,"Undefined"
)</f>
        <v>Expansion</v>
      </c>
      <c r="Q178" t="str">
        <f t="shared" si="28"/>
        <v>Expansion</v>
      </c>
      <c r="R178">
        <f t="shared" si="22"/>
        <v>1</v>
      </c>
      <c r="S178">
        <f t="shared" si="23"/>
        <v>1</v>
      </c>
      <c r="T178">
        <f t="shared" si="24"/>
        <v>1</v>
      </c>
      <c r="U178">
        <f t="shared" si="25"/>
        <v>1</v>
      </c>
      <c r="V178" t="str" cm="1">
        <f t="array" ref="V178">_xlfn.IFS(
  AND(S178&gt;0,U178&gt;0),"Expansion",
  AND(S178&lt;0,U178&gt;0),"Slowdown",
  AND(S178&lt;0,U178&lt;0),"Contraction",
  AND(S178&gt;0,U178&lt;0),"Recovery",
  TRUE,"Undefined"
)</f>
        <v>Expansion</v>
      </c>
      <c r="W178">
        <f t="shared" si="26"/>
        <v>0</v>
      </c>
      <c r="X178">
        <f t="shared" si="27"/>
        <v>0</v>
      </c>
      <c r="Y178">
        <v>0</v>
      </c>
    </row>
    <row r="179" spans="1:25" x14ac:dyDescent="0.35">
      <c r="A179" s="1">
        <f>Data!A179</f>
        <v>22555</v>
      </c>
      <c r="B179" s="2">
        <f>IFERROR((Data!B179/Data!B178-1)*100,"")</f>
        <v>0</v>
      </c>
      <c r="C179" s="2">
        <f>IFERROR((Data!C179/Data!C178-1)*100,"")</f>
        <v>1.9188693006060964</v>
      </c>
      <c r="D179">
        <f t="shared" si="20"/>
        <v>0.90542816267676907</v>
      </c>
      <c r="E179">
        <f t="shared" si="21"/>
        <v>6.6815151396082406E-2</v>
      </c>
      <c r="P179" t="str" cm="1">
        <f t="array" ref="P179">_xlfn.IFS(
  AND(D179&gt;0,E179&gt;0),"Expansion",
  AND(D179&lt;0,E179&gt;0),"Slowdown",
  AND(D179&lt;0,E179&lt;0),"Contraction",
  AND(D179&gt;0,E179&lt;0),"Recovery",
  TRUE,"Undefined"
)</f>
        <v>Expansion</v>
      </c>
      <c r="Q179" t="str">
        <f t="shared" si="28"/>
        <v>Expansion</v>
      </c>
      <c r="R179">
        <f t="shared" si="22"/>
        <v>1</v>
      </c>
      <c r="S179">
        <f t="shared" si="23"/>
        <v>1</v>
      </c>
      <c r="T179">
        <f t="shared" si="24"/>
        <v>1</v>
      </c>
      <c r="U179">
        <f t="shared" si="25"/>
        <v>1</v>
      </c>
      <c r="V179" t="str" cm="1">
        <f t="array" ref="V179">_xlfn.IFS(
  AND(S179&gt;0,U179&gt;0),"Expansion",
  AND(S179&lt;0,U179&gt;0),"Slowdown",
  AND(S179&lt;0,U179&lt;0),"Contraction",
  AND(S179&gt;0,U179&lt;0),"Recovery",
  TRUE,"Undefined"
)</f>
        <v>Expansion</v>
      </c>
      <c r="W179">
        <f t="shared" si="26"/>
        <v>0</v>
      </c>
      <c r="X179">
        <f t="shared" si="27"/>
        <v>0</v>
      </c>
      <c r="Y179">
        <v>0</v>
      </c>
    </row>
    <row r="180" spans="1:25" x14ac:dyDescent="0.35">
      <c r="A180" s="1">
        <f>Data!A180</f>
        <v>22586</v>
      </c>
      <c r="B180" s="2">
        <f>IFERROR((Data!B180/Data!B179-1)*100,"")</f>
        <v>0</v>
      </c>
      <c r="C180" s="2">
        <f>IFERROR((Data!C180/Data!C179-1)*100,"")</f>
        <v>1.5504449818223742</v>
      </c>
      <c r="D180">
        <f t="shared" si="20"/>
        <v>1.1188966275693841</v>
      </c>
      <c r="E180">
        <f t="shared" si="21"/>
        <v>4.4533511467381715E-2</v>
      </c>
      <c r="P180" t="str" cm="1">
        <f t="array" ref="P180">_xlfn.IFS(
  AND(D180&gt;0,E180&gt;0),"Expansion",
  AND(D180&lt;0,E180&gt;0),"Slowdown",
  AND(D180&lt;0,E180&lt;0),"Contraction",
  AND(D180&gt;0,E180&lt;0),"Recovery",
  TRUE,"Undefined"
)</f>
        <v>Expansion</v>
      </c>
      <c r="Q180" t="str">
        <f t="shared" si="28"/>
        <v>Expansion</v>
      </c>
      <c r="R180">
        <f t="shared" si="22"/>
        <v>1</v>
      </c>
      <c r="S180">
        <f t="shared" si="23"/>
        <v>1</v>
      </c>
      <c r="T180">
        <f t="shared" si="24"/>
        <v>1</v>
      </c>
      <c r="U180">
        <f t="shared" si="25"/>
        <v>1</v>
      </c>
      <c r="V180" t="str" cm="1">
        <f t="array" ref="V180">_xlfn.IFS(
  AND(S180&gt;0,U180&gt;0),"Expansion",
  AND(S180&lt;0,U180&gt;0),"Slowdown",
  AND(S180&lt;0,U180&lt;0),"Contraction",
  AND(S180&gt;0,U180&lt;0),"Recovery",
  TRUE,"Undefined"
)</f>
        <v>Expansion</v>
      </c>
      <c r="W180">
        <f t="shared" si="26"/>
        <v>0</v>
      </c>
      <c r="X180">
        <f t="shared" si="27"/>
        <v>0</v>
      </c>
      <c r="Y180">
        <v>0</v>
      </c>
    </row>
    <row r="181" spans="1:25" x14ac:dyDescent="0.35">
      <c r="A181" s="1">
        <f>Data!A181</f>
        <v>22616</v>
      </c>
      <c r="B181" s="2">
        <f>IFERROR((Data!B181/Data!B180-1)*100,"")</f>
        <v>0.10006671114075605</v>
      </c>
      <c r="C181" s="2">
        <f>IFERROR((Data!C181/Data!C180-1)*100,"")</f>
        <v>0.87232612199608095</v>
      </c>
      <c r="D181">
        <f t="shared" si="20"/>
        <v>1.4472134681415172</v>
      </c>
      <c r="E181">
        <f t="shared" si="21"/>
        <v>3.3355570380252018E-2</v>
      </c>
      <c r="P181" t="str" cm="1">
        <f t="array" ref="P181">_xlfn.IFS(
  AND(D181&gt;0,E181&gt;0),"Expansion",
  AND(D181&lt;0,E181&gt;0),"Slowdown",
  AND(D181&lt;0,E181&lt;0),"Contraction",
  AND(D181&gt;0,E181&lt;0),"Recovery",
  TRUE,"Undefined"
)</f>
        <v>Expansion</v>
      </c>
      <c r="Q181" t="str">
        <f t="shared" si="28"/>
        <v>Expansion</v>
      </c>
      <c r="R181">
        <f t="shared" si="22"/>
        <v>1</v>
      </c>
      <c r="S181">
        <f t="shared" si="23"/>
        <v>1</v>
      </c>
      <c r="T181">
        <f t="shared" si="24"/>
        <v>1</v>
      </c>
      <c r="U181">
        <f t="shared" si="25"/>
        <v>1</v>
      </c>
      <c r="V181" t="str" cm="1">
        <f t="array" ref="V181">_xlfn.IFS(
  AND(S181&gt;0,U181&gt;0),"Expansion",
  AND(S181&lt;0,U181&gt;0),"Slowdown",
  AND(S181&lt;0,U181&lt;0),"Contraction",
  AND(S181&gt;0,U181&lt;0),"Recovery",
  TRUE,"Undefined"
)</f>
        <v>Expansion</v>
      </c>
      <c r="W181">
        <f t="shared" si="26"/>
        <v>0</v>
      </c>
      <c r="X181">
        <f t="shared" si="27"/>
        <v>0</v>
      </c>
      <c r="Y181">
        <v>0</v>
      </c>
    </row>
    <row r="182" spans="1:25" x14ac:dyDescent="0.35">
      <c r="A182" s="1">
        <f>Data!A182</f>
        <v>22647</v>
      </c>
      <c r="B182" s="2">
        <f>IFERROR((Data!B182/Data!B181-1)*100,"")</f>
        <v>9.9966677774077084E-2</v>
      </c>
      <c r="C182" s="2">
        <f>IFERROR((Data!C182/Data!C181-1)*100,"")</f>
        <v>-0.86518387666614238</v>
      </c>
      <c r="D182">
        <f t="shared" si="20"/>
        <v>0.51919574238410426</v>
      </c>
      <c r="E182">
        <f t="shared" si="21"/>
        <v>6.6677796304944373E-2</v>
      </c>
      <c r="P182" t="str" cm="1">
        <f t="array" ref="P182">_xlfn.IFS(
  AND(D182&gt;0,E182&gt;0),"Expansion",
  AND(D182&lt;0,E182&gt;0),"Slowdown",
  AND(D182&lt;0,E182&lt;0),"Contraction",
  AND(D182&gt;0,E182&lt;0),"Recovery",
  TRUE,"Undefined"
)</f>
        <v>Expansion</v>
      </c>
      <c r="Q182" t="str">
        <f t="shared" si="28"/>
        <v>Expansion</v>
      </c>
      <c r="R182">
        <f t="shared" si="22"/>
        <v>1</v>
      </c>
      <c r="S182">
        <f t="shared" si="23"/>
        <v>1</v>
      </c>
      <c r="T182">
        <f t="shared" si="24"/>
        <v>1</v>
      </c>
      <c r="U182">
        <f t="shared" si="25"/>
        <v>1</v>
      </c>
      <c r="V182" t="str" cm="1">
        <f t="array" ref="V182">_xlfn.IFS(
  AND(S182&gt;0,U182&gt;0),"Expansion",
  AND(S182&lt;0,U182&gt;0),"Slowdown",
  AND(S182&lt;0,U182&lt;0),"Contraction",
  AND(S182&gt;0,U182&lt;0),"Recovery",
  TRUE,"Undefined"
)</f>
        <v>Expansion</v>
      </c>
      <c r="W182">
        <f t="shared" si="26"/>
        <v>0</v>
      </c>
      <c r="X182">
        <f t="shared" si="27"/>
        <v>0</v>
      </c>
      <c r="Y182">
        <v>0</v>
      </c>
    </row>
    <row r="183" spans="1:25" x14ac:dyDescent="0.35">
      <c r="A183" s="1">
        <f>Data!A183</f>
        <v>22678</v>
      </c>
      <c r="B183" s="2">
        <f>IFERROR((Data!B183/Data!B182-1)*100,"")</f>
        <v>0.23302263648468102</v>
      </c>
      <c r="C183" s="2">
        <f>IFERROR((Data!C183/Data!C182-1)*100,"")</f>
        <v>1.6357193479801468</v>
      </c>
      <c r="D183">
        <f t="shared" si="20"/>
        <v>0.54762053110336184</v>
      </c>
      <c r="E183">
        <f t="shared" si="21"/>
        <v>0.14435200846650473</v>
      </c>
      <c r="P183" t="str" cm="1">
        <f t="array" ref="P183">_xlfn.IFS(
  AND(D183&gt;0,E183&gt;0),"Expansion",
  AND(D183&lt;0,E183&gt;0),"Slowdown",
  AND(D183&lt;0,E183&lt;0),"Contraction",
  AND(D183&gt;0,E183&lt;0),"Recovery",
  TRUE,"Undefined"
)</f>
        <v>Expansion</v>
      </c>
      <c r="Q183" t="str">
        <f t="shared" si="28"/>
        <v>Expansion</v>
      </c>
      <c r="R183">
        <f t="shared" si="22"/>
        <v>1</v>
      </c>
      <c r="S183">
        <f t="shared" si="23"/>
        <v>1</v>
      </c>
      <c r="T183">
        <f t="shared" si="24"/>
        <v>1</v>
      </c>
      <c r="U183">
        <f t="shared" si="25"/>
        <v>1</v>
      </c>
      <c r="V183" t="str" cm="1">
        <f t="array" ref="V183">_xlfn.IFS(
  AND(S183&gt;0,U183&gt;0),"Expansion",
  AND(S183&lt;0,U183&gt;0),"Slowdown",
  AND(S183&lt;0,U183&lt;0),"Contraction",
  AND(S183&gt;0,U183&lt;0),"Recovery",
  TRUE,"Undefined"
)</f>
        <v>Expansion</v>
      </c>
      <c r="W183">
        <f t="shared" si="26"/>
        <v>0</v>
      </c>
      <c r="X183">
        <f t="shared" si="27"/>
        <v>0</v>
      </c>
      <c r="Y183">
        <v>0</v>
      </c>
    </row>
    <row r="184" spans="1:25" x14ac:dyDescent="0.35">
      <c r="A184" s="1">
        <f>Data!A184</f>
        <v>22706</v>
      </c>
      <c r="B184" s="2">
        <f>IFERROR((Data!B184/Data!B183-1)*100,"")</f>
        <v>0.19926934573231136</v>
      </c>
      <c r="C184" s="2">
        <f>IFERROR((Data!C184/Data!C183-1)*100,"")</f>
        <v>0.53673036770214289</v>
      </c>
      <c r="D184">
        <f t="shared" si="20"/>
        <v>0.43575527967204913</v>
      </c>
      <c r="E184">
        <f t="shared" si="21"/>
        <v>0.1774195533303565</v>
      </c>
      <c r="P184" t="str" cm="1">
        <f t="array" ref="P184">_xlfn.IFS(
  AND(D184&gt;0,E184&gt;0),"Expansion",
  AND(D184&lt;0,E184&gt;0),"Slowdown",
  AND(D184&lt;0,E184&lt;0),"Contraction",
  AND(D184&gt;0,E184&lt;0),"Recovery",
  TRUE,"Undefined"
)</f>
        <v>Expansion</v>
      </c>
      <c r="Q184" t="str">
        <f t="shared" si="28"/>
        <v>Expansion</v>
      </c>
      <c r="R184">
        <f t="shared" si="22"/>
        <v>1</v>
      </c>
      <c r="S184">
        <f t="shared" si="23"/>
        <v>1</v>
      </c>
      <c r="T184">
        <f t="shared" si="24"/>
        <v>1</v>
      </c>
      <c r="U184">
        <f t="shared" si="25"/>
        <v>1</v>
      </c>
      <c r="V184" t="str" cm="1">
        <f t="array" ref="V184">_xlfn.IFS(
  AND(S184&gt;0,U184&gt;0),"Expansion",
  AND(S184&lt;0,U184&gt;0),"Slowdown",
  AND(S184&lt;0,U184&lt;0),"Contraction",
  AND(S184&gt;0,U184&lt;0),"Recovery",
  TRUE,"Undefined"
)</f>
        <v>Expansion</v>
      </c>
      <c r="W184">
        <f t="shared" si="26"/>
        <v>0</v>
      </c>
      <c r="X184">
        <f t="shared" si="27"/>
        <v>0</v>
      </c>
      <c r="Y184">
        <v>0</v>
      </c>
    </row>
    <row r="185" spans="1:25" x14ac:dyDescent="0.35">
      <c r="A185" s="1">
        <f>Data!A185</f>
        <v>22737</v>
      </c>
      <c r="B185" s="2">
        <f>IFERROR((Data!B185/Data!B184-1)*100,"")</f>
        <v>0.13258203513424327</v>
      </c>
      <c r="C185" s="2">
        <f>IFERROR((Data!C185/Data!C184-1)*100,"")</f>
        <v>0.21362524820558448</v>
      </c>
      <c r="D185">
        <f t="shared" si="20"/>
        <v>0.79535832129595807</v>
      </c>
      <c r="E185">
        <f t="shared" si="21"/>
        <v>0.18829133911707854</v>
      </c>
      <c r="P185" t="str" cm="1">
        <f t="array" ref="P185">_xlfn.IFS(
  AND(D185&gt;0,E185&gt;0),"Expansion",
  AND(D185&lt;0,E185&gt;0),"Slowdown",
  AND(D185&lt;0,E185&lt;0),"Contraction",
  AND(D185&gt;0,E185&lt;0),"Recovery",
  TRUE,"Undefined"
)</f>
        <v>Expansion</v>
      </c>
      <c r="Q185" t="str">
        <f t="shared" si="28"/>
        <v>Expansion</v>
      </c>
      <c r="R185">
        <f t="shared" si="22"/>
        <v>1</v>
      </c>
      <c r="S185">
        <f t="shared" si="23"/>
        <v>1</v>
      </c>
      <c r="T185">
        <f t="shared" si="24"/>
        <v>1</v>
      </c>
      <c r="U185">
        <f t="shared" si="25"/>
        <v>1</v>
      </c>
      <c r="V185" t="str" cm="1">
        <f t="array" ref="V185">_xlfn.IFS(
  AND(S185&gt;0,U185&gt;0),"Expansion",
  AND(S185&lt;0,U185&gt;0),"Slowdown",
  AND(S185&lt;0,U185&lt;0),"Contraction",
  AND(S185&gt;0,U185&lt;0),"Recovery",
  TRUE,"Undefined"
)</f>
        <v>Expansion</v>
      </c>
      <c r="W185">
        <f t="shared" si="26"/>
        <v>0</v>
      </c>
      <c r="X185">
        <f t="shared" si="27"/>
        <v>0</v>
      </c>
      <c r="Y185">
        <v>0</v>
      </c>
    </row>
    <row r="186" spans="1:25" x14ac:dyDescent="0.35">
      <c r="A186" s="1">
        <f>Data!A186</f>
        <v>22767</v>
      </c>
      <c r="B186" s="2">
        <f>IFERROR((Data!B186/Data!B185-1)*100,"")</f>
        <v>9.930486593843213E-2</v>
      </c>
      <c r="C186" s="2">
        <f>IFERROR((Data!C186/Data!C185-1)*100,"")</f>
        <v>-0.10678267747676884</v>
      </c>
      <c r="D186">
        <f t="shared" si="20"/>
        <v>0.2145243128103195</v>
      </c>
      <c r="E186">
        <f t="shared" si="21"/>
        <v>0.14371874893499559</v>
      </c>
      <c r="P186" t="str" cm="1">
        <f t="array" ref="P186">_xlfn.IFS(
  AND(D186&gt;0,E186&gt;0),"Expansion",
  AND(D186&lt;0,E186&gt;0),"Slowdown",
  AND(D186&lt;0,E186&lt;0),"Contraction",
  AND(D186&gt;0,E186&lt;0),"Recovery",
  TRUE,"Undefined"
)</f>
        <v>Expansion</v>
      </c>
      <c r="Q186" t="str">
        <f t="shared" si="28"/>
        <v>Expansion</v>
      </c>
      <c r="R186">
        <f t="shared" si="22"/>
        <v>1</v>
      </c>
      <c r="S186">
        <f t="shared" si="23"/>
        <v>1</v>
      </c>
      <c r="T186">
        <f t="shared" si="24"/>
        <v>1</v>
      </c>
      <c r="U186">
        <f t="shared" si="25"/>
        <v>1</v>
      </c>
      <c r="V186" t="str" cm="1">
        <f t="array" ref="V186">_xlfn.IFS(
  AND(S186&gt;0,U186&gt;0),"Expansion",
  AND(S186&lt;0,U186&gt;0),"Slowdown",
  AND(S186&lt;0,U186&lt;0),"Contraction",
  AND(S186&gt;0,U186&lt;0),"Recovery",
  TRUE,"Undefined"
)</f>
        <v>Expansion</v>
      </c>
      <c r="W186">
        <f t="shared" si="26"/>
        <v>0</v>
      </c>
      <c r="X186">
        <f t="shared" si="27"/>
        <v>0</v>
      </c>
      <c r="Y186">
        <v>0</v>
      </c>
    </row>
    <row r="187" spans="1:25" x14ac:dyDescent="0.35">
      <c r="A187" s="1">
        <f>Data!A187</f>
        <v>22798</v>
      </c>
      <c r="B187" s="2">
        <f>IFERROR((Data!B187/Data!B186-1)*100,"")</f>
        <v>-9.9206349206337752E-2</v>
      </c>
      <c r="C187" s="2">
        <f>IFERROR((Data!C187/Data!C186-1)*100,"")</f>
        <v>-0.21300182120516098</v>
      </c>
      <c r="D187">
        <f t="shared" si="20"/>
        <v>-3.5386416825448443E-2</v>
      </c>
      <c r="E187">
        <f t="shared" si="21"/>
        <v>4.4226850622112547E-2</v>
      </c>
      <c r="P187" t="str" cm="1">
        <f t="array" ref="P187">_xlfn.IFS(
  AND(D187&gt;0,E187&gt;0),"Expansion",
  AND(D187&lt;0,E187&gt;0),"Slowdown",
  AND(D187&lt;0,E187&lt;0),"Contraction",
  AND(D187&gt;0,E187&lt;0),"Recovery",
  TRUE,"Undefined"
)</f>
        <v>Slowdown</v>
      </c>
      <c r="Q187" t="str">
        <f t="shared" si="28"/>
        <v>Expansion</v>
      </c>
      <c r="R187">
        <f t="shared" si="22"/>
        <v>1</v>
      </c>
      <c r="S187">
        <f t="shared" si="23"/>
        <v>1</v>
      </c>
      <c r="T187">
        <f t="shared" si="24"/>
        <v>1</v>
      </c>
      <c r="U187">
        <f t="shared" si="25"/>
        <v>1</v>
      </c>
      <c r="V187" t="str" cm="1">
        <f t="array" ref="V187">_xlfn.IFS(
  AND(S187&gt;0,U187&gt;0),"Expansion",
  AND(S187&lt;0,U187&gt;0),"Slowdown",
  AND(S187&lt;0,U187&lt;0),"Contraction",
  AND(S187&gt;0,U187&lt;0),"Recovery",
  TRUE,"Undefined"
)</f>
        <v>Expansion</v>
      </c>
      <c r="W187">
        <f t="shared" si="26"/>
        <v>0</v>
      </c>
      <c r="X187">
        <f t="shared" si="27"/>
        <v>0</v>
      </c>
      <c r="Y187">
        <v>0</v>
      </c>
    </row>
    <row r="188" spans="1:25" x14ac:dyDescent="0.35">
      <c r="A188" s="1">
        <f>Data!A188</f>
        <v>22828</v>
      </c>
      <c r="B188" s="2">
        <f>IFERROR((Data!B188/Data!B187-1)*100,"")</f>
        <v>3.3101621979469975E-2</v>
      </c>
      <c r="C188" s="2">
        <f>IFERROR((Data!C188/Data!C187-1)*100,"")</f>
        <v>0.96134771188929324</v>
      </c>
      <c r="D188">
        <f t="shared" si="20"/>
        <v>0.21385440440245448</v>
      </c>
      <c r="E188">
        <f t="shared" si="21"/>
        <v>1.1066712903854784E-2</v>
      </c>
      <c r="P188" t="str" cm="1">
        <f t="array" ref="P188">_xlfn.IFS(
  AND(D188&gt;0,E188&gt;0),"Expansion",
  AND(D188&lt;0,E188&gt;0),"Slowdown",
  AND(D188&lt;0,E188&lt;0),"Contraction",
  AND(D188&gt;0,E188&lt;0),"Recovery",
  TRUE,"Undefined"
)</f>
        <v>Expansion</v>
      </c>
      <c r="Q188" t="str">
        <f t="shared" si="28"/>
        <v>Expansion</v>
      </c>
      <c r="R188">
        <f t="shared" si="22"/>
        <v>1</v>
      </c>
      <c r="S188">
        <f t="shared" si="23"/>
        <v>1</v>
      </c>
      <c r="T188">
        <f t="shared" si="24"/>
        <v>1</v>
      </c>
      <c r="U188">
        <f t="shared" si="25"/>
        <v>1</v>
      </c>
      <c r="V188" t="str" cm="1">
        <f t="array" ref="V188">_xlfn.IFS(
  AND(S188&gt;0,U188&gt;0),"Expansion",
  AND(S188&lt;0,U188&gt;0),"Slowdown",
  AND(S188&lt;0,U188&lt;0),"Contraction",
  AND(S188&gt;0,U188&lt;0),"Recovery",
  TRUE,"Undefined"
)</f>
        <v>Expansion</v>
      </c>
      <c r="W188">
        <f t="shared" si="26"/>
        <v>0</v>
      </c>
      <c r="X188">
        <f t="shared" si="27"/>
        <v>0</v>
      </c>
      <c r="Y188">
        <v>0</v>
      </c>
    </row>
    <row r="189" spans="1:25" x14ac:dyDescent="0.35">
      <c r="A189" s="1">
        <f>Data!A189</f>
        <v>22859</v>
      </c>
      <c r="B189" s="2">
        <f>IFERROR((Data!B189/Data!B188-1)*100,"")</f>
        <v>0.19854401058903015</v>
      </c>
      <c r="C189" s="2">
        <f>IFERROR((Data!C189/Data!C188-1)*100,"")</f>
        <v>0.10571198396636117</v>
      </c>
      <c r="D189">
        <f t="shared" si="20"/>
        <v>0.28468595821683113</v>
      </c>
      <c r="E189">
        <f t="shared" si="21"/>
        <v>4.4146427787387456E-2</v>
      </c>
      <c r="P189" t="str" cm="1">
        <f t="array" ref="P189">_xlfn.IFS(
  AND(D189&gt;0,E189&gt;0),"Expansion",
  AND(D189&lt;0,E189&gt;0),"Slowdown",
  AND(D189&lt;0,E189&lt;0),"Contraction",
  AND(D189&gt;0,E189&lt;0),"Recovery",
  TRUE,"Undefined"
)</f>
        <v>Expansion</v>
      </c>
      <c r="Q189" t="str">
        <f t="shared" si="28"/>
        <v>Expansion</v>
      </c>
      <c r="R189">
        <f t="shared" si="22"/>
        <v>1</v>
      </c>
      <c r="S189">
        <f t="shared" si="23"/>
        <v>1</v>
      </c>
      <c r="T189">
        <f t="shared" si="24"/>
        <v>1</v>
      </c>
      <c r="U189">
        <f t="shared" si="25"/>
        <v>1</v>
      </c>
      <c r="V189" t="str" cm="1">
        <f t="array" ref="V189">_xlfn.IFS(
  AND(S189&gt;0,U189&gt;0),"Expansion",
  AND(S189&lt;0,U189&gt;0),"Slowdown",
  AND(S189&lt;0,U189&lt;0),"Contraction",
  AND(S189&gt;0,U189&lt;0),"Recovery",
  TRUE,"Undefined"
)</f>
        <v>Expansion</v>
      </c>
      <c r="W189">
        <f t="shared" si="26"/>
        <v>0</v>
      </c>
      <c r="X189">
        <f t="shared" si="27"/>
        <v>0</v>
      </c>
      <c r="Y189">
        <v>0</v>
      </c>
    </row>
    <row r="190" spans="1:25" x14ac:dyDescent="0.35">
      <c r="A190" s="1">
        <f>Data!A190</f>
        <v>22890</v>
      </c>
      <c r="B190" s="2">
        <f>IFERROR((Data!B190/Data!B189-1)*100,"")</f>
        <v>0.46235138705417178</v>
      </c>
      <c r="C190" s="2">
        <f>IFERROR((Data!C190/Data!C189-1)*100,"")</f>
        <v>0.63438724316344786</v>
      </c>
      <c r="D190">
        <f t="shared" si="20"/>
        <v>0.56714897967303413</v>
      </c>
      <c r="E190">
        <f t="shared" si="21"/>
        <v>0.23133233987422397</v>
      </c>
      <c r="P190" t="str" cm="1">
        <f t="array" ref="P190">_xlfn.IFS(
  AND(D190&gt;0,E190&gt;0),"Expansion",
  AND(D190&lt;0,E190&gt;0),"Slowdown",
  AND(D190&lt;0,E190&lt;0),"Contraction",
  AND(D190&gt;0,E190&lt;0),"Recovery",
  TRUE,"Undefined"
)</f>
        <v>Expansion</v>
      </c>
      <c r="Q190" t="str">
        <f t="shared" si="28"/>
        <v>Expansion</v>
      </c>
      <c r="R190">
        <f t="shared" si="22"/>
        <v>1</v>
      </c>
      <c r="S190">
        <f t="shared" si="23"/>
        <v>1</v>
      </c>
      <c r="T190">
        <f t="shared" si="24"/>
        <v>1</v>
      </c>
      <c r="U190">
        <f t="shared" si="25"/>
        <v>1</v>
      </c>
      <c r="V190" t="str" cm="1">
        <f t="array" ref="V190">_xlfn.IFS(
  AND(S190&gt;0,U190&gt;0),"Expansion",
  AND(S190&lt;0,U190&gt;0),"Slowdown",
  AND(S190&lt;0,U190&lt;0),"Contraction",
  AND(S190&gt;0,U190&lt;0),"Recovery",
  TRUE,"Undefined"
)</f>
        <v>Expansion</v>
      </c>
      <c r="W190">
        <f t="shared" si="26"/>
        <v>0</v>
      </c>
      <c r="X190">
        <f t="shared" si="27"/>
        <v>0</v>
      </c>
      <c r="Y190">
        <v>0</v>
      </c>
    </row>
    <row r="191" spans="1:25" x14ac:dyDescent="0.35">
      <c r="A191" s="1">
        <f>Data!A191</f>
        <v>22920</v>
      </c>
      <c r="B191" s="2">
        <f>IFERROR((Data!B191/Data!B190-1)*100,"")</f>
        <v>-0.13149243918475495</v>
      </c>
      <c r="C191" s="2">
        <f>IFERROR((Data!C191/Data!C190-1)*100,"")</f>
        <v>0.10493465964500626</v>
      </c>
      <c r="D191">
        <f t="shared" si="20"/>
        <v>0.28167796225827174</v>
      </c>
      <c r="E191">
        <f t="shared" si="21"/>
        <v>0.17646765281948232</v>
      </c>
      <c r="P191" t="str" cm="1">
        <f t="array" ref="P191">_xlfn.IFS(
  AND(D191&gt;0,E191&gt;0),"Expansion",
  AND(D191&lt;0,E191&gt;0),"Slowdown",
  AND(D191&lt;0,E191&lt;0),"Contraction",
  AND(D191&gt;0,E191&lt;0),"Recovery",
  TRUE,"Undefined"
)</f>
        <v>Expansion</v>
      </c>
      <c r="Q191" t="str">
        <f t="shared" si="28"/>
        <v>Expansion</v>
      </c>
      <c r="R191">
        <f t="shared" si="22"/>
        <v>1</v>
      </c>
      <c r="S191">
        <f t="shared" si="23"/>
        <v>1</v>
      </c>
      <c r="T191">
        <f t="shared" si="24"/>
        <v>1</v>
      </c>
      <c r="U191">
        <f t="shared" si="25"/>
        <v>1</v>
      </c>
      <c r="V191" t="str" cm="1">
        <f t="array" ref="V191">_xlfn.IFS(
  AND(S191&gt;0,U191&gt;0),"Expansion",
  AND(S191&lt;0,U191&gt;0),"Slowdown",
  AND(S191&lt;0,U191&lt;0),"Contraction",
  AND(S191&gt;0,U191&lt;0),"Recovery",
  TRUE,"Undefined"
)</f>
        <v>Expansion</v>
      </c>
      <c r="W191">
        <f t="shared" si="26"/>
        <v>0</v>
      </c>
      <c r="X191">
        <f t="shared" si="27"/>
        <v>0</v>
      </c>
      <c r="Y191">
        <v>0</v>
      </c>
    </row>
    <row r="192" spans="1:25" x14ac:dyDescent="0.35">
      <c r="A192" s="1">
        <f>Data!A192</f>
        <v>22951</v>
      </c>
      <c r="B192" s="2">
        <f>IFERROR((Data!B192/Data!B191-1)*100,"")</f>
        <v>0</v>
      </c>
      <c r="C192" s="2">
        <f>IFERROR((Data!C192/Data!C191-1)*100,"")</f>
        <v>0.41968833172914</v>
      </c>
      <c r="D192">
        <f t="shared" si="20"/>
        <v>0.38633674484586472</v>
      </c>
      <c r="E192">
        <f t="shared" si="21"/>
        <v>0.11028631595647227</v>
      </c>
      <c r="P192" t="str" cm="1">
        <f t="array" ref="P192">_xlfn.IFS(
  AND(D192&gt;0,E192&gt;0),"Expansion",
  AND(D192&lt;0,E192&gt;0),"Slowdown",
  AND(D192&lt;0,E192&lt;0),"Contraction",
  AND(D192&gt;0,E192&lt;0),"Recovery",
  TRUE,"Undefined"
)</f>
        <v>Expansion</v>
      </c>
      <c r="Q192" t="str">
        <f t="shared" si="28"/>
        <v>Expansion</v>
      </c>
      <c r="R192">
        <f t="shared" si="22"/>
        <v>1</v>
      </c>
      <c r="S192">
        <f t="shared" si="23"/>
        <v>1</v>
      </c>
      <c r="T192">
        <f t="shared" si="24"/>
        <v>1</v>
      </c>
      <c r="U192">
        <f t="shared" si="25"/>
        <v>1</v>
      </c>
      <c r="V192" t="str" cm="1">
        <f t="array" ref="V192">_xlfn.IFS(
  AND(S192&gt;0,U192&gt;0),"Expansion",
  AND(S192&lt;0,U192&gt;0),"Slowdown",
  AND(S192&lt;0,U192&lt;0),"Contraction",
  AND(S192&gt;0,U192&lt;0),"Recovery",
  TRUE,"Undefined"
)</f>
        <v>Expansion</v>
      </c>
      <c r="W192">
        <f t="shared" si="26"/>
        <v>0</v>
      </c>
      <c r="X192">
        <f t="shared" si="27"/>
        <v>0</v>
      </c>
      <c r="Y192">
        <v>0</v>
      </c>
    </row>
    <row r="193" spans="1:25" x14ac:dyDescent="0.35">
      <c r="A193" s="1">
        <f>Data!A193</f>
        <v>22981</v>
      </c>
      <c r="B193" s="2">
        <f>IFERROR((Data!B193/Data!B192-1)*100,"")</f>
        <v>0</v>
      </c>
      <c r="C193" s="2">
        <f>IFERROR((Data!C193/Data!C192-1)*100,"")</f>
        <v>0</v>
      </c>
      <c r="D193">
        <f t="shared" si="20"/>
        <v>0.17487433045804876</v>
      </c>
      <c r="E193">
        <f t="shared" si="21"/>
        <v>-4.3830813061584983E-2</v>
      </c>
      <c r="P193" t="str" cm="1">
        <f t="array" ref="P193">_xlfn.IFS(
  AND(D193&gt;0,E193&gt;0),"Expansion",
  AND(D193&lt;0,E193&gt;0),"Slowdown",
  AND(D193&lt;0,E193&lt;0),"Contraction",
  AND(D193&gt;0,E193&lt;0),"Recovery",
  TRUE,"Undefined"
)</f>
        <v>Recovery</v>
      </c>
      <c r="Q193" t="str">
        <f t="shared" si="28"/>
        <v>Expansion</v>
      </c>
      <c r="R193">
        <f t="shared" si="22"/>
        <v>1</v>
      </c>
      <c r="S193">
        <f t="shared" si="23"/>
        <v>1</v>
      </c>
      <c r="T193">
        <f t="shared" si="24"/>
        <v>-1</v>
      </c>
      <c r="U193">
        <f t="shared" si="25"/>
        <v>-1</v>
      </c>
      <c r="V193" t="str" cm="1">
        <f t="array" ref="V193">_xlfn.IFS(
  AND(S193&gt;0,U193&gt;0),"Expansion",
  AND(S193&lt;0,U193&gt;0),"Slowdown",
  AND(S193&lt;0,U193&lt;0),"Contraction",
  AND(S193&gt;0,U193&lt;0),"Recovery",
  TRUE,"Undefined"
)</f>
        <v>Recovery</v>
      </c>
      <c r="W193">
        <f t="shared" si="26"/>
        <v>0</v>
      </c>
      <c r="X193">
        <f t="shared" si="27"/>
        <v>0</v>
      </c>
      <c r="Y193">
        <v>0</v>
      </c>
    </row>
    <row r="194" spans="1:25" x14ac:dyDescent="0.35">
      <c r="A194" s="1">
        <f>Data!A194</f>
        <v>23012</v>
      </c>
      <c r="B194" s="2">
        <f>IFERROR((Data!B194/Data!B193-1)*100,"")</f>
        <v>0.19749835418039208</v>
      </c>
      <c r="C194" s="2">
        <f>IFERROR((Data!C194/Data!C193-1)*100,"")</f>
        <v>0.73148205637652008</v>
      </c>
      <c r="D194">
        <f t="shared" si="20"/>
        <v>0.38372346270188668</v>
      </c>
      <c r="E194">
        <f t="shared" si="21"/>
        <v>6.5832784726797364E-2</v>
      </c>
      <c r="P194" t="str" cm="1">
        <f t="array" ref="P194">_xlfn.IFS(
  AND(D194&gt;0,E194&gt;0),"Expansion",
  AND(D194&lt;0,E194&gt;0),"Slowdown",
  AND(D194&lt;0,E194&lt;0),"Contraction",
  AND(D194&gt;0,E194&lt;0),"Recovery",
  TRUE,"Undefined"
)</f>
        <v>Expansion</v>
      </c>
      <c r="Q194" t="str">
        <f t="shared" si="28"/>
        <v>Expansion</v>
      </c>
      <c r="R194">
        <f t="shared" si="22"/>
        <v>1</v>
      </c>
      <c r="S194">
        <f t="shared" si="23"/>
        <v>1</v>
      </c>
      <c r="T194">
        <f t="shared" si="24"/>
        <v>1</v>
      </c>
      <c r="U194">
        <f t="shared" si="25"/>
        <v>1</v>
      </c>
      <c r="V194" t="str" cm="1">
        <f t="array" ref="V194">_xlfn.IFS(
  AND(S194&gt;0,U194&gt;0),"Expansion",
  AND(S194&lt;0,U194&gt;0),"Slowdown",
  AND(S194&lt;0,U194&lt;0),"Contraction",
  AND(S194&gt;0,U194&lt;0),"Recovery",
  TRUE,"Undefined"
)</f>
        <v>Expansion</v>
      </c>
      <c r="W194">
        <f t="shared" si="26"/>
        <v>0</v>
      </c>
      <c r="X194">
        <f t="shared" si="27"/>
        <v>0</v>
      </c>
      <c r="Y194">
        <v>0</v>
      </c>
    </row>
    <row r="195" spans="1:25" x14ac:dyDescent="0.35">
      <c r="A195" s="1">
        <f>Data!A195</f>
        <v>23043</v>
      </c>
      <c r="B195" s="2">
        <f>IFERROR((Data!B195/Data!B194-1)*100,"")</f>
        <v>0.13140604467805073</v>
      </c>
      <c r="C195" s="2">
        <f>IFERROR((Data!C195/Data!C194-1)*100,"")</f>
        <v>1.1414548830615434</v>
      </c>
      <c r="D195">
        <f t="shared" si="20"/>
        <v>0.6243123131460212</v>
      </c>
      <c r="E195">
        <f t="shared" si="21"/>
        <v>0.10963479961948093</v>
      </c>
      <c r="P195" t="str" cm="1">
        <f t="array" ref="P195">_xlfn.IFS(
  AND(D195&gt;0,E195&gt;0),"Expansion",
  AND(D195&lt;0,E195&gt;0),"Slowdown",
  AND(D195&lt;0,E195&lt;0),"Contraction",
  AND(D195&gt;0,E195&lt;0),"Recovery",
  TRUE,"Undefined"
)</f>
        <v>Expansion</v>
      </c>
      <c r="Q195" t="str">
        <f t="shared" si="28"/>
        <v>Expansion</v>
      </c>
      <c r="R195">
        <f t="shared" si="22"/>
        <v>1</v>
      </c>
      <c r="S195">
        <f t="shared" si="23"/>
        <v>1</v>
      </c>
      <c r="T195">
        <f t="shared" si="24"/>
        <v>1</v>
      </c>
      <c r="U195">
        <f t="shared" si="25"/>
        <v>1</v>
      </c>
      <c r="V195" t="str" cm="1">
        <f t="array" ref="V195">_xlfn.IFS(
  AND(S195&gt;0,U195&gt;0),"Expansion",
  AND(S195&lt;0,U195&gt;0),"Slowdown",
  AND(S195&lt;0,U195&lt;0),"Contraction",
  AND(S195&gt;0,U195&lt;0),"Recovery",
  TRUE,"Undefined"
)</f>
        <v>Expansion</v>
      </c>
      <c r="W195">
        <f t="shared" si="26"/>
        <v>0</v>
      </c>
      <c r="X195">
        <f t="shared" si="27"/>
        <v>0</v>
      </c>
      <c r="Y195">
        <v>0</v>
      </c>
    </row>
    <row r="196" spans="1:25" x14ac:dyDescent="0.35">
      <c r="A196" s="1">
        <f>Data!A196</f>
        <v>23071</v>
      </c>
      <c r="B196" s="2">
        <f>IFERROR((Data!B196/Data!B195-1)*100,"")</f>
        <v>9.8425196850393526E-2</v>
      </c>
      <c r="C196" s="2">
        <f>IFERROR((Data!C196/Data!C195-1)*100,"")</f>
        <v>0.61513498689742541</v>
      </c>
      <c r="D196">
        <f t="shared" si="20"/>
        <v>0.82935730877849634</v>
      </c>
      <c r="E196">
        <f t="shared" si="21"/>
        <v>0.1424431985696121</v>
      </c>
      <c r="P196" t="str" cm="1">
        <f t="array" ref="P196">_xlfn.IFS(
  AND(D196&gt;0,E196&gt;0),"Expansion",
  AND(D196&lt;0,E196&gt;0),"Slowdown",
  AND(D196&lt;0,E196&lt;0),"Contraction",
  AND(D196&gt;0,E196&lt;0),"Recovery",
  TRUE,"Undefined"
)</f>
        <v>Expansion</v>
      </c>
      <c r="Q196" t="str">
        <f t="shared" si="28"/>
        <v>Expansion</v>
      </c>
      <c r="R196">
        <f t="shared" si="22"/>
        <v>1</v>
      </c>
      <c r="S196">
        <f t="shared" si="23"/>
        <v>1</v>
      </c>
      <c r="T196">
        <f t="shared" si="24"/>
        <v>1</v>
      </c>
      <c r="U196">
        <f t="shared" si="25"/>
        <v>1</v>
      </c>
      <c r="V196" t="str" cm="1">
        <f t="array" ref="V196">_xlfn.IFS(
  AND(S196&gt;0,U196&gt;0),"Expansion",
  AND(S196&lt;0,U196&gt;0),"Slowdown",
  AND(S196&lt;0,U196&lt;0),"Contraction",
  AND(S196&gt;0,U196&lt;0),"Recovery",
  TRUE,"Undefined"
)</f>
        <v>Expansion</v>
      </c>
      <c r="W196">
        <f t="shared" si="26"/>
        <v>0</v>
      </c>
      <c r="X196">
        <f t="shared" si="27"/>
        <v>0</v>
      </c>
      <c r="Y196">
        <v>0</v>
      </c>
    </row>
    <row r="197" spans="1:25" x14ac:dyDescent="0.35">
      <c r="A197" s="1">
        <f>Data!A197</f>
        <v>23102</v>
      </c>
      <c r="B197" s="2">
        <f>IFERROR((Data!B197/Data!B196-1)*100,"")</f>
        <v>-9.8328416912496497E-2</v>
      </c>
      <c r="C197" s="2">
        <f>IFERROR((Data!C197/Data!C196-1)*100,"")</f>
        <v>0.91725059528542374</v>
      </c>
      <c r="D197">
        <f t="shared" ref="D197:D260" si="29">SUM(C195:C197)/3</f>
        <v>0.89128015508146419</v>
      </c>
      <c r="E197">
        <f t="shared" ref="E197:E260" si="30">SUM(B195:B197)/3</f>
        <v>4.3834274871982583E-2</v>
      </c>
      <c r="P197" t="str" cm="1">
        <f t="array" ref="P197">_xlfn.IFS(
  AND(D197&gt;0,E197&gt;0),"Expansion",
  AND(D197&lt;0,E197&gt;0),"Slowdown",
  AND(D197&lt;0,E197&lt;0),"Contraction",
  AND(D197&gt;0,E197&lt;0),"Recovery",
  TRUE,"Undefined"
)</f>
        <v>Expansion</v>
      </c>
      <c r="Q197" t="str">
        <f t="shared" si="28"/>
        <v>Expansion</v>
      </c>
      <c r="R197">
        <f t="shared" si="22"/>
        <v>1</v>
      </c>
      <c r="S197">
        <f t="shared" si="23"/>
        <v>1</v>
      </c>
      <c r="T197">
        <f t="shared" si="24"/>
        <v>1</v>
      </c>
      <c r="U197">
        <f t="shared" si="25"/>
        <v>1</v>
      </c>
      <c r="V197" t="str" cm="1">
        <f t="array" ref="V197">_xlfn.IFS(
  AND(S197&gt;0,U197&gt;0),"Expansion",
  AND(S197&lt;0,U197&gt;0),"Slowdown",
  AND(S197&lt;0,U197&lt;0),"Contraction",
  AND(S197&gt;0,U197&lt;0),"Recovery",
  TRUE,"Undefined"
)</f>
        <v>Expansion</v>
      </c>
      <c r="W197">
        <f t="shared" si="26"/>
        <v>0</v>
      </c>
      <c r="X197">
        <f t="shared" si="27"/>
        <v>0</v>
      </c>
      <c r="Y197">
        <v>0</v>
      </c>
    </row>
    <row r="198" spans="1:25" x14ac:dyDescent="0.35">
      <c r="A198" s="1">
        <f>Data!A198</f>
        <v>23132</v>
      </c>
      <c r="B198" s="2">
        <f>IFERROR((Data!B198/Data!B197-1)*100,"")</f>
        <v>9.8425196850393526E-2</v>
      </c>
      <c r="C198" s="2">
        <f>IFERROR((Data!C198/Data!C197-1)*100,"")</f>
        <v>1.2123849322159819</v>
      </c>
      <c r="D198">
        <f t="shared" si="29"/>
        <v>0.91492350479961038</v>
      </c>
      <c r="E198">
        <f t="shared" si="30"/>
        <v>3.2840658929430187E-2</v>
      </c>
      <c r="P198" t="str" cm="1">
        <f t="array" ref="P198">_xlfn.IFS(
  AND(D198&gt;0,E198&gt;0),"Expansion",
  AND(D198&lt;0,E198&gt;0),"Slowdown",
  AND(D198&lt;0,E198&lt;0),"Contraction",
  AND(D198&gt;0,E198&lt;0),"Recovery",
  TRUE,"Undefined"
)</f>
        <v>Expansion</v>
      </c>
      <c r="Q198" t="str">
        <f t="shared" si="28"/>
        <v>Expansion</v>
      </c>
      <c r="R198">
        <f t="shared" ref="R198:R261" si="31">IF(D198&gt;-0.26, 1, -1)</f>
        <v>1</v>
      </c>
      <c r="S198">
        <f t="shared" ref="S198:S261" si="32">IF(R198=1, IF(D198 &lt; -$L$5, -1, 1), IF(D198 &gt; $L$5, 1, -1))</f>
        <v>1</v>
      </c>
      <c r="T198">
        <f t="shared" ref="T198:T261" si="33">IF(E198&gt;0, 1, -1)</f>
        <v>1</v>
      </c>
      <c r="U198">
        <f t="shared" ref="U198:U261" si="34">IF(T198=1, IF(E198 &lt; -$M$5, -1, 1), IF(E198 &gt; $M$5, 1, -1))</f>
        <v>1</v>
      </c>
      <c r="V198" t="str" cm="1">
        <f t="array" ref="V198">_xlfn.IFS(
  AND(S198&gt;0,U198&gt;0),"Expansion",
  AND(S198&lt;0,U198&gt;0),"Slowdown",
  AND(S198&lt;0,U198&lt;0),"Contraction",
  AND(S198&gt;0,U198&lt;0),"Recovery",
  TRUE,"Undefined"
)</f>
        <v>Expansion</v>
      </c>
      <c r="W198">
        <f t="shared" ref="W198:W261" si="35">IF(Q198="Contraction", 1, 0)</f>
        <v>0</v>
      </c>
      <c r="X198">
        <f t="shared" ref="X198:X261" si="36">IF(V198="Contraction", 1, 0)</f>
        <v>0</v>
      </c>
      <c r="Y198">
        <v>0</v>
      </c>
    </row>
    <row r="199" spans="1:25" x14ac:dyDescent="0.35">
      <c r="A199" s="1">
        <f>Data!A199</f>
        <v>23163</v>
      </c>
      <c r="B199" s="2">
        <f>IFERROR((Data!B199/Data!B198-1)*100,"")</f>
        <v>0.32776138970829205</v>
      </c>
      <c r="C199" s="2">
        <f>IFERROR((Data!C199/Data!C198-1)*100,"")</f>
        <v>0.29946555775459682</v>
      </c>
      <c r="D199">
        <f t="shared" si="29"/>
        <v>0.80970036175200077</v>
      </c>
      <c r="E199">
        <f t="shared" si="30"/>
        <v>0.10928605654872969</v>
      </c>
      <c r="P199" t="str" cm="1">
        <f t="array" ref="P199">_xlfn.IFS(
  AND(D199&gt;0,E199&gt;0),"Expansion",
  AND(D199&lt;0,E199&gt;0),"Slowdown",
  AND(D199&lt;0,E199&lt;0),"Contraction",
  AND(D199&gt;0,E199&lt;0),"Recovery",
  TRUE,"Undefined"
)</f>
        <v>Expansion</v>
      </c>
      <c r="Q199" t="str">
        <f t="shared" si="28"/>
        <v>Expansion</v>
      </c>
      <c r="R199">
        <f t="shared" si="31"/>
        <v>1</v>
      </c>
      <c r="S199">
        <f t="shared" si="32"/>
        <v>1</v>
      </c>
      <c r="T199">
        <f t="shared" si="33"/>
        <v>1</v>
      </c>
      <c r="U199">
        <f t="shared" si="34"/>
        <v>1</v>
      </c>
      <c r="V199" t="str" cm="1">
        <f t="array" ref="V199">_xlfn.IFS(
  AND(S199&gt;0,U199&gt;0),"Expansion",
  AND(S199&lt;0,U199&gt;0),"Slowdown",
  AND(S199&lt;0,U199&lt;0),"Contraction",
  AND(S199&gt;0,U199&lt;0),"Recovery",
  TRUE,"Undefined"
)</f>
        <v>Expansion</v>
      </c>
      <c r="W199">
        <f t="shared" si="35"/>
        <v>0</v>
      </c>
      <c r="X199">
        <f t="shared" si="36"/>
        <v>0</v>
      </c>
      <c r="Y199">
        <v>0</v>
      </c>
    </row>
    <row r="200" spans="1:25" x14ac:dyDescent="0.35">
      <c r="A200" s="1">
        <f>Data!A200</f>
        <v>23193</v>
      </c>
      <c r="B200" s="2">
        <f>IFERROR((Data!B200/Data!B199-1)*100,"")</f>
        <v>0.26135249918328718</v>
      </c>
      <c r="C200" s="2">
        <f>IFERROR((Data!C200/Data!C199-1)*100,"")</f>
        <v>-0.39797207913622179</v>
      </c>
      <c r="D200">
        <f t="shared" si="29"/>
        <v>0.37129280361145228</v>
      </c>
      <c r="E200">
        <f t="shared" si="30"/>
        <v>0.22917969524732426</v>
      </c>
      <c r="P200" t="str" cm="1">
        <f t="array" ref="P200">_xlfn.IFS(
  AND(D200&gt;0,E200&gt;0),"Expansion",
  AND(D200&lt;0,E200&gt;0),"Slowdown",
  AND(D200&lt;0,E200&lt;0),"Contraction",
  AND(D200&gt;0,E200&lt;0),"Recovery",
  TRUE,"Undefined"
)</f>
        <v>Expansion</v>
      </c>
      <c r="Q200" t="str">
        <f t="shared" ref="Q200:Q263" si="37">IF(AND(P200=P199, P199=P198), P200, Q199)</f>
        <v>Expansion</v>
      </c>
      <c r="R200">
        <f t="shared" si="31"/>
        <v>1</v>
      </c>
      <c r="S200">
        <f t="shared" si="32"/>
        <v>1</v>
      </c>
      <c r="T200">
        <f t="shared" si="33"/>
        <v>1</v>
      </c>
      <c r="U200">
        <f t="shared" si="34"/>
        <v>1</v>
      </c>
      <c r="V200" t="str" cm="1">
        <f t="array" ref="V200">_xlfn.IFS(
  AND(S200&gt;0,U200&gt;0),"Expansion",
  AND(S200&lt;0,U200&gt;0),"Slowdown",
  AND(S200&lt;0,U200&lt;0),"Contraction",
  AND(S200&gt;0,U200&lt;0),"Recovery",
  TRUE,"Undefined"
)</f>
        <v>Expansion</v>
      </c>
      <c r="W200">
        <f t="shared" si="35"/>
        <v>0</v>
      </c>
      <c r="X200">
        <f t="shared" si="36"/>
        <v>0</v>
      </c>
      <c r="Y200">
        <v>0</v>
      </c>
    </row>
    <row r="201" spans="1:25" x14ac:dyDescent="0.35">
      <c r="A201" s="1">
        <f>Data!A201</f>
        <v>23224</v>
      </c>
      <c r="B201" s="2">
        <f>IFERROR((Data!B201/Data!B200-1)*100,"")</f>
        <v>0.19550342130987275</v>
      </c>
      <c r="C201" s="2">
        <f>IFERROR((Data!C201/Data!C200-1)*100,"")</f>
        <v>0.19959561483240407</v>
      </c>
      <c r="D201">
        <f t="shared" si="29"/>
        <v>3.3696364483593033E-2</v>
      </c>
      <c r="E201">
        <f t="shared" si="30"/>
        <v>0.26153910340048397</v>
      </c>
      <c r="P201" t="str" cm="1">
        <f t="array" ref="P201">_xlfn.IFS(
  AND(D201&gt;0,E201&gt;0),"Expansion",
  AND(D201&lt;0,E201&gt;0),"Slowdown",
  AND(D201&lt;0,E201&lt;0),"Contraction",
  AND(D201&gt;0,E201&lt;0),"Recovery",
  TRUE,"Undefined"
)</f>
        <v>Expansion</v>
      </c>
      <c r="Q201" t="str">
        <f t="shared" si="37"/>
        <v>Expansion</v>
      </c>
      <c r="R201">
        <f t="shared" si="31"/>
        <v>1</v>
      </c>
      <c r="S201">
        <f t="shared" si="32"/>
        <v>1</v>
      </c>
      <c r="T201">
        <f t="shared" si="33"/>
        <v>1</v>
      </c>
      <c r="U201">
        <f t="shared" si="34"/>
        <v>1</v>
      </c>
      <c r="V201" t="str" cm="1">
        <f t="array" ref="V201">_xlfn.IFS(
  AND(S201&gt;0,U201&gt;0),"Expansion",
  AND(S201&lt;0,U201&gt;0),"Slowdown",
  AND(S201&lt;0,U201&lt;0),"Contraction",
  AND(S201&gt;0,U201&lt;0),"Recovery",
  TRUE,"Undefined"
)</f>
        <v>Expansion</v>
      </c>
      <c r="W201">
        <f t="shared" si="35"/>
        <v>0</v>
      </c>
      <c r="X201">
        <f t="shared" si="36"/>
        <v>0</v>
      </c>
      <c r="Y201">
        <v>0</v>
      </c>
    </row>
    <row r="202" spans="1:25" x14ac:dyDescent="0.35">
      <c r="A202" s="1">
        <f>Data!A202</f>
        <v>23255</v>
      </c>
      <c r="B202" s="2">
        <f>IFERROR((Data!B202/Data!B201-1)*100,"")</f>
        <v>-9.7560975609756184E-2</v>
      </c>
      <c r="C202" s="2">
        <f>IFERROR((Data!C202/Data!C201-1)*100,"")</f>
        <v>0.99710089120752521</v>
      </c>
      <c r="D202">
        <f t="shared" si="29"/>
        <v>0.26624147563456918</v>
      </c>
      <c r="E202">
        <f t="shared" si="30"/>
        <v>0.11976498162780125</v>
      </c>
      <c r="P202" t="str" cm="1">
        <f t="array" ref="P202">_xlfn.IFS(
  AND(D202&gt;0,E202&gt;0),"Expansion",
  AND(D202&lt;0,E202&gt;0),"Slowdown",
  AND(D202&lt;0,E202&lt;0),"Contraction",
  AND(D202&gt;0,E202&lt;0),"Recovery",
  TRUE,"Undefined"
)</f>
        <v>Expansion</v>
      </c>
      <c r="Q202" t="str">
        <f t="shared" si="37"/>
        <v>Expansion</v>
      </c>
      <c r="R202">
        <f t="shared" si="31"/>
        <v>1</v>
      </c>
      <c r="S202">
        <f t="shared" si="32"/>
        <v>1</v>
      </c>
      <c r="T202">
        <f t="shared" si="33"/>
        <v>1</v>
      </c>
      <c r="U202">
        <f t="shared" si="34"/>
        <v>1</v>
      </c>
      <c r="V202" t="str" cm="1">
        <f t="array" ref="V202">_xlfn.IFS(
  AND(S202&gt;0,U202&gt;0),"Expansion",
  AND(S202&lt;0,U202&gt;0),"Slowdown",
  AND(S202&lt;0,U202&lt;0),"Contraction",
  AND(S202&gt;0,U202&lt;0),"Recovery",
  TRUE,"Undefined"
)</f>
        <v>Expansion</v>
      </c>
      <c r="W202">
        <f t="shared" si="35"/>
        <v>0</v>
      </c>
      <c r="X202">
        <f t="shared" si="36"/>
        <v>0</v>
      </c>
      <c r="Y202">
        <v>0</v>
      </c>
    </row>
    <row r="203" spans="1:25" x14ac:dyDescent="0.35">
      <c r="A203" s="1">
        <f>Data!A203</f>
        <v>23285</v>
      </c>
      <c r="B203" s="2">
        <f>IFERROR((Data!B203/Data!B202-1)*100,"")</f>
        <v>9.765625E-2</v>
      </c>
      <c r="C203" s="2">
        <f>IFERROR((Data!C203/Data!C202-1)*100,"")</f>
        <v>0.6910432002815492</v>
      </c>
      <c r="D203">
        <f t="shared" si="29"/>
        <v>0.62924656877382612</v>
      </c>
      <c r="E203">
        <f t="shared" si="30"/>
        <v>6.5199565233372184E-2</v>
      </c>
      <c r="P203" t="str" cm="1">
        <f t="array" ref="P203">_xlfn.IFS(
  AND(D203&gt;0,E203&gt;0),"Expansion",
  AND(D203&lt;0,E203&gt;0),"Slowdown",
  AND(D203&lt;0,E203&lt;0),"Contraction",
  AND(D203&gt;0,E203&lt;0),"Recovery",
  TRUE,"Undefined"
)</f>
        <v>Expansion</v>
      </c>
      <c r="Q203" t="str">
        <f t="shared" si="37"/>
        <v>Expansion</v>
      </c>
      <c r="R203">
        <f t="shared" si="31"/>
        <v>1</v>
      </c>
      <c r="S203">
        <f t="shared" si="32"/>
        <v>1</v>
      </c>
      <c r="T203">
        <f t="shared" si="33"/>
        <v>1</v>
      </c>
      <c r="U203">
        <f t="shared" si="34"/>
        <v>1</v>
      </c>
      <c r="V203" t="str" cm="1">
        <f t="array" ref="V203">_xlfn.IFS(
  AND(S203&gt;0,U203&gt;0),"Expansion",
  AND(S203&lt;0,U203&gt;0),"Slowdown",
  AND(S203&lt;0,U203&lt;0),"Contraction",
  AND(S203&gt;0,U203&lt;0),"Recovery",
  TRUE,"Undefined"
)</f>
        <v>Expansion</v>
      </c>
      <c r="W203">
        <f t="shared" si="35"/>
        <v>0</v>
      </c>
      <c r="X203">
        <f t="shared" si="36"/>
        <v>0</v>
      </c>
      <c r="Y203">
        <v>0</v>
      </c>
    </row>
    <row r="204" spans="1:25" x14ac:dyDescent="0.35">
      <c r="A204" s="1">
        <f>Data!A204</f>
        <v>23316</v>
      </c>
      <c r="B204" s="2">
        <f>IFERROR((Data!B204/Data!B203-1)*100,"")</f>
        <v>9.7560975609756184E-2</v>
      </c>
      <c r="C204" s="2">
        <f>IFERROR((Data!C204/Data!C203-1)*100,"")</f>
        <v>0.49005865412270477</v>
      </c>
      <c r="D204">
        <f t="shared" si="29"/>
        <v>0.72606758187059306</v>
      </c>
      <c r="E204">
        <f t="shared" si="30"/>
        <v>3.2552083333333336E-2</v>
      </c>
      <c r="P204" t="str" cm="1">
        <f t="array" ref="P204">_xlfn.IFS(
  AND(D204&gt;0,E204&gt;0),"Expansion",
  AND(D204&lt;0,E204&gt;0),"Slowdown",
  AND(D204&lt;0,E204&lt;0),"Contraction",
  AND(D204&gt;0,E204&lt;0),"Recovery",
  TRUE,"Undefined"
)</f>
        <v>Expansion</v>
      </c>
      <c r="Q204" t="str">
        <f t="shared" si="37"/>
        <v>Expansion</v>
      </c>
      <c r="R204">
        <f t="shared" si="31"/>
        <v>1</v>
      </c>
      <c r="S204">
        <f t="shared" si="32"/>
        <v>1</v>
      </c>
      <c r="T204">
        <f t="shared" si="33"/>
        <v>1</v>
      </c>
      <c r="U204">
        <f t="shared" si="34"/>
        <v>1</v>
      </c>
      <c r="V204" t="str" cm="1">
        <f t="array" ref="V204">_xlfn.IFS(
  AND(S204&gt;0,U204&gt;0),"Expansion",
  AND(S204&lt;0,U204&gt;0),"Slowdown",
  AND(S204&lt;0,U204&lt;0),"Contraction",
  AND(S204&gt;0,U204&lt;0),"Recovery",
  TRUE,"Undefined"
)</f>
        <v>Expansion</v>
      </c>
      <c r="W204">
        <f t="shared" si="35"/>
        <v>0</v>
      </c>
      <c r="X204">
        <f t="shared" si="36"/>
        <v>0</v>
      </c>
      <c r="Y204">
        <v>0</v>
      </c>
    </row>
    <row r="205" spans="1:25" x14ac:dyDescent="0.35">
      <c r="A205" s="1">
        <f>Data!A205</f>
        <v>23346</v>
      </c>
      <c r="B205" s="2">
        <f>IFERROR((Data!B205/Data!B204-1)*100,"")</f>
        <v>0.32488628979856493</v>
      </c>
      <c r="C205" s="2">
        <f>IFERROR((Data!C205/Data!C204-1)*100,"")</f>
        <v>-0.19492259254293431</v>
      </c>
      <c r="D205">
        <f t="shared" si="29"/>
        <v>0.32872642062043989</v>
      </c>
      <c r="E205">
        <f t="shared" si="30"/>
        <v>0.17336783846944037</v>
      </c>
      <c r="P205" t="str" cm="1">
        <f t="array" ref="P205">_xlfn.IFS(
  AND(D205&gt;0,E205&gt;0),"Expansion",
  AND(D205&lt;0,E205&gt;0),"Slowdown",
  AND(D205&lt;0,E205&lt;0),"Contraction",
  AND(D205&gt;0,E205&lt;0),"Recovery",
  TRUE,"Undefined"
)</f>
        <v>Expansion</v>
      </c>
      <c r="Q205" t="str">
        <f t="shared" si="37"/>
        <v>Expansion</v>
      </c>
      <c r="R205">
        <f t="shared" si="31"/>
        <v>1</v>
      </c>
      <c r="S205">
        <f t="shared" si="32"/>
        <v>1</v>
      </c>
      <c r="T205">
        <f t="shared" si="33"/>
        <v>1</v>
      </c>
      <c r="U205">
        <f t="shared" si="34"/>
        <v>1</v>
      </c>
      <c r="V205" t="str" cm="1">
        <f t="array" ref="V205">_xlfn.IFS(
  AND(S205&gt;0,U205&gt;0),"Expansion",
  AND(S205&lt;0,U205&gt;0),"Slowdown",
  AND(S205&lt;0,U205&lt;0),"Contraction",
  AND(S205&gt;0,U205&lt;0),"Recovery",
  TRUE,"Undefined"
)</f>
        <v>Expansion</v>
      </c>
      <c r="W205">
        <f t="shared" si="35"/>
        <v>0</v>
      </c>
      <c r="X205">
        <f t="shared" si="36"/>
        <v>0</v>
      </c>
      <c r="Y205">
        <v>0</v>
      </c>
    </row>
    <row r="206" spans="1:25" x14ac:dyDescent="0.35">
      <c r="A206" s="1">
        <f>Data!A206</f>
        <v>23377</v>
      </c>
      <c r="B206" s="2">
        <f>IFERROR((Data!B206/Data!B205-1)*100,"")</f>
        <v>0.19430051813471572</v>
      </c>
      <c r="C206" s="2">
        <f>IFERROR((Data!C206/Data!C205-1)*100,"")</f>
        <v>0.87959080695105829</v>
      </c>
      <c r="D206">
        <f t="shared" si="29"/>
        <v>0.39157562284360958</v>
      </c>
      <c r="E206">
        <f t="shared" si="30"/>
        <v>0.2055825945143456</v>
      </c>
      <c r="P206" t="str" cm="1">
        <f t="array" ref="P206">_xlfn.IFS(
  AND(D206&gt;0,E206&gt;0),"Expansion",
  AND(D206&lt;0,E206&gt;0),"Slowdown",
  AND(D206&lt;0,E206&lt;0),"Contraction",
  AND(D206&gt;0,E206&lt;0),"Recovery",
  TRUE,"Undefined"
)</f>
        <v>Expansion</v>
      </c>
      <c r="Q206" t="str">
        <f t="shared" si="37"/>
        <v>Expansion</v>
      </c>
      <c r="R206">
        <f t="shared" si="31"/>
        <v>1</v>
      </c>
      <c r="S206">
        <f t="shared" si="32"/>
        <v>1</v>
      </c>
      <c r="T206">
        <f t="shared" si="33"/>
        <v>1</v>
      </c>
      <c r="U206">
        <f t="shared" si="34"/>
        <v>1</v>
      </c>
      <c r="V206" t="str" cm="1">
        <f t="array" ref="V206">_xlfn.IFS(
  AND(S206&gt;0,U206&gt;0),"Expansion",
  AND(S206&lt;0,U206&gt;0),"Slowdown",
  AND(S206&lt;0,U206&lt;0),"Contraction",
  AND(S206&gt;0,U206&lt;0),"Recovery",
  TRUE,"Undefined"
)</f>
        <v>Expansion</v>
      </c>
      <c r="W206">
        <f t="shared" si="35"/>
        <v>0</v>
      </c>
      <c r="X206">
        <f t="shared" si="36"/>
        <v>0</v>
      </c>
      <c r="Y206">
        <v>0</v>
      </c>
    </row>
    <row r="207" spans="1:25" x14ac:dyDescent="0.35">
      <c r="A207" s="1">
        <f>Data!A207</f>
        <v>23408</v>
      </c>
      <c r="B207" s="2">
        <f>IFERROR((Data!B207/Data!B206-1)*100,"")</f>
        <v>-9.6961861667743676E-2</v>
      </c>
      <c r="C207" s="2">
        <f>IFERROR((Data!C207/Data!C206-1)*100,"")</f>
        <v>0.67832107437419964</v>
      </c>
      <c r="D207">
        <f t="shared" si="29"/>
        <v>0.45432976292744121</v>
      </c>
      <c r="E207">
        <f t="shared" si="30"/>
        <v>0.140741648755179</v>
      </c>
      <c r="P207" t="str" cm="1">
        <f t="array" ref="P207">_xlfn.IFS(
  AND(D207&gt;0,E207&gt;0),"Expansion",
  AND(D207&lt;0,E207&gt;0),"Slowdown",
  AND(D207&lt;0,E207&lt;0),"Contraction",
  AND(D207&gt;0,E207&lt;0),"Recovery",
  TRUE,"Undefined"
)</f>
        <v>Expansion</v>
      </c>
      <c r="Q207" t="str">
        <f t="shared" si="37"/>
        <v>Expansion</v>
      </c>
      <c r="R207">
        <f t="shared" si="31"/>
        <v>1</v>
      </c>
      <c r="S207">
        <f t="shared" si="32"/>
        <v>1</v>
      </c>
      <c r="T207">
        <f t="shared" si="33"/>
        <v>1</v>
      </c>
      <c r="U207">
        <f t="shared" si="34"/>
        <v>1</v>
      </c>
      <c r="V207" t="str" cm="1">
        <f t="array" ref="V207">_xlfn.IFS(
  AND(S207&gt;0,U207&gt;0),"Expansion",
  AND(S207&lt;0,U207&gt;0),"Slowdown",
  AND(S207&lt;0,U207&lt;0),"Contraction",
  AND(S207&gt;0,U207&lt;0),"Recovery",
  TRUE,"Undefined"
)</f>
        <v>Expansion</v>
      </c>
      <c r="W207">
        <f t="shared" si="35"/>
        <v>0</v>
      </c>
      <c r="X207">
        <f t="shared" si="36"/>
        <v>0</v>
      </c>
      <c r="Y207">
        <v>0</v>
      </c>
    </row>
    <row r="208" spans="1:25" x14ac:dyDescent="0.35">
      <c r="A208" s="1">
        <f>Data!A208</f>
        <v>23437</v>
      </c>
      <c r="B208" s="2">
        <f>IFERROR((Data!B208/Data!B207-1)*100,"")</f>
        <v>9.7055968942094673E-2</v>
      </c>
      <c r="C208" s="2">
        <f>IFERROR((Data!C208/Data!C207-1)*100,"")</f>
        <v>0</v>
      </c>
      <c r="D208">
        <f t="shared" si="29"/>
        <v>0.51930396044175264</v>
      </c>
      <c r="E208">
        <f t="shared" si="30"/>
        <v>6.4798208469688909E-2</v>
      </c>
      <c r="P208" t="str" cm="1">
        <f t="array" ref="P208">_xlfn.IFS(
  AND(D208&gt;0,E208&gt;0),"Expansion",
  AND(D208&lt;0,E208&gt;0),"Slowdown",
  AND(D208&lt;0,E208&lt;0),"Contraction",
  AND(D208&gt;0,E208&lt;0),"Recovery",
  TRUE,"Undefined"
)</f>
        <v>Expansion</v>
      </c>
      <c r="Q208" t="str">
        <f t="shared" si="37"/>
        <v>Expansion</v>
      </c>
      <c r="R208">
        <f t="shared" si="31"/>
        <v>1</v>
      </c>
      <c r="S208">
        <f t="shared" si="32"/>
        <v>1</v>
      </c>
      <c r="T208">
        <f t="shared" si="33"/>
        <v>1</v>
      </c>
      <c r="U208">
        <f t="shared" si="34"/>
        <v>1</v>
      </c>
      <c r="V208" t="str" cm="1">
        <f t="array" ref="V208">_xlfn.IFS(
  AND(S208&gt;0,U208&gt;0),"Expansion",
  AND(S208&lt;0,U208&gt;0),"Slowdown",
  AND(S208&lt;0,U208&lt;0),"Contraction",
  AND(S208&gt;0,U208&lt;0),"Recovery",
  TRUE,"Undefined"
)</f>
        <v>Expansion</v>
      </c>
      <c r="W208">
        <f t="shared" si="35"/>
        <v>0</v>
      </c>
      <c r="X208">
        <f t="shared" si="36"/>
        <v>0</v>
      </c>
      <c r="Y208">
        <v>0</v>
      </c>
    </row>
    <row r="209" spans="1:25" x14ac:dyDescent="0.35">
      <c r="A209" s="1">
        <f>Data!A209</f>
        <v>23468</v>
      </c>
      <c r="B209" s="2">
        <f>IFERROR((Data!B209/Data!B208-1)*100,"")</f>
        <v>3.2320620555914559E-2</v>
      </c>
      <c r="C209" s="2">
        <f>IFERROR((Data!C209/Data!C208-1)*100,"")</f>
        <v>1.6363031986189158</v>
      </c>
      <c r="D209">
        <f t="shared" si="29"/>
        <v>0.77154142433103845</v>
      </c>
      <c r="E209">
        <f t="shared" si="30"/>
        <v>1.0804909276755184E-2</v>
      </c>
      <c r="P209" t="str" cm="1">
        <f t="array" ref="P209">_xlfn.IFS(
  AND(D209&gt;0,E209&gt;0),"Expansion",
  AND(D209&lt;0,E209&gt;0),"Slowdown",
  AND(D209&lt;0,E209&lt;0),"Contraction",
  AND(D209&gt;0,E209&lt;0),"Recovery",
  TRUE,"Undefined"
)</f>
        <v>Expansion</v>
      </c>
      <c r="Q209" t="str">
        <f t="shared" si="37"/>
        <v>Expansion</v>
      </c>
      <c r="R209">
        <f t="shared" si="31"/>
        <v>1</v>
      </c>
      <c r="S209">
        <f t="shared" si="32"/>
        <v>1</v>
      </c>
      <c r="T209">
        <f t="shared" si="33"/>
        <v>1</v>
      </c>
      <c r="U209">
        <f t="shared" si="34"/>
        <v>1</v>
      </c>
      <c r="V209" t="str" cm="1">
        <f t="array" ref="V209">_xlfn.IFS(
  AND(S209&gt;0,U209&gt;0),"Expansion",
  AND(S209&lt;0,U209&gt;0),"Slowdown",
  AND(S209&lt;0,U209&lt;0),"Contraction",
  AND(S209&gt;0,U209&lt;0),"Recovery",
  TRUE,"Undefined"
)</f>
        <v>Expansion</v>
      </c>
      <c r="W209">
        <f t="shared" si="35"/>
        <v>0</v>
      </c>
      <c r="X209">
        <f t="shared" si="36"/>
        <v>0</v>
      </c>
      <c r="Y209">
        <v>0</v>
      </c>
    </row>
    <row r="210" spans="1:25" x14ac:dyDescent="0.35">
      <c r="A210" s="1">
        <f>Data!A210</f>
        <v>23498</v>
      </c>
      <c r="B210" s="2">
        <f>IFERROR((Data!B210/Data!B209-1)*100,"")</f>
        <v>9.6930533117944861E-2</v>
      </c>
      <c r="C210" s="2">
        <f>IFERROR((Data!C210/Data!C209-1)*100,"")</f>
        <v>0.56795203179125231</v>
      </c>
      <c r="D210">
        <f t="shared" si="29"/>
        <v>0.73475174347005601</v>
      </c>
      <c r="E210">
        <f t="shared" si="30"/>
        <v>7.5435707538651364E-2</v>
      </c>
      <c r="P210" t="str" cm="1">
        <f t="array" ref="P210">_xlfn.IFS(
  AND(D210&gt;0,E210&gt;0),"Expansion",
  AND(D210&lt;0,E210&gt;0),"Slowdown",
  AND(D210&lt;0,E210&lt;0),"Contraction",
  AND(D210&gt;0,E210&lt;0),"Recovery",
  TRUE,"Undefined"
)</f>
        <v>Expansion</v>
      </c>
      <c r="Q210" t="str">
        <f t="shared" si="37"/>
        <v>Expansion</v>
      </c>
      <c r="R210">
        <f t="shared" si="31"/>
        <v>1</v>
      </c>
      <c r="S210">
        <f t="shared" si="32"/>
        <v>1</v>
      </c>
      <c r="T210">
        <f t="shared" si="33"/>
        <v>1</v>
      </c>
      <c r="U210">
        <f t="shared" si="34"/>
        <v>1</v>
      </c>
      <c r="V210" t="str" cm="1">
        <f t="array" ref="V210">_xlfn.IFS(
  AND(S210&gt;0,U210&gt;0),"Expansion",
  AND(S210&lt;0,U210&gt;0),"Slowdown",
  AND(S210&lt;0,U210&lt;0),"Contraction",
  AND(S210&gt;0,U210&lt;0),"Recovery",
  TRUE,"Undefined"
)</f>
        <v>Expansion</v>
      </c>
      <c r="W210">
        <f t="shared" si="35"/>
        <v>0</v>
      </c>
      <c r="X210">
        <f t="shared" si="36"/>
        <v>0</v>
      </c>
      <c r="Y210">
        <v>0</v>
      </c>
    </row>
    <row r="211" spans="1:25" x14ac:dyDescent="0.35">
      <c r="A211" s="1">
        <f>Data!A211</f>
        <v>23529</v>
      </c>
      <c r="B211" s="2">
        <f>IFERROR((Data!B211/Data!B210-1)*100,"")</f>
        <v>9.6836668818589544E-2</v>
      </c>
      <c r="C211" s="2">
        <f>IFERROR((Data!C211/Data!C210-1)*100,"")</f>
        <v>0.28254712032731444</v>
      </c>
      <c r="D211">
        <f t="shared" si="29"/>
        <v>0.82893411691249419</v>
      </c>
      <c r="E211">
        <f t="shared" si="30"/>
        <v>7.5362607497482983E-2</v>
      </c>
      <c r="P211" t="str" cm="1">
        <f t="array" ref="P211">_xlfn.IFS(
  AND(D211&gt;0,E211&gt;0),"Expansion",
  AND(D211&lt;0,E211&gt;0),"Slowdown",
  AND(D211&lt;0,E211&lt;0),"Contraction",
  AND(D211&gt;0,E211&lt;0),"Recovery",
  TRUE,"Undefined"
)</f>
        <v>Expansion</v>
      </c>
      <c r="Q211" t="str">
        <f t="shared" si="37"/>
        <v>Expansion</v>
      </c>
      <c r="R211">
        <f t="shared" si="31"/>
        <v>1</v>
      </c>
      <c r="S211">
        <f t="shared" si="32"/>
        <v>1</v>
      </c>
      <c r="T211">
        <f t="shared" si="33"/>
        <v>1</v>
      </c>
      <c r="U211">
        <f t="shared" si="34"/>
        <v>1</v>
      </c>
      <c r="V211" t="str" cm="1">
        <f t="array" ref="V211">_xlfn.IFS(
  AND(S211&gt;0,U211&gt;0),"Expansion",
  AND(S211&lt;0,U211&gt;0),"Slowdown",
  AND(S211&lt;0,U211&lt;0),"Contraction",
  AND(S211&gt;0,U211&lt;0),"Recovery",
  TRUE,"Undefined"
)</f>
        <v>Expansion</v>
      </c>
      <c r="W211">
        <f t="shared" si="35"/>
        <v>0</v>
      </c>
      <c r="X211">
        <f t="shared" si="36"/>
        <v>0</v>
      </c>
      <c r="Y211">
        <v>0</v>
      </c>
    </row>
    <row r="212" spans="1:25" x14ac:dyDescent="0.35">
      <c r="A212" s="1">
        <f>Data!A212</f>
        <v>23559</v>
      </c>
      <c r="B212" s="2">
        <f>IFERROR((Data!B212/Data!B211-1)*100,"")</f>
        <v>3.2247662044504466E-2</v>
      </c>
      <c r="C212" s="2">
        <f>IFERROR((Data!C212/Data!C211-1)*100,"")</f>
        <v>0.65730286144682903</v>
      </c>
      <c r="D212">
        <f t="shared" si="29"/>
        <v>0.5026006711884653</v>
      </c>
      <c r="E212">
        <f t="shared" si="30"/>
        <v>7.5338287993679628E-2</v>
      </c>
      <c r="P212" t="str" cm="1">
        <f t="array" ref="P212">_xlfn.IFS(
  AND(D212&gt;0,E212&gt;0),"Expansion",
  AND(D212&lt;0,E212&gt;0),"Slowdown",
  AND(D212&lt;0,E212&lt;0),"Contraction",
  AND(D212&gt;0,E212&lt;0),"Recovery",
  TRUE,"Undefined"
)</f>
        <v>Expansion</v>
      </c>
      <c r="Q212" t="str">
        <f t="shared" si="37"/>
        <v>Expansion</v>
      </c>
      <c r="R212">
        <f t="shared" si="31"/>
        <v>1</v>
      </c>
      <c r="S212">
        <f t="shared" si="32"/>
        <v>1</v>
      </c>
      <c r="T212">
        <f t="shared" si="33"/>
        <v>1</v>
      </c>
      <c r="U212">
        <f t="shared" si="34"/>
        <v>1</v>
      </c>
      <c r="V212" t="str" cm="1">
        <f t="array" ref="V212">_xlfn.IFS(
  AND(S212&gt;0,U212&gt;0),"Expansion",
  AND(S212&lt;0,U212&gt;0),"Slowdown",
  AND(S212&lt;0,U212&lt;0),"Contraction",
  AND(S212&gt;0,U212&lt;0),"Recovery",
  TRUE,"Undefined"
)</f>
        <v>Expansion</v>
      </c>
      <c r="W212">
        <f t="shared" si="35"/>
        <v>0</v>
      </c>
      <c r="X212">
        <f t="shared" si="36"/>
        <v>0</v>
      </c>
      <c r="Y212">
        <v>0</v>
      </c>
    </row>
    <row r="213" spans="1:25" x14ac:dyDescent="0.35">
      <c r="A213" s="1">
        <f>Data!A213</f>
        <v>23590</v>
      </c>
      <c r="B213" s="2">
        <f>IFERROR((Data!B213/Data!B212-1)*100,"")</f>
        <v>9.6711798839455021E-2</v>
      </c>
      <c r="C213" s="2">
        <f>IFERROR((Data!C213/Data!C212-1)*100,"")</f>
        <v>0.65301060406079969</v>
      </c>
      <c r="D213">
        <f t="shared" si="29"/>
        <v>0.53095352861164768</v>
      </c>
      <c r="E213">
        <f t="shared" si="30"/>
        <v>7.5265376567516348E-2</v>
      </c>
      <c r="P213" t="str" cm="1">
        <f t="array" ref="P213">_xlfn.IFS(
  AND(D213&gt;0,E213&gt;0),"Expansion",
  AND(D213&lt;0,E213&gt;0),"Slowdown",
  AND(D213&lt;0,E213&lt;0),"Contraction",
  AND(D213&gt;0,E213&lt;0),"Recovery",
  TRUE,"Undefined"
)</f>
        <v>Expansion</v>
      </c>
      <c r="Q213" t="str">
        <f t="shared" si="37"/>
        <v>Expansion</v>
      </c>
      <c r="R213">
        <f t="shared" si="31"/>
        <v>1</v>
      </c>
      <c r="S213">
        <f t="shared" si="32"/>
        <v>1</v>
      </c>
      <c r="T213">
        <f t="shared" si="33"/>
        <v>1</v>
      </c>
      <c r="U213">
        <f t="shared" si="34"/>
        <v>1</v>
      </c>
      <c r="V213" t="str" cm="1">
        <f t="array" ref="V213">_xlfn.IFS(
  AND(S213&gt;0,U213&gt;0),"Expansion",
  AND(S213&lt;0,U213&gt;0),"Slowdown",
  AND(S213&lt;0,U213&lt;0),"Contraction",
  AND(S213&gt;0,U213&lt;0),"Recovery",
  TRUE,"Undefined"
)</f>
        <v>Expansion</v>
      </c>
      <c r="W213">
        <f t="shared" si="35"/>
        <v>0</v>
      </c>
      <c r="X213">
        <f t="shared" si="36"/>
        <v>0</v>
      </c>
      <c r="Y213">
        <v>0</v>
      </c>
    </row>
    <row r="214" spans="1:25" x14ac:dyDescent="0.35">
      <c r="A214" s="1">
        <f>Data!A214</f>
        <v>23621</v>
      </c>
      <c r="B214" s="2">
        <f>IFERROR((Data!B214/Data!B213-1)*100,"")</f>
        <v>9.6618357487909812E-2</v>
      </c>
      <c r="C214" s="2">
        <f>IFERROR((Data!C214/Data!C213-1)*100,"")</f>
        <v>0.37067885512893639</v>
      </c>
      <c r="D214">
        <f t="shared" si="29"/>
        <v>0.56033077354552174</v>
      </c>
      <c r="E214">
        <f t="shared" si="30"/>
        <v>7.5192606123956438E-2</v>
      </c>
      <c r="P214" t="str" cm="1">
        <f t="array" ref="P214">_xlfn.IFS(
  AND(D214&gt;0,E214&gt;0),"Expansion",
  AND(D214&lt;0,E214&gt;0),"Slowdown",
  AND(D214&lt;0,E214&lt;0),"Contraction",
  AND(D214&gt;0,E214&lt;0),"Recovery",
  TRUE,"Undefined"
)</f>
        <v>Expansion</v>
      </c>
      <c r="Q214" t="str">
        <f t="shared" si="37"/>
        <v>Expansion</v>
      </c>
      <c r="R214">
        <f t="shared" si="31"/>
        <v>1</v>
      </c>
      <c r="S214">
        <f t="shared" si="32"/>
        <v>1</v>
      </c>
      <c r="T214">
        <f t="shared" si="33"/>
        <v>1</v>
      </c>
      <c r="U214">
        <f t="shared" si="34"/>
        <v>1</v>
      </c>
      <c r="V214" t="str" cm="1">
        <f t="array" ref="V214">_xlfn.IFS(
  AND(S214&gt;0,U214&gt;0),"Expansion",
  AND(S214&lt;0,U214&gt;0),"Slowdown",
  AND(S214&lt;0,U214&lt;0),"Contraction",
  AND(S214&gt;0,U214&lt;0),"Recovery",
  TRUE,"Undefined"
)</f>
        <v>Expansion</v>
      </c>
      <c r="W214">
        <f t="shared" si="35"/>
        <v>0</v>
      </c>
      <c r="X214">
        <f t="shared" si="36"/>
        <v>0</v>
      </c>
      <c r="Y214">
        <v>0</v>
      </c>
    </row>
    <row r="215" spans="1:25" x14ac:dyDescent="0.35">
      <c r="A215" s="1">
        <f>Data!A215</f>
        <v>23651</v>
      </c>
      <c r="B215" s="2">
        <f>IFERROR((Data!B215/Data!B214-1)*100,"")</f>
        <v>0.12870012870014325</v>
      </c>
      <c r="C215" s="2">
        <f>IFERROR((Data!C215/Data!C214-1)*100,"")</f>
        <v>-1.3849978568366894</v>
      </c>
      <c r="D215">
        <f t="shared" si="29"/>
        <v>-0.12043613254898444</v>
      </c>
      <c r="E215">
        <f t="shared" si="30"/>
        <v>0.1073434283425027</v>
      </c>
      <c r="P215" t="str" cm="1">
        <f t="array" ref="P215">_xlfn.IFS(
  AND(D215&gt;0,E215&gt;0),"Expansion",
  AND(D215&lt;0,E215&gt;0),"Slowdown",
  AND(D215&lt;0,E215&lt;0),"Contraction",
  AND(D215&gt;0,E215&lt;0),"Recovery",
  TRUE,"Undefined"
)</f>
        <v>Slowdown</v>
      </c>
      <c r="Q215" t="str">
        <f t="shared" si="37"/>
        <v>Expansion</v>
      </c>
      <c r="R215">
        <f t="shared" si="31"/>
        <v>1</v>
      </c>
      <c r="S215">
        <f t="shared" si="32"/>
        <v>1</v>
      </c>
      <c r="T215">
        <f t="shared" si="33"/>
        <v>1</v>
      </c>
      <c r="U215">
        <f t="shared" si="34"/>
        <v>1</v>
      </c>
      <c r="V215" t="str" cm="1">
        <f t="array" ref="V215">_xlfn.IFS(
  AND(S215&gt;0,U215&gt;0),"Expansion",
  AND(S215&lt;0,U215&gt;0),"Slowdown",
  AND(S215&lt;0,U215&lt;0),"Contraction",
  AND(S215&gt;0,U215&lt;0),"Recovery",
  TRUE,"Undefined"
)</f>
        <v>Expansion</v>
      </c>
      <c r="W215">
        <f t="shared" si="35"/>
        <v>0</v>
      </c>
      <c r="X215">
        <f t="shared" si="36"/>
        <v>0</v>
      </c>
      <c r="Y215">
        <v>0</v>
      </c>
    </row>
    <row r="216" spans="1:25" x14ac:dyDescent="0.35">
      <c r="A216" s="1">
        <f>Data!A216</f>
        <v>23682</v>
      </c>
      <c r="B216" s="2">
        <f>IFERROR((Data!B216/Data!B215-1)*100,"")</f>
        <v>0.28920308483291191</v>
      </c>
      <c r="C216" s="2">
        <f>IFERROR((Data!C216/Data!C215-1)*100,"")</f>
        <v>3.0898583380275735</v>
      </c>
      <c r="D216">
        <f t="shared" si="29"/>
        <v>0.69184644543994012</v>
      </c>
      <c r="E216">
        <f t="shared" si="30"/>
        <v>0.17150719034032166</v>
      </c>
      <c r="P216" t="str" cm="1">
        <f t="array" ref="P216">_xlfn.IFS(
  AND(D216&gt;0,E216&gt;0),"Expansion",
  AND(D216&lt;0,E216&gt;0),"Slowdown",
  AND(D216&lt;0,E216&lt;0),"Contraction",
  AND(D216&gt;0,E216&lt;0),"Recovery",
  TRUE,"Undefined"
)</f>
        <v>Expansion</v>
      </c>
      <c r="Q216" t="str">
        <f t="shared" si="37"/>
        <v>Expansion</v>
      </c>
      <c r="R216">
        <f t="shared" si="31"/>
        <v>1</v>
      </c>
      <c r="S216">
        <f t="shared" si="32"/>
        <v>1</v>
      </c>
      <c r="T216">
        <f t="shared" si="33"/>
        <v>1</v>
      </c>
      <c r="U216">
        <f t="shared" si="34"/>
        <v>1</v>
      </c>
      <c r="V216" t="str" cm="1">
        <f t="array" ref="V216">_xlfn.IFS(
  AND(S216&gt;0,U216&gt;0),"Expansion",
  AND(S216&lt;0,U216&gt;0),"Slowdown",
  AND(S216&lt;0,U216&lt;0),"Contraction",
  AND(S216&gt;0,U216&lt;0),"Recovery",
  TRUE,"Undefined"
)</f>
        <v>Expansion</v>
      </c>
      <c r="W216">
        <f t="shared" si="35"/>
        <v>0</v>
      </c>
      <c r="X216">
        <f t="shared" si="36"/>
        <v>0</v>
      </c>
      <c r="Y216">
        <v>0</v>
      </c>
    </row>
    <row r="217" spans="1:25" x14ac:dyDescent="0.35">
      <c r="A217" s="1">
        <f>Data!A217</f>
        <v>23712</v>
      </c>
      <c r="B217" s="2">
        <f>IFERROR((Data!B217/Data!B216-1)*100,"")</f>
        <v>0.1281640499839698</v>
      </c>
      <c r="C217" s="2">
        <f>IFERROR((Data!C217/Data!C216-1)*100,"")</f>
        <v>1.1808872338703091</v>
      </c>
      <c r="D217">
        <f t="shared" si="29"/>
        <v>0.9619159050203977</v>
      </c>
      <c r="E217">
        <f t="shared" si="30"/>
        <v>0.18202242117234166</v>
      </c>
      <c r="P217" t="str" cm="1">
        <f t="array" ref="P217">_xlfn.IFS(
  AND(D217&gt;0,E217&gt;0),"Expansion",
  AND(D217&lt;0,E217&gt;0),"Slowdown",
  AND(D217&lt;0,E217&lt;0),"Contraction",
  AND(D217&gt;0,E217&lt;0),"Recovery",
  TRUE,"Undefined"
)</f>
        <v>Expansion</v>
      </c>
      <c r="Q217" t="str">
        <f t="shared" si="37"/>
        <v>Expansion</v>
      </c>
      <c r="R217">
        <f t="shared" si="31"/>
        <v>1</v>
      </c>
      <c r="S217">
        <f t="shared" si="32"/>
        <v>1</v>
      </c>
      <c r="T217">
        <f t="shared" si="33"/>
        <v>1</v>
      </c>
      <c r="U217">
        <f t="shared" si="34"/>
        <v>1</v>
      </c>
      <c r="V217" t="str" cm="1">
        <f t="array" ref="V217">_xlfn.IFS(
  AND(S217&gt;0,U217&gt;0),"Expansion",
  AND(S217&lt;0,U217&gt;0),"Slowdown",
  AND(S217&lt;0,U217&lt;0),"Contraction",
  AND(S217&gt;0,U217&lt;0),"Recovery",
  TRUE,"Undefined"
)</f>
        <v>Expansion</v>
      </c>
      <c r="W217">
        <f t="shared" si="35"/>
        <v>0</v>
      </c>
      <c r="X217">
        <f t="shared" si="36"/>
        <v>0</v>
      </c>
      <c r="Y217">
        <v>0</v>
      </c>
    </row>
    <row r="218" spans="1:25" x14ac:dyDescent="0.35">
      <c r="A218" s="1">
        <f>Data!A218</f>
        <v>23743</v>
      </c>
      <c r="B218" s="2">
        <f>IFERROR((Data!B218/Data!B217-1)*100,"")</f>
        <v>9.6000000000007191E-2</v>
      </c>
      <c r="C218" s="2">
        <f>IFERROR((Data!C218/Data!C217-1)*100,"")</f>
        <v>1.0770969387244866</v>
      </c>
      <c r="D218">
        <f t="shared" si="29"/>
        <v>1.7826141702074565</v>
      </c>
      <c r="E218">
        <f t="shared" si="30"/>
        <v>0.17112237827229629</v>
      </c>
      <c r="P218" t="str" cm="1">
        <f t="array" ref="P218">_xlfn.IFS(
  AND(D218&gt;0,E218&gt;0),"Expansion",
  AND(D218&lt;0,E218&gt;0),"Slowdown",
  AND(D218&lt;0,E218&lt;0),"Contraction",
  AND(D218&gt;0,E218&lt;0),"Recovery",
  TRUE,"Undefined"
)</f>
        <v>Expansion</v>
      </c>
      <c r="Q218" t="str">
        <f t="shared" si="37"/>
        <v>Expansion</v>
      </c>
      <c r="R218">
        <f t="shared" si="31"/>
        <v>1</v>
      </c>
      <c r="S218">
        <f t="shared" si="32"/>
        <v>1</v>
      </c>
      <c r="T218">
        <f t="shared" si="33"/>
        <v>1</v>
      </c>
      <c r="U218">
        <f t="shared" si="34"/>
        <v>1</v>
      </c>
      <c r="V218" t="str" cm="1">
        <f t="array" ref="V218">_xlfn.IFS(
  AND(S218&gt;0,U218&gt;0),"Expansion",
  AND(S218&lt;0,U218&gt;0),"Slowdown",
  AND(S218&lt;0,U218&lt;0),"Contraction",
  AND(S218&gt;0,U218&lt;0),"Recovery",
  TRUE,"Undefined"
)</f>
        <v>Expansion</v>
      </c>
      <c r="W218">
        <f t="shared" si="35"/>
        <v>0</v>
      </c>
      <c r="X218">
        <f t="shared" si="36"/>
        <v>0</v>
      </c>
      <c r="Y218">
        <v>0</v>
      </c>
    </row>
    <row r="219" spans="1:25" x14ac:dyDescent="0.35">
      <c r="A219" s="1">
        <f>Data!A219</f>
        <v>23774</v>
      </c>
      <c r="B219" s="2">
        <f>IFERROR((Data!B219/Data!B218-1)*100,"")</f>
        <v>0</v>
      </c>
      <c r="C219" s="2">
        <f>IFERROR((Data!C219/Data!C218-1)*100,"")</f>
        <v>0.62169364520257009</v>
      </c>
      <c r="D219">
        <f t="shared" si="29"/>
        <v>0.95989260593245529</v>
      </c>
      <c r="E219">
        <f t="shared" si="30"/>
        <v>7.4721349994659E-2</v>
      </c>
      <c r="P219" t="str" cm="1">
        <f t="array" ref="P219">_xlfn.IFS(
  AND(D219&gt;0,E219&gt;0),"Expansion",
  AND(D219&lt;0,E219&gt;0),"Slowdown",
  AND(D219&lt;0,E219&lt;0),"Contraction",
  AND(D219&gt;0,E219&lt;0),"Recovery",
  TRUE,"Undefined"
)</f>
        <v>Expansion</v>
      </c>
      <c r="Q219" t="str">
        <f t="shared" si="37"/>
        <v>Expansion</v>
      </c>
      <c r="R219">
        <f t="shared" si="31"/>
        <v>1</v>
      </c>
      <c r="S219">
        <f t="shared" si="32"/>
        <v>1</v>
      </c>
      <c r="T219">
        <f t="shared" si="33"/>
        <v>1</v>
      </c>
      <c r="U219">
        <f t="shared" si="34"/>
        <v>1</v>
      </c>
      <c r="V219" t="str" cm="1">
        <f t="array" ref="V219">_xlfn.IFS(
  AND(S219&gt;0,U219&gt;0),"Expansion",
  AND(S219&lt;0,U219&gt;0),"Slowdown",
  AND(S219&lt;0,U219&lt;0),"Contraction",
  AND(S219&gt;0,U219&lt;0),"Recovery",
  TRUE,"Undefined"
)</f>
        <v>Expansion</v>
      </c>
      <c r="W219">
        <f t="shared" si="35"/>
        <v>0</v>
      </c>
      <c r="X219">
        <f t="shared" si="36"/>
        <v>0</v>
      </c>
      <c r="Y219">
        <v>0</v>
      </c>
    </row>
    <row r="220" spans="1:25" x14ac:dyDescent="0.35">
      <c r="A220" s="1">
        <f>Data!A220</f>
        <v>23802</v>
      </c>
      <c r="B220" s="2">
        <f>IFERROR((Data!B220/Data!B219-1)*100,"")</f>
        <v>9.5907928388738739E-2</v>
      </c>
      <c r="C220" s="2">
        <f>IFERROR((Data!C220/Data!C219-1)*100,"")</f>
        <v>1.323875983729339</v>
      </c>
      <c r="D220">
        <f t="shared" si="29"/>
        <v>1.007555522552132</v>
      </c>
      <c r="E220">
        <f t="shared" si="30"/>
        <v>6.3969309462915305E-2</v>
      </c>
      <c r="P220" t="str" cm="1">
        <f t="array" ref="P220">_xlfn.IFS(
  AND(D220&gt;0,E220&gt;0),"Expansion",
  AND(D220&lt;0,E220&gt;0),"Slowdown",
  AND(D220&lt;0,E220&lt;0),"Contraction",
  AND(D220&gt;0,E220&lt;0),"Recovery",
  TRUE,"Undefined"
)</f>
        <v>Expansion</v>
      </c>
      <c r="Q220" t="str">
        <f t="shared" si="37"/>
        <v>Expansion</v>
      </c>
      <c r="R220">
        <f t="shared" si="31"/>
        <v>1</v>
      </c>
      <c r="S220">
        <f t="shared" si="32"/>
        <v>1</v>
      </c>
      <c r="T220">
        <f t="shared" si="33"/>
        <v>1</v>
      </c>
      <c r="U220">
        <f t="shared" si="34"/>
        <v>1</v>
      </c>
      <c r="V220" t="str" cm="1">
        <f t="array" ref="V220">_xlfn.IFS(
  AND(S220&gt;0,U220&gt;0),"Expansion",
  AND(S220&lt;0,U220&gt;0),"Slowdown",
  AND(S220&lt;0,U220&lt;0),"Contraction",
  AND(S220&gt;0,U220&lt;0),"Recovery",
  TRUE,"Undefined"
)</f>
        <v>Expansion</v>
      </c>
      <c r="W220">
        <f t="shared" si="35"/>
        <v>0</v>
      </c>
      <c r="X220">
        <f t="shared" si="36"/>
        <v>0</v>
      </c>
      <c r="Y220">
        <v>0</v>
      </c>
    </row>
    <row r="221" spans="1:25" x14ac:dyDescent="0.35">
      <c r="A221" s="1">
        <f>Data!A221</f>
        <v>23833</v>
      </c>
      <c r="B221" s="2">
        <f>IFERROR((Data!B221/Data!B220-1)*100,"")</f>
        <v>0.2235707441711865</v>
      </c>
      <c r="C221" s="2">
        <f>IFERROR((Data!C221/Data!C220-1)*100,"")</f>
        <v>0.43541833803473207</v>
      </c>
      <c r="D221">
        <f t="shared" si="29"/>
        <v>0.79366265565554706</v>
      </c>
      <c r="E221">
        <f t="shared" si="30"/>
        <v>0.10649289085330842</v>
      </c>
      <c r="P221" t="str" cm="1">
        <f t="array" ref="P221">_xlfn.IFS(
  AND(D221&gt;0,E221&gt;0),"Expansion",
  AND(D221&lt;0,E221&gt;0),"Slowdown",
  AND(D221&lt;0,E221&lt;0),"Contraction",
  AND(D221&gt;0,E221&lt;0),"Recovery",
  TRUE,"Undefined"
)</f>
        <v>Expansion</v>
      </c>
      <c r="Q221" t="str">
        <f t="shared" si="37"/>
        <v>Expansion</v>
      </c>
      <c r="R221">
        <f t="shared" si="31"/>
        <v>1</v>
      </c>
      <c r="S221">
        <f t="shared" si="32"/>
        <v>1</v>
      </c>
      <c r="T221">
        <f t="shared" si="33"/>
        <v>1</v>
      </c>
      <c r="U221">
        <f t="shared" si="34"/>
        <v>1</v>
      </c>
      <c r="V221" t="str" cm="1">
        <f t="array" ref="V221">_xlfn.IFS(
  AND(S221&gt;0,U221&gt;0),"Expansion",
  AND(S221&lt;0,U221&gt;0),"Slowdown",
  AND(S221&lt;0,U221&lt;0),"Contraction",
  AND(S221&gt;0,U221&lt;0),"Recovery",
  TRUE,"Undefined"
)</f>
        <v>Expansion</v>
      </c>
      <c r="W221">
        <f t="shared" si="35"/>
        <v>0</v>
      </c>
      <c r="X221">
        <f t="shared" si="36"/>
        <v>0</v>
      </c>
      <c r="Y221">
        <v>0</v>
      </c>
    </row>
    <row r="222" spans="1:25" x14ac:dyDescent="0.35">
      <c r="A222" s="1">
        <f>Data!A222</f>
        <v>23863</v>
      </c>
      <c r="B222" s="2">
        <f>IFERROR((Data!B222/Data!B221-1)*100,"")</f>
        <v>0.31867431485022024</v>
      </c>
      <c r="C222" s="2">
        <f>IFERROR((Data!C222/Data!C221-1)*100,"")</f>
        <v>0.78074170461939207</v>
      </c>
      <c r="D222">
        <f t="shared" si="29"/>
        <v>0.84667867546115438</v>
      </c>
      <c r="E222">
        <f t="shared" si="30"/>
        <v>0.2127176624700485</v>
      </c>
      <c r="P222" t="str" cm="1">
        <f t="array" ref="P222">_xlfn.IFS(
  AND(D222&gt;0,E222&gt;0),"Expansion",
  AND(D222&lt;0,E222&gt;0),"Slowdown",
  AND(D222&lt;0,E222&lt;0),"Contraction",
  AND(D222&gt;0,E222&lt;0),"Recovery",
  TRUE,"Undefined"
)</f>
        <v>Expansion</v>
      </c>
      <c r="Q222" t="str">
        <f t="shared" si="37"/>
        <v>Expansion</v>
      </c>
      <c r="R222">
        <f t="shared" si="31"/>
        <v>1</v>
      </c>
      <c r="S222">
        <f t="shared" si="32"/>
        <v>1</v>
      </c>
      <c r="T222">
        <f t="shared" si="33"/>
        <v>1</v>
      </c>
      <c r="U222">
        <f t="shared" si="34"/>
        <v>1</v>
      </c>
      <c r="V222" t="str" cm="1">
        <f t="array" ref="V222">_xlfn.IFS(
  AND(S222&gt;0,U222&gt;0),"Expansion",
  AND(S222&lt;0,U222&gt;0),"Slowdown",
  AND(S222&lt;0,U222&lt;0),"Contraction",
  AND(S222&gt;0,U222&lt;0),"Recovery",
  TRUE,"Undefined"
)</f>
        <v>Expansion</v>
      </c>
      <c r="W222">
        <f t="shared" si="35"/>
        <v>0</v>
      </c>
      <c r="X222">
        <f t="shared" si="36"/>
        <v>0</v>
      </c>
      <c r="Y222">
        <v>0</v>
      </c>
    </row>
    <row r="223" spans="1:25" x14ac:dyDescent="0.35">
      <c r="A223" s="1">
        <f>Data!A223</f>
        <v>23894</v>
      </c>
      <c r="B223" s="2">
        <f>IFERROR((Data!B223/Data!B222-1)*100,"")</f>
        <v>0.41296060991105055</v>
      </c>
      <c r="C223" s="2">
        <f>IFERROR((Data!C223/Data!C222-1)*100,"")</f>
        <v>0.77437375758233618</v>
      </c>
      <c r="D223">
        <f t="shared" si="29"/>
        <v>0.66351126674548677</v>
      </c>
      <c r="E223">
        <f t="shared" si="30"/>
        <v>0.31840188964415245</v>
      </c>
      <c r="P223" t="str" cm="1">
        <f t="array" ref="P223">_xlfn.IFS(
  AND(D223&gt;0,E223&gt;0),"Expansion",
  AND(D223&lt;0,E223&gt;0),"Slowdown",
  AND(D223&lt;0,E223&lt;0),"Contraction",
  AND(D223&gt;0,E223&lt;0),"Recovery",
  TRUE,"Undefined"
)</f>
        <v>Expansion</v>
      </c>
      <c r="Q223" t="str">
        <f t="shared" si="37"/>
        <v>Expansion</v>
      </c>
      <c r="R223">
        <f t="shared" si="31"/>
        <v>1</v>
      </c>
      <c r="S223">
        <f t="shared" si="32"/>
        <v>1</v>
      </c>
      <c r="T223">
        <f t="shared" si="33"/>
        <v>1</v>
      </c>
      <c r="U223">
        <f t="shared" si="34"/>
        <v>1</v>
      </c>
      <c r="V223" t="str" cm="1">
        <f t="array" ref="V223">_xlfn.IFS(
  AND(S223&gt;0,U223&gt;0),"Expansion",
  AND(S223&lt;0,U223&gt;0),"Slowdown",
  AND(S223&lt;0,U223&lt;0),"Contraction",
  AND(S223&gt;0,U223&lt;0),"Recovery",
  TRUE,"Undefined"
)</f>
        <v>Expansion</v>
      </c>
      <c r="W223">
        <f t="shared" si="35"/>
        <v>0</v>
      </c>
      <c r="X223">
        <f t="shared" si="36"/>
        <v>0</v>
      </c>
      <c r="Y223">
        <v>0</v>
      </c>
    </row>
    <row r="224" spans="1:25" x14ac:dyDescent="0.35">
      <c r="A224" s="1">
        <f>Data!A224</f>
        <v>23924</v>
      </c>
      <c r="B224" s="2">
        <f>IFERROR((Data!B224/Data!B223-1)*100,"")</f>
        <v>-9.4906675102823801E-2</v>
      </c>
      <c r="C224" s="2">
        <f>IFERROR((Data!C224/Data!C223-1)*100,"")</f>
        <v>0.9393602075345342</v>
      </c>
      <c r="D224">
        <f t="shared" si="29"/>
        <v>0.83149188991208745</v>
      </c>
      <c r="E224">
        <f t="shared" si="30"/>
        <v>0.212242749886149</v>
      </c>
      <c r="P224" t="str" cm="1">
        <f t="array" ref="P224">_xlfn.IFS(
  AND(D224&gt;0,E224&gt;0),"Expansion",
  AND(D224&lt;0,E224&gt;0),"Slowdown",
  AND(D224&lt;0,E224&lt;0),"Contraction",
  AND(D224&gt;0,E224&lt;0),"Recovery",
  TRUE,"Undefined"
)</f>
        <v>Expansion</v>
      </c>
      <c r="Q224" t="str">
        <f t="shared" si="37"/>
        <v>Expansion</v>
      </c>
      <c r="R224">
        <f t="shared" si="31"/>
        <v>1</v>
      </c>
      <c r="S224">
        <f t="shared" si="32"/>
        <v>1</v>
      </c>
      <c r="T224">
        <f t="shared" si="33"/>
        <v>1</v>
      </c>
      <c r="U224">
        <f t="shared" si="34"/>
        <v>1</v>
      </c>
      <c r="V224" t="str" cm="1">
        <f t="array" ref="V224">_xlfn.IFS(
  AND(S224&gt;0,U224&gt;0),"Expansion",
  AND(S224&lt;0,U224&gt;0),"Slowdown",
  AND(S224&lt;0,U224&lt;0),"Contraction",
  AND(S224&gt;0,U224&lt;0),"Recovery",
  TRUE,"Undefined"
)</f>
        <v>Expansion</v>
      </c>
      <c r="W224">
        <f t="shared" si="35"/>
        <v>0</v>
      </c>
      <c r="X224">
        <f t="shared" si="36"/>
        <v>0</v>
      </c>
      <c r="Y224">
        <v>0</v>
      </c>
    </row>
    <row r="225" spans="1:25" x14ac:dyDescent="0.35">
      <c r="A225" s="1">
        <f>Data!A225</f>
        <v>23955</v>
      </c>
      <c r="B225" s="2">
        <f>IFERROR((Data!B225/Data!B224-1)*100,"")</f>
        <v>-9.4996833438876216E-2</v>
      </c>
      <c r="C225" s="2">
        <f>IFERROR((Data!C225/Data!C224-1)*100,"")</f>
        <v>0.42320827691080254</v>
      </c>
      <c r="D225">
        <f t="shared" si="29"/>
        <v>0.71231408067589097</v>
      </c>
      <c r="E225">
        <f t="shared" si="30"/>
        <v>7.4352367123116839E-2</v>
      </c>
      <c r="P225" t="str" cm="1">
        <f t="array" ref="P225">_xlfn.IFS(
  AND(D225&gt;0,E225&gt;0),"Expansion",
  AND(D225&lt;0,E225&gt;0),"Slowdown",
  AND(D225&lt;0,E225&lt;0),"Contraction",
  AND(D225&gt;0,E225&lt;0),"Recovery",
  TRUE,"Undefined"
)</f>
        <v>Expansion</v>
      </c>
      <c r="Q225" t="str">
        <f t="shared" si="37"/>
        <v>Expansion</v>
      </c>
      <c r="R225">
        <f t="shared" si="31"/>
        <v>1</v>
      </c>
      <c r="S225">
        <f t="shared" si="32"/>
        <v>1</v>
      </c>
      <c r="T225">
        <f t="shared" si="33"/>
        <v>1</v>
      </c>
      <c r="U225">
        <f t="shared" si="34"/>
        <v>1</v>
      </c>
      <c r="V225" t="str" cm="1">
        <f t="array" ref="V225">_xlfn.IFS(
  AND(S225&gt;0,U225&gt;0),"Expansion",
  AND(S225&lt;0,U225&gt;0),"Slowdown",
  AND(S225&lt;0,U225&lt;0),"Contraction",
  AND(S225&gt;0,U225&lt;0),"Recovery",
  TRUE,"Undefined"
)</f>
        <v>Expansion</v>
      </c>
      <c r="W225">
        <f t="shared" si="35"/>
        <v>0</v>
      </c>
      <c r="X225">
        <f t="shared" si="36"/>
        <v>0</v>
      </c>
      <c r="Y225">
        <v>0</v>
      </c>
    </row>
    <row r="226" spans="1:25" x14ac:dyDescent="0.35">
      <c r="A226" s="1">
        <f>Data!A226</f>
        <v>23986</v>
      </c>
      <c r="B226" s="2">
        <f>IFERROR((Data!B226/Data!B225-1)*100,"")</f>
        <v>0.22187004754359307</v>
      </c>
      <c r="C226" s="2">
        <f>IFERROR((Data!C226/Data!C225-1)*100,"")</f>
        <v>0.25279229108656764</v>
      </c>
      <c r="D226">
        <f t="shared" si="29"/>
        <v>0.53845359184396813</v>
      </c>
      <c r="E226">
        <f t="shared" si="30"/>
        <v>1.065551300063102E-2</v>
      </c>
      <c r="P226" t="str" cm="1">
        <f t="array" ref="P226">_xlfn.IFS(
  AND(D226&gt;0,E226&gt;0),"Expansion",
  AND(D226&lt;0,E226&gt;0),"Slowdown",
  AND(D226&lt;0,E226&lt;0),"Contraction",
  AND(D226&gt;0,E226&lt;0),"Recovery",
  TRUE,"Undefined"
)</f>
        <v>Expansion</v>
      </c>
      <c r="Q226" t="str">
        <f t="shared" si="37"/>
        <v>Expansion</v>
      </c>
      <c r="R226">
        <f t="shared" si="31"/>
        <v>1</v>
      </c>
      <c r="S226">
        <f t="shared" si="32"/>
        <v>1</v>
      </c>
      <c r="T226">
        <f t="shared" si="33"/>
        <v>1</v>
      </c>
      <c r="U226">
        <f t="shared" si="34"/>
        <v>1</v>
      </c>
      <c r="V226" t="str" cm="1">
        <f t="array" ref="V226">_xlfn.IFS(
  AND(S226&gt;0,U226&gt;0),"Expansion",
  AND(S226&lt;0,U226&gt;0),"Slowdown",
  AND(S226&lt;0,U226&lt;0),"Contraction",
  AND(S226&gt;0,U226&lt;0),"Recovery",
  TRUE,"Undefined"
)</f>
        <v>Expansion</v>
      </c>
      <c r="W226">
        <f t="shared" si="35"/>
        <v>0</v>
      </c>
      <c r="X226">
        <f t="shared" si="36"/>
        <v>0</v>
      </c>
      <c r="Y226">
        <v>0</v>
      </c>
    </row>
    <row r="227" spans="1:25" x14ac:dyDescent="0.35">
      <c r="A227" s="1">
        <f>Data!A227</f>
        <v>24016</v>
      </c>
      <c r="B227" s="2">
        <f>IFERROR((Data!B227/Data!B226-1)*100,"")</f>
        <v>9.4876660341558505E-2</v>
      </c>
      <c r="C227" s="2">
        <f>IFERROR((Data!C227/Data!C226-1)*100,"")</f>
        <v>1.00830737927462</v>
      </c>
      <c r="D227">
        <f t="shared" si="29"/>
        <v>0.56143598242399673</v>
      </c>
      <c r="E227">
        <f t="shared" si="30"/>
        <v>7.3916624815425117E-2</v>
      </c>
      <c r="P227" t="str" cm="1">
        <f t="array" ref="P227">_xlfn.IFS(
  AND(D227&gt;0,E227&gt;0),"Expansion",
  AND(D227&lt;0,E227&gt;0),"Slowdown",
  AND(D227&lt;0,E227&lt;0),"Contraction",
  AND(D227&gt;0,E227&lt;0),"Recovery",
  TRUE,"Undefined"
)</f>
        <v>Expansion</v>
      </c>
      <c r="Q227" t="str">
        <f t="shared" si="37"/>
        <v>Expansion</v>
      </c>
      <c r="R227">
        <f t="shared" si="31"/>
        <v>1</v>
      </c>
      <c r="S227">
        <f t="shared" si="32"/>
        <v>1</v>
      </c>
      <c r="T227">
        <f t="shared" si="33"/>
        <v>1</v>
      </c>
      <c r="U227">
        <f t="shared" si="34"/>
        <v>1</v>
      </c>
      <c r="V227" t="str" cm="1">
        <f t="array" ref="V227">_xlfn.IFS(
  AND(S227&gt;0,U227&gt;0),"Expansion",
  AND(S227&lt;0,U227&gt;0),"Slowdown",
  AND(S227&lt;0,U227&lt;0),"Contraction",
  AND(S227&gt;0,U227&lt;0),"Recovery",
  TRUE,"Undefined"
)</f>
        <v>Expansion</v>
      </c>
      <c r="W227">
        <f t="shared" si="35"/>
        <v>0</v>
      </c>
      <c r="X227">
        <f t="shared" si="36"/>
        <v>0</v>
      </c>
      <c r="Y227">
        <v>0</v>
      </c>
    </row>
    <row r="228" spans="1:25" x14ac:dyDescent="0.35">
      <c r="A228" s="1">
        <f>Data!A228</f>
        <v>24047</v>
      </c>
      <c r="B228" s="2">
        <f>IFERROR((Data!B228/Data!B227-1)*100,"")</f>
        <v>0.31595576619274368</v>
      </c>
      <c r="C228" s="2">
        <f>IFERROR((Data!C228/Data!C227-1)*100,"")</f>
        <v>0.41585694026922138</v>
      </c>
      <c r="D228">
        <f t="shared" si="29"/>
        <v>0.55898553687680297</v>
      </c>
      <c r="E228">
        <f t="shared" si="30"/>
        <v>0.21090082469263174</v>
      </c>
      <c r="P228" t="str" cm="1">
        <f t="array" ref="P228">_xlfn.IFS(
  AND(D228&gt;0,E228&gt;0),"Expansion",
  AND(D228&lt;0,E228&gt;0),"Slowdown",
  AND(D228&lt;0,E228&lt;0),"Contraction",
  AND(D228&gt;0,E228&lt;0),"Recovery",
  TRUE,"Undefined"
)</f>
        <v>Expansion</v>
      </c>
      <c r="Q228" t="str">
        <f t="shared" si="37"/>
        <v>Expansion</v>
      </c>
      <c r="R228">
        <f t="shared" si="31"/>
        <v>1</v>
      </c>
      <c r="S228">
        <f t="shared" si="32"/>
        <v>1</v>
      </c>
      <c r="T228">
        <f t="shared" si="33"/>
        <v>1</v>
      </c>
      <c r="U228">
        <f t="shared" si="34"/>
        <v>1</v>
      </c>
      <c r="V228" t="str" cm="1">
        <f t="array" ref="V228">_xlfn.IFS(
  AND(S228&gt;0,U228&gt;0),"Expansion",
  AND(S228&lt;0,U228&gt;0),"Slowdown",
  AND(S228&lt;0,U228&lt;0),"Contraction",
  AND(S228&gt;0,U228&lt;0),"Recovery",
  TRUE,"Undefined"
)</f>
        <v>Expansion</v>
      </c>
      <c r="W228">
        <f t="shared" si="35"/>
        <v>0</v>
      </c>
      <c r="X228">
        <f t="shared" si="36"/>
        <v>0</v>
      </c>
      <c r="Y228">
        <v>0</v>
      </c>
    </row>
    <row r="229" spans="1:25" x14ac:dyDescent="0.35">
      <c r="A229" s="1">
        <f>Data!A229</f>
        <v>24077</v>
      </c>
      <c r="B229" s="2">
        <f>IFERROR((Data!B229/Data!B228-1)*100,"")</f>
        <v>0.31496062992126816</v>
      </c>
      <c r="C229" s="2">
        <f>IFERROR((Data!C229/Data!C228-1)*100,"")</f>
        <v>1.2427118748365551</v>
      </c>
      <c r="D229">
        <f t="shared" si="29"/>
        <v>0.88895873146013216</v>
      </c>
      <c r="E229">
        <f t="shared" si="30"/>
        <v>0.24193101881852344</v>
      </c>
      <c r="P229" t="str" cm="1">
        <f t="array" ref="P229">_xlfn.IFS(
  AND(D229&gt;0,E229&gt;0),"Expansion",
  AND(D229&lt;0,E229&gt;0),"Slowdown",
  AND(D229&lt;0,E229&lt;0),"Contraction",
  AND(D229&gt;0,E229&lt;0),"Recovery",
  TRUE,"Undefined"
)</f>
        <v>Expansion</v>
      </c>
      <c r="Q229" t="str">
        <f t="shared" si="37"/>
        <v>Expansion</v>
      </c>
      <c r="R229">
        <f t="shared" si="31"/>
        <v>1</v>
      </c>
      <c r="S229">
        <f t="shared" si="32"/>
        <v>1</v>
      </c>
      <c r="T229">
        <f t="shared" si="33"/>
        <v>1</v>
      </c>
      <c r="U229">
        <f t="shared" si="34"/>
        <v>1</v>
      </c>
      <c r="V229" t="str" cm="1">
        <f t="array" ref="V229">_xlfn.IFS(
  AND(S229&gt;0,U229&gt;0),"Expansion",
  AND(S229&lt;0,U229&gt;0),"Slowdown",
  AND(S229&lt;0,U229&lt;0),"Contraction",
  AND(S229&gt;0,U229&lt;0),"Recovery",
  TRUE,"Undefined"
)</f>
        <v>Expansion</v>
      </c>
      <c r="W229">
        <f t="shared" si="35"/>
        <v>0</v>
      </c>
      <c r="X229">
        <f t="shared" si="36"/>
        <v>0</v>
      </c>
      <c r="Y229">
        <v>0</v>
      </c>
    </row>
    <row r="230" spans="1:25" x14ac:dyDescent="0.35">
      <c r="A230" s="1">
        <f>Data!A230</f>
        <v>24108</v>
      </c>
      <c r="B230" s="2">
        <f>IFERROR((Data!B230/Data!B229-1)*100,"")</f>
        <v>9.4191522762954172E-2</v>
      </c>
      <c r="C230" s="2">
        <f>IFERROR((Data!C230/Data!C229-1)*100,"")</f>
        <v>0.98220960693382597</v>
      </c>
      <c r="D230">
        <f t="shared" si="29"/>
        <v>0.88025947401320082</v>
      </c>
      <c r="E230">
        <f t="shared" si="30"/>
        <v>0.24170263962565533</v>
      </c>
      <c r="P230" t="str" cm="1">
        <f t="array" ref="P230">_xlfn.IFS(
  AND(D230&gt;0,E230&gt;0),"Expansion",
  AND(D230&lt;0,E230&gt;0),"Slowdown",
  AND(D230&lt;0,E230&lt;0),"Contraction",
  AND(D230&gt;0,E230&lt;0),"Recovery",
  TRUE,"Undefined"
)</f>
        <v>Expansion</v>
      </c>
      <c r="Q230" t="str">
        <f t="shared" si="37"/>
        <v>Expansion</v>
      </c>
      <c r="R230">
        <f t="shared" si="31"/>
        <v>1</v>
      </c>
      <c r="S230">
        <f t="shared" si="32"/>
        <v>1</v>
      </c>
      <c r="T230">
        <f t="shared" si="33"/>
        <v>1</v>
      </c>
      <c r="U230">
        <f t="shared" si="34"/>
        <v>1</v>
      </c>
      <c r="V230" t="str" cm="1">
        <f t="array" ref="V230">_xlfn.IFS(
  AND(S230&gt;0,U230&gt;0),"Expansion",
  AND(S230&lt;0,U230&gt;0),"Slowdown",
  AND(S230&lt;0,U230&lt;0),"Contraction",
  AND(S230&gt;0,U230&lt;0),"Recovery",
  TRUE,"Undefined"
)</f>
        <v>Expansion</v>
      </c>
      <c r="W230">
        <f t="shared" si="35"/>
        <v>0</v>
      </c>
      <c r="X230">
        <f t="shared" si="36"/>
        <v>0</v>
      </c>
      <c r="Y230">
        <v>0</v>
      </c>
    </row>
    <row r="231" spans="1:25" x14ac:dyDescent="0.35">
      <c r="A231" s="1">
        <f>Data!A231</f>
        <v>24139</v>
      </c>
      <c r="B231" s="2">
        <f>IFERROR((Data!B231/Data!B230-1)*100,"")</f>
        <v>0.6273525721455453</v>
      </c>
      <c r="C231" s="2">
        <f>IFERROR((Data!C231/Data!C230-1)*100,"")</f>
        <v>0.64823675989962304</v>
      </c>
      <c r="D231">
        <f t="shared" si="29"/>
        <v>0.95771941389000137</v>
      </c>
      <c r="E231">
        <f t="shared" si="30"/>
        <v>0.3455015749432559</v>
      </c>
      <c r="P231" t="str" cm="1">
        <f t="array" ref="P231">_xlfn.IFS(
  AND(D231&gt;0,E231&gt;0),"Expansion",
  AND(D231&lt;0,E231&gt;0),"Slowdown",
  AND(D231&lt;0,E231&lt;0),"Contraction",
  AND(D231&gt;0,E231&lt;0),"Recovery",
  TRUE,"Undefined"
)</f>
        <v>Expansion</v>
      </c>
      <c r="Q231" t="str">
        <f t="shared" si="37"/>
        <v>Expansion</v>
      </c>
      <c r="R231">
        <f t="shared" si="31"/>
        <v>1</v>
      </c>
      <c r="S231">
        <f t="shared" si="32"/>
        <v>1</v>
      </c>
      <c r="T231">
        <f t="shared" si="33"/>
        <v>1</v>
      </c>
      <c r="U231">
        <f t="shared" si="34"/>
        <v>1</v>
      </c>
      <c r="V231" t="str" cm="1">
        <f t="array" ref="V231">_xlfn.IFS(
  AND(S231&gt;0,U231&gt;0),"Expansion",
  AND(S231&lt;0,U231&gt;0),"Slowdown",
  AND(S231&lt;0,U231&lt;0),"Contraction",
  AND(S231&gt;0,U231&lt;0),"Recovery",
  TRUE,"Undefined"
)</f>
        <v>Expansion</v>
      </c>
      <c r="W231">
        <f t="shared" si="35"/>
        <v>0</v>
      </c>
      <c r="X231">
        <f t="shared" si="36"/>
        <v>0</v>
      </c>
      <c r="Y231">
        <v>0</v>
      </c>
    </row>
    <row r="232" spans="1:25" x14ac:dyDescent="0.35">
      <c r="A232" s="1">
        <f>Data!A232</f>
        <v>24167</v>
      </c>
      <c r="B232" s="2">
        <f>IFERROR((Data!B232/Data!B231-1)*100,"")</f>
        <v>0.31172069825435855</v>
      </c>
      <c r="C232" s="2">
        <f>IFERROR((Data!C232/Data!C231-1)*100,"")</f>
        <v>1.3688554000717668</v>
      </c>
      <c r="D232">
        <f t="shared" si="29"/>
        <v>0.99976725563507196</v>
      </c>
      <c r="E232">
        <f t="shared" si="30"/>
        <v>0.34442159772095265</v>
      </c>
      <c r="P232" t="str" cm="1">
        <f t="array" ref="P232">_xlfn.IFS(
  AND(D232&gt;0,E232&gt;0),"Expansion",
  AND(D232&lt;0,E232&gt;0),"Slowdown",
  AND(D232&lt;0,E232&lt;0),"Contraction",
  AND(D232&gt;0,E232&lt;0),"Recovery",
  TRUE,"Undefined"
)</f>
        <v>Expansion</v>
      </c>
      <c r="Q232" t="str">
        <f t="shared" si="37"/>
        <v>Expansion</v>
      </c>
      <c r="R232">
        <f t="shared" si="31"/>
        <v>1</v>
      </c>
      <c r="S232">
        <f t="shared" si="32"/>
        <v>1</v>
      </c>
      <c r="T232">
        <f t="shared" si="33"/>
        <v>1</v>
      </c>
      <c r="U232">
        <f t="shared" si="34"/>
        <v>1</v>
      </c>
      <c r="V232" t="str" cm="1">
        <f t="array" ref="V232">_xlfn.IFS(
  AND(S232&gt;0,U232&gt;0),"Expansion",
  AND(S232&lt;0,U232&gt;0),"Slowdown",
  AND(S232&lt;0,U232&lt;0),"Contraction",
  AND(S232&gt;0,U232&lt;0),"Recovery",
  TRUE,"Undefined"
)</f>
        <v>Expansion</v>
      </c>
      <c r="W232">
        <f t="shared" si="35"/>
        <v>0</v>
      </c>
      <c r="X232">
        <f t="shared" si="36"/>
        <v>0</v>
      </c>
      <c r="Y232">
        <v>0</v>
      </c>
    </row>
    <row r="233" spans="1:25" x14ac:dyDescent="0.35">
      <c r="A233" s="1">
        <f>Data!A233</f>
        <v>24198</v>
      </c>
      <c r="B233" s="2">
        <f>IFERROR((Data!B233/Data!B232-1)*100,"")</f>
        <v>0.31075201988812751</v>
      </c>
      <c r="C233" s="2">
        <f>IFERROR((Data!C233/Data!C232-1)*100,"")</f>
        <v>0.15869363868583619</v>
      </c>
      <c r="D233">
        <f t="shared" si="29"/>
        <v>0.72526193288574203</v>
      </c>
      <c r="E233">
        <f t="shared" si="30"/>
        <v>0.41660843009601045</v>
      </c>
      <c r="P233" t="str" cm="1">
        <f t="array" ref="P233">_xlfn.IFS(
  AND(D233&gt;0,E233&gt;0),"Expansion",
  AND(D233&lt;0,E233&gt;0),"Slowdown",
  AND(D233&lt;0,E233&lt;0),"Contraction",
  AND(D233&gt;0,E233&lt;0),"Recovery",
  TRUE,"Undefined"
)</f>
        <v>Expansion</v>
      </c>
      <c r="Q233" t="str">
        <f t="shared" si="37"/>
        <v>Expansion</v>
      </c>
      <c r="R233">
        <f t="shared" si="31"/>
        <v>1</v>
      </c>
      <c r="S233">
        <f t="shared" si="32"/>
        <v>1</v>
      </c>
      <c r="T233">
        <f t="shared" si="33"/>
        <v>1</v>
      </c>
      <c r="U233">
        <f t="shared" si="34"/>
        <v>1</v>
      </c>
      <c r="V233" t="str" cm="1">
        <f t="array" ref="V233">_xlfn.IFS(
  AND(S233&gt;0,U233&gt;0),"Expansion",
  AND(S233&lt;0,U233&gt;0),"Slowdown",
  AND(S233&lt;0,U233&lt;0),"Contraction",
  AND(S233&gt;0,U233&lt;0),"Recovery",
  TRUE,"Undefined"
)</f>
        <v>Expansion</v>
      </c>
      <c r="W233">
        <f t="shared" si="35"/>
        <v>0</v>
      </c>
      <c r="X233">
        <f t="shared" si="36"/>
        <v>0</v>
      </c>
      <c r="Y233">
        <v>0</v>
      </c>
    </row>
    <row r="234" spans="1:25" x14ac:dyDescent="0.35">
      <c r="A234" s="1">
        <f>Data!A234</f>
        <v>24228</v>
      </c>
      <c r="B234" s="2">
        <f>IFERROR((Data!B234/Data!B233-1)*100,"")</f>
        <v>0.21685254027261625</v>
      </c>
      <c r="C234" s="2">
        <f>IFERROR((Data!C234/Data!C233-1)*100,"")</f>
        <v>0.9515367126482932</v>
      </c>
      <c r="D234">
        <f t="shared" si="29"/>
        <v>0.82636191713529872</v>
      </c>
      <c r="E234">
        <f t="shared" si="30"/>
        <v>0.27977508613836743</v>
      </c>
      <c r="P234" t="str" cm="1">
        <f t="array" ref="P234">_xlfn.IFS(
  AND(D234&gt;0,E234&gt;0),"Expansion",
  AND(D234&lt;0,E234&gt;0),"Slowdown",
  AND(D234&lt;0,E234&lt;0),"Contraction",
  AND(D234&gt;0,E234&lt;0),"Recovery",
  TRUE,"Undefined"
)</f>
        <v>Expansion</v>
      </c>
      <c r="Q234" t="str">
        <f t="shared" si="37"/>
        <v>Expansion</v>
      </c>
      <c r="R234">
        <f t="shared" si="31"/>
        <v>1</v>
      </c>
      <c r="S234">
        <f t="shared" si="32"/>
        <v>1</v>
      </c>
      <c r="T234">
        <f t="shared" si="33"/>
        <v>1</v>
      </c>
      <c r="U234">
        <f t="shared" si="34"/>
        <v>1</v>
      </c>
      <c r="V234" t="str" cm="1">
        <f t="array" ref="V234">_xlfn.IFS(
  AND(S234&gt;0,U234&gt;0),"Expansion",
  AND(S234&lt;0,U234&gt;0),"Slowdown",
  AND(S234&lt;0,U234&lt;0),"Contraction",
  AND(S234&gt;0,U234&lt;0),"Recovery",
  TRUE,"Undefined"
)</f>
        <v>Expansion</v>
      </c>
      <c r="W234">
        <f t="shared" si="35"/>
        <v>0</v>
      </c>
      <c r="X234">
        <f t="shared" si="36"/>
        <v>0</v>
      </c>
      <c r="Y234">
        <v>0</v>
      </c>
    </row>
    <row r="235" spans="1:25" x14ac:dyDescent="0.35">
      <c r="A235" s="1">
        <f>Data!A235</f>
        <v>24259</v>
      </c>
      <c r="B235" s="2">
        <f>IFERROR((Data!B235/Data!B234-1)*100,"")</f>
        <v>9.2735703245749868E-2</v>
      </c>
      <c r="C235" s="2">
        <f>IFERROR((Data!C235/Data!C234-1)*100,"")</f>
        <v>0.47142978000915825</v>
      </c>
      <c r="D235">
        <f t="shared" si="29"/>
        <v>0.52722004378109588</v>
      </c>
      <c r="E235">
        <f t="shared" si="30"/>
        <v>0.20678008780216453</v>
      </c>
      <c r="P235" t="str" cm="1">
        <f t="array" ref="P235">_xlfn.IFS(
  AND(D235&gt;0,E235&gt;0),"Expansion",
  AND(D235&lt;0,E235&gt;0),"Slowdown",
  AND(D235&lt;0,E235&lt;0),"Contraction",
  AND(D235&gt;0,E235&lt;0),"Recovery",
  TRUE,"Undefined"
)</f>
        <v>Expansion</v>
      </c>
      <c r="Q235" t="str">
        <f t="shared" si="37"/>
        <v>Expansion</v>
      </c>
      <c r="R235">
        <f t="shared" si="31"/>
        <v>1</v>
      </c>
      <c r="S235">
        <f t="shared" si="32"/>
        <v>1</v>
      </c>
      <c r="T235">
        <f t="shared" si="33"/>
        <v>1</v>
      </c>
      <c r="U235">
        <f t="shared" si="34"/>
        <v>1</v>
      </c>
      <c r="V235" t="str" cm="1">
        <f t="array" ref="V235">_xlfn.IFS(
  AND(S235&gt;0,U235&gt;0),"Expansion",
  AND(S235&lt;0,U235&gt;0),"Slowdown",
  AND(S235&lt;0,U235&lt;0),"Contraction",
  AND(S235&gt;0,U235&lt;0),"Recovery",
  TRUE,"Undefined"
)</f>
        <v>Expansion</v>
      </c>
      <c r="W235">
        <f t="shared" si="35"/>
        <v>0</v>
      </c>
      <c r="X235">
        <f t="shared" si="36"/>
        <v>0</v>
      </c>
      <c r="Y235">
        <v>0</v>
      </c>
    </row>
    <row r="236" spans="1:25" x14ac:dyDescent="0.35">
      <c r="A236" s="1">
        <f>Data!A236</f>
        <v>24289</v>
      </c>
      <c r="B236" s="2">
        <f>IFERROR((Data!B236/Data!B235-1)*100,"")</f>
        <v>0.21618282890674134</v>
      </c>
      <c r="C236" s="2">
        <f>IFERROR((Data!C236/Data!C235-1)*100,"")</f>
        <v>0.54732391994261054</v>
      </c>
      <c r="D236">
        <f t="shared" si="29"/>
        <v>0.65676347086668729</v>
      </c>
      <c r="E236">
        <f t="shared" si="30"/>
        <v>0.17525702414170249</v>
      </c>
      <c r="P236" t="str" cm="1">
        <f t="array" ref="P236">_xlfn.IFS(
  AND(D236&gt;0,E236&gt;0),"Expansion",
  AND(D236&lt;0,E236&gt;0),"Slowdown",
  AND(D236&lt;0,E236&lt;0),"Contraction",
  AND(D236&gt;0,E236&lt;0),"Recovery",
  TRUE,"Undefined"
)</f>
        <v>Expansion</v>
      </c>
      <c r="Q236" t="str">
        <f t="shared" si="37"/>
        <v>Expansion</v>
      </c>
      <c r="R236">
        <f t="shared" si="31"/>
        <v>1</v>
      </c>
      <c r="S236">
        <f t="shared" si="32"/>
        <v>1</v>
      </c>
      <c r="T236">
        <f t="shared" si="33"/>
        <v>1</v>
      </c>
      <c r="U236">
        <f t="shared" si="34"/>
        <v>1</v>
      </c>
      <c r="V236" t="str" cm="1">
        <f t="array" ref="V236">_xlfn.IFS(
  AND(S236&gt;0,U236&gt;0),"Expansion",
  AND(S236&lt;0,U236&gt;0),"Slowdown",
  AND(S236&lt;0,U236&lt;0),"Contraction",
  AND(S236&gt;0,U236&lt;0),"Recovery",
  TRUE,"Undefined"
)</f>
        <v>Expansion</v>
      </c>
      <c r="W236">
        <f t="shared" si="35"/>
        <v>0</v>
      </c>
      <c r="X236">
        <f t="shared" si="36"/>
        <v>0</v>
      </c>
      <c r="Y236">
        <v>0</v>
      </c>
    </row>
    <row r="237" spans="1:25" x14ac:dyDescent="0.35">
      <c r="A237" s="1">
        <f>Data!A237</f>
        <v>24320</v>
      </c>
      <c r="B237" s="2">
        <f>IFERROR((Data!B237/Data!B236-1)*100,"")</f>
        <v>0.61633281972264253</v>
      </c>
      <c r="C237" s="2">
        <f>IFERROR((Data!C237/Data!C236-1)*100,"")</f>
        <v>7.7681005405927372E-2</v>
      </c>
      <c r="D237">
        <f t="shared" si="29"/>
        <v>0.36547823511923205</v>
      </c>
      <c r="E237">
        <f t="shared" si="30"/>
        <v>0.30841711729171123</v>
      </c>
      <c r="P237" t="str" cm="1">
        <f t="array" ref="P237">_xlfn.IFS(
  AND(D237&gt;0,E237&gt;0),"Expansion",
  AND(D237&lt;0,E237&gt;0),"Slowdown",
  AND(D237&lt;0,E237&lt;0),"Contraction",
  AND(D237&gt;0,E237&lt;0),"Recovery",
  TRUE,"Undefined"
)</f>
        <v>Expansion</v>
      </c>
      <c r="Q237" t="str">
        <f t="shared" si="37"/>
        <v>Expansion</v>
      </c>
      <c r="R237">
        <f t="shared" si="31"/>
        <v>1</v>
      </c>
      <c r="S237">
        <f t="shared" si="32"/>
        <v>1</v>
      </c>
      <c r="T237">
        <f t="shared" si="33"/>
        <v>1</v>
      </c>
      <c r="U237">
        <f t="shared" si="34"/>
        <v>1</v>
      </c>
      <c r="V237" t="str" cm="1">
        <f t="array" ref="V237">_xlfn.IFS(
  AND(S237&gt;0,U237&gt;0),"Expansion",
  AND(S237&lt;0,U237&gt;0),"Slowdown",
  AND(S237&lt;0,U237&lt;0),"Contraction",
  AND(S237&gt;0,U237&lt;0),"Recovery",
  TRUE,"Undefined"
)</f>
        <v>Expansion</v>
      </c>
      <c r="W237">
        <f t="shared" si="35"/>
        <v>0</v>
      </c>
      <c r="X237">
        <f t="shared" si="36"/>
        <v>0</v>
      </c>
      <c r="Y237">
        <v>0</v>
      </c>
    </row>
    <row r="238" spans="1:25" x14ac:dyDescent="0.35">
      <c r="A238" s="1">
        <f>Data!A238</f>
        <v>24351</v>
      </c>
      <c r="B238" s="2">
        <f>IFERROR((Data!B238/Data!B237-1)*100,"")</f>
        <v>0.30627871362940429</v>
      </c>
      <c r="C238" s="2">
        <f>IFERROR((Data!C238/Data!C237-1)*100,"")</f>
        <v>0.93260271759045832</v>
      </c>
      <c r="D238">
        <f t="shared" si="29"/>
        <v>0.51920254764633211</v>
      </c>
      <c r="E238">
        <f t="shared" si="30"/>
        <v>0.37959812075292937</v>
      </c>
      <c r="P238" t="str" cm="1">
        <f t="array" ref="P238">_xlfn.IFS(
  AND(D238&gt;0,E238&gt;0),"Expansion",
  AND(D238&lt;0,E238&gt;0),"Slowdown",
  AND(D238&lt;0,E238&lt;0),"Contraction",
  AND(D238&gt;0,E238&lt;0),"Recovery",
  TRUE,"Undefined"
)</f>
        <v>Expansion</v>
      </c>
      <c r="Q238" t="str">
        <f t="shared" si="37"/>
        <v>Expansion</v>
      </c>
      <c r="R238">
        <f t="shared" si="31"/>
        <v>1</v>
      </c>
      <c r="S238">
        <f t="shared" si="32"/>
        <v>1</v>
      </c>
      <c r="T238">
        <f t="shared" si="33"/>
        <v>1</v>
      </c>
      <c r="U238">
        <f t="shared" si="34"/>
        <v>1</v>
      </c>
      <c r="V238" t="str" cm="1">
        <f t="array" ref="V238">_xlfn.IFS(
  AND(S238&gt;0,U238&gt;0),"Expansion",
  AND(S238&lt;0,U238&gt;0),"Slowdown",
  AND(S238&lt;0,U238&lt;0),"Contraction",
  AND(S238&gt;0,U238&lt;0),"Recovery",
  TRUE,"Undefined"
)</f>
        <v>Expansion</v>
      </c>
      <c r="W238">
        <f t="shared" si="35"/>
        <v>0</v>
      </c>
      <c r="X238">
        <f t="shared" si="36"/>
        <v>0</v>
      </c>
      <c r="Y238">
        <v>0</v>
      </c>
    </row>
    <row r="239" spans="1:25" x14ac:dyDescent="0.35">
      <c r="A239" s="1">
        <f>Data!A239</f>
        <v>24381</v>
      </c>
      <c r="B239" s="2">
        <f>IFERROR((Data!B239/Data!B238-1)*100,"")</f>
        <v>0.30534351145039551</v>
      </c>
      <c r="C239" s="2">
        <f>IFERROR((Data!C239/Data!C238-1)*100,"")</f>
        <v>0.69270331542730101</v>
      </c>
      <c r="D239">
        <f t="shared" si="29"/>
        <v>0.5676623461412289</v>
      </c>
      <c r="E239">
        <f t="shared" si="30"/>
        <v>0.40931834826748076</v>
      </c>
      <c r="P239" t="str" cm="1">
        <f t="array" ref="P239">_xlfn.IFS(
  AND(D239&gt;0,E239&gt;0),"Expansion",
  AND(D239&lt;0,E239&gt;0),"Slowdown",
  AND(D239&lt;0,E239&lt;0),"Contraction",
  AND(D239&gt;0,E239&lt;0),"Recovery",
  TRUE,"Undefined"
)</f>
        <v>Expansion</v>
      </c>
      <c r="Q239" t="str">
        <f t="shared" si="37"/>
        <v>Expansion</v>
      </c>
      <c r="R239">
        <f t="shared" si="31"/>
        <v>1</v>
      </c>
      <c r="S239">
        <f t="shared" si="32"/>
        <v>1</v>
      </c>
      <c r="T239">
        <f t="shared" si="33"/>
        <v>1</v>
      </c>
      <c r="U239">
        <f t="shared" si="34"/>
        <v>1</v>
      </c>
      <c r="V239" t="str" cm="1">
        <f t="array" ref="V239">_xlfn.IFS(
  AND(S239&gt;0,U239&gt;0),"Expansion",
  AND(S239&lt;0,U239&gt;0),"Slowdown",
  AND(S239&lt;0,U239&lt;0),"Contraction",
  AND(S239&gt;0,U239&lt;0),"Recovery",
  TRUE,"Undefined"
)</f>
        <v>Expansion</v>
      </c>
      <c r="W239">
        <f t="shared" si="35"/>
        <v>0</v>
      </c>
      <c r="X239">
        <f t="shared" si="36"/>
        <v>0</v>
      </c>
      <c r="Y239">
        <v>0</v>
      </c>
    </row>
    <row r="240" spans="1:25" x14ac:dyDescent="0.35">
      <c r="A240" s="1">
        <f>Data!A240</f>
        <v>24412</v>
      </c>
      <c r="B240" s="2">
        <f>IFERROR((Data!B240/Data!B239-1)*100,"")</f>
        <v>9.1324200913245335E-2</v>
      </c>
      <c r="C240" s="2">
        <f>IFERROR((Data!C240/Data!C239-1)*100,"")</f>
        <v>-0.68822186637593763</v>
      </c>
      <c r="D240">
        <f t="shared" si="29"/>
        <v>0.31236138888060722</v>
      </c>
      <c r="E240">
        <f t="shared" si="30"/>
        <v>0.23431547533101504</v>
      </c>
      <c r="P240" t="str" cm="1">
        <f t="array" ref="P240">_xlfn.IFS(
  AND(D240&gt;0,E240&gt;0),"Expansion",
  AND(D240&lt;0,E240&gt;0),"Slowdown",
  AND(D240&lt;0,E240&lt;0),"Contraction",
  AND(D240&gt;0,E240&lt;0),"Recovery",
  TRUE,"Undefined"
)</f>
        <v>Expansion</v>
      </c>
      <c r="Q240" t="str">
        <f t="shared" si="37"/>
        <v>Expansion</v>
      </c>
      <c r="R240">
        <f t="shared" si="31"/>
        <v>1</v>
      </c>
      <c r="S240">
        <f t="shared" si="32"/>
        <v>1</v>
      </c>
      <c r="T240">
        <f t="shared" si="33"/>
        <v>1</v>
      </c>
      <c r="U240">
        <f t="shared" si="34"/>
        <v>1</v>
      </c>
      <c r="V240" t="str" cm="1">
        <f t="array" ref="V240">_xlfn.IFS(
  AND(S240&gt;0,U240&gt;0),"Expansion",
  AND(S240&lt;0,U240&gt;0),"Slowdown",
  AND(S240&lt;0,U240&lt;0),"Contraction",
  AND(S240&gt;0,U240&lt;0),"Recovery",
  TRUE,"Undefined"
)</f>
        <v>Expansion</v>
      </c>
      <c r="W240">
        <f t="shared" si="35"/>
        <v>0</v>
      </c>
      <c r="X240">
        <f t="shared" si="36"/>
        <v>0</v>
      </c>
      <c r="Y240">
        <v>0</v>
      </c>
    </row>
    <row r="241" spans="1:25" x14ac:dyDescent="0.35">
      <c r="A241" s="1">
        <f>Data!A241</f>
        <v>24442</v>
      </c>
      <c r="B241" s="2">
        <f>IFERROR((Data!B241/Data!B240-1)*100,"")</f>
        <v>0.12165450121655041</v>
      </c>
      <c r="C241" s="2">
        <f>IFERROR((Data!C241/Data!C240-1)*100,"")</f>
        <v>0.23099706107700957</v>
      </c>
      <c r="D241">
        <f t="shared" si="29"/>
        <v>7.8492836709457656E-2</v>
      </c>
      <c r="E241">
        <f t="shared" si="30"/>
        <v>0.17277407119339708</v>
      </c>
      <c r="P241" t="str" cm="1">
        <f t="array" ref="P241">_xlfn.IFS(
  AND(D241&gt;0,E241&gt;0),"Expansion",
  AND(D241&lt;0,E241&gt;0),"Slowdown",
  AND(D241&lt;0,E241&lt;0),"Contraction",
  AND(D241&gt;0,E241&lt;0),"Recovery",
  TRUE,"Undefined"
)</f>
        <v>Expansion</v>
      </c>
      <c r="Q241" t="str">
        <f t="shared" si="37"/>
        <v>Expansion</v>
      </c>
      <c r="R241">
        <f t="shared" si="31"/>
        <v>1</v>
      </c>
      <c r="S241">
        <f t="shared" si="32"/>
        <v>1</v>
      </c>
      <c r="T241">
        <f t="shared" si="33"/>
        <v>1</v>
      </c>
      <c r="U241">
        <f t="shared" si="34"/>
        <v>1</v>
      </c>
      <c r="V241" t="str" cm="1">
        <f t="array" ref="V241">_xlfn.IFS(
  AND(S241&gt;0,U241&gt;0),"Expansion",
  AND(S241&lt;0,U241&gt;0),"Slowdown",
  AND(S241&lt;0,U241&lt;0),"Contraction",
  AND(S241&gt;0,U241&lt;0),"Recovery",
  TRUE,"Undefined"
)</f>
        <v>Expansion</v>
      </c>
      <c r="W241">
        <f t="shared" si="35"/>
        <v>0</v>
      </c>
      <c r="X241">
        <f t="shared" si="36"/>
        <v>0</v>
      </c>
      <c r="Y241">
        <v>0</v>
      </c>
    </row>
    <row r="242" spans="1:25" x14ac:dyDescent="0.35">
      <c r="A242" s="1">
        <f>Data!A242</f>
        <v>24473</v>
      </c>
      <c r="B242" s="2">
        <f>IFERROR((Data!B242/Data!B241-1)*100,"")</f>
        <v>-6.0753341433783525E-2</v>
      </c>
      <c r="C242" s="2">
        <f>IFERROR((Data!C242/Data!C241-1)*100,"")</f>
        <v>0.47176807493525263</v>
      </c>
      <c r="D242">
        <f t="shared" si="29"/>
        <v>4.8477565454415244E-3</v>
      </c>
      <c r="E242">
        <f t="shared" si="30"/>
        <v>5.0741786898670739E-2</v>
      </c>
      <c r="P242" t="str" cm="1">
        <f t="array" ref="P242">_xlfn.IFS(
  AND(D242&gt;0,E242&gt;0),"Expansion",
  AND(D242&lt;0,E242&gt;0),"Slowdown",
  AND(D242&lt;0,E242&lt;0),"Contraction",
  AND(D242&gt;0,E242&lt;0),"Recovery",
  TRUE,"Undefined"
)</f>
        <v>Expansion</v>
      </c>
      <c r="Q242" t="str">
        <f t="shared" si="37"/>
        <v>Expansion</v>
      </c>
      <c r="R242">
        <f t="shared" si="31"/>
        <v>1</v>
      </c>
      <c r="S242">
        <f t="shared" si="32"/>
        <v>1</v>
      </c>
      <c r="T242">
        <f t="shared" si="33"/>
        <v>1</v>
      </c>
      <c r="U242">
        <f t="shared" si="34"/>
        <v>1</v>
      </c>
      <c r="V242" t="str" cm="1">
        <f t="array" ref="V242">_xlfn.IFS(
  AND(S242&gt;0,U242&gt;0),"Expansion",
  AND(S242&lt;0,U242&gt;0),"Slowdown",
  AND(S242&lt;0,U242&lt;0),"Contraction",
  AND(S242&gt;0,U242&lt;0),"Recovery",
  TRUE,"Undefined"
)</f>
        <v>Expansion</v>
      </c>
      <c r="W242">
        <f t="shared" si="35"/>
        <v>0</v>
      </c>
      <c r="X242">
        <f t="shared" si="36"/>
        <v>0</v>
      </c>
      <c r="Y242">
        <v>0</v>
      </c>
    </row>
    <row r="243" spans="1:25" x14ac:dyDescent="0.35">
      <c r="A243" s="1">
        <f>Data!A243</f>
        <v>24504</v>
      </c>
      <c r="B243" s="2">
        <f>IFERROR((Data!B243/Data!B242-1)*100,"")</f>
        <v>0.30395136778116338</v>
      </c>
      <c r="C243" s="2">
        <f>IFERROR((Data!C243/Data!C242-1)*100,"")</f>
        <v>-1.13413768630235</v>
      </c>
      <c r="D243">
        <f t="shared" si="29"/>
        <v>-0.14379085009669593</v>
      </c>
      <c r="E243">
        <f t="shared" si="30"/>
        <v>0.12161750918797676</v>
      </c>
      <c r="P243" t="str" cm="1">
        <f t="array" ref="P243">_xlfn.IFS(
  AND(D243&gt;0,E243&gt;0),"Expansion",
  AND(D243&lt;0,E243&gt;0),"Slowdown",
  AND(D243&lt;0,E243&lt;0),"Contraction",
  AND(D243&gt;0,E243&lt;0),"Recovery",
  TRUE,"Undefined"
)</f>
        <v>Slowdown</v>
      </c>
      <c r="Q243" t="str">
        <f t="shared" si="37"/>
        <v>Expansion</v>
      </c>
      <c r="R243">
        <f t="shared" si="31"/>
        <v>1</v>
      </c>
      <c r="S243">
        <f t="shared" si="32"/>
        <v>1</v>
      </c>
      <c r="T243">
        <f t="shared" si="33"/>
        <v>1</v>
      </c>
      <c r="U243">
        <f t="shared" si="34"/>
        <v>1</v>
      </c>
      <c r="V243" t="str" cm="1">
        <f t="array" ref="V243">_xlfn.IFS(
  AND(S243&gt;0,U243&gt;0),"Expansion",
  AND(S243&lt;0,U243&gt;0),"Slowdown",
  AND(S243&lt;0,U243&lt;0),"Contraction",
  AND(S243&gt;0,U243&lt;0),"Recovery",
  TRUE,"Undefined"
)</f>
        <v>Expansion</v>
      </c>
      <c r="W243">
        <f t="shared" si="35"/>
        <v>0</v>
      </c>
      <c r="X243">
        <f t="shared" si="36"/>
        <v>0</v>
      </c>
      <c r="Y243">
        <v>0</v>
      </c>
    </row>
    <row r="244" spans="1:25" x14ac:dyDescent="0.35">
      <c r="A244" s="1">
        <f>Data!A244</f>
        <v>24532</v>
      </c>
      <c r="B244" s="2">
        <f>IFERROR((Data!B244/Data!B243-1)*100,"")</f>
        <v>0</v>
      </c>
      <c r="C244" s="2">
        <f>IFERROR((Data!C244/Data!C243-1)*100,"")</f>
        <v>-0.56366742760334265</v>
      </c>
      <c r="D244">
        <f t="shared" si="29"/>
        <v>-0.4086790129901467</v>
      </c>
      <c r="E244">
        <f t="shared" si="30"/>
        <v>8.1066008782459953E-2</v>
      </c>
      <c r="P244" t="str" cm="1">
        <f t="array" ref="P244">_xlfn.IFS(
  AND(D244&gt;0,E244&gt;0),"Expansion",
  AND(D244&lt;0,E244&gt;0),"Slowdown",
  AND(D244&lt;0,E244&lt;0),"Contraction",
  AND(D244&gt;0,E244&lt;0),"Recovery",
  TRUE,"Undefined"
)</f>
        <v>Slowdown</v>
      </c>
      <c r="Q244" t="str">
        <f t="shared" si="37"/>
        <v>Expansion</v>
      </c>
      <c r="R244">
        <f t="shared" si="31"/>
        <v>-1</v>
      </c>
      <c r="S244">
        <f t="shared" si="32"/>
        <v>-1</v>
      </c>
      <c r="T244">
        <f t="shared" si="33"/>
        <v>1</v>
      </c>
      <c r="U244">
        <f t="shared" si="34"/>
        <v>1</v>
      </c>
      <c r="V244" t="str" cm="1">
        <f t="array" ref="V244">_xlfn.IFS(
  AND(S244&gt;0,U244&gt;0),"Expansion",
  AND(S244&lt;0,U244&gt;0),"Slowdown",
  AND(S244&lt;0,U244&lt;0),"Contraction",
  AND(S244&gt;0,U244&lt;0),"Recovery",
  TRUE,"Undefined"
)</f>
        <v>Slowdown</v>
      </c>
      <c r="W244">
        <f t="shared" si="35"/>
        <v>0</v>
      </c>
      <c r="X244">
        <f t="shared" si="36"/>
        <v>0</v>
      </c>
      <c r="Y244">
        <v>0</v>
      </c>
    </row>
    <row r="245" spans="1:25" x14ac:dyDescent="0.35">
      <c r="A245" s="1">
        <f>Data!A245</f>
        <v>24563</v>
      </c>
      <c r="B245" s="2">
        <f>IFERROR((Data!B245/Data!B244-1)*100,"")</f>
        <v>0.30303030303031608</v>
      </c>
      <c r="C245" s="2">
        <f>IFERROR((Data!C245/Data!C244-1)*100,"")</f>
        <v>0.9431346955748543</v>
      </c>
      <c r="D245">
        <f t="shared" si="29"/>
        <v>-0.25155680611027947</v>
      </c>
      <c r="E245">
        <f t="shared" si="30"/>
        <v>0.20232722360382649</v>
      </c>
      <c r="P245" t="str" cm="1">
        <f t="array" ref="P245">_xlfn.IFS(
  AND(D245&gt;0,E245&gt;0),"Expansion",
  AND(D245&lt;0,E245&gt;0),"Slowdown",
  AND(D245&lt;0,E245&lt;0),"Contraction",
  AND(D245&gt;0,E245&lt;0),"Recovery",
  TRUE,"Undefined"
)</f>
        <v>Slowdown</v>
      </c>
      <c r="Q245" t="str">
        <f t="shared" si="37"/>
        <v>Slowdown</v>
      </c>
      <c r="R245">
        <f t="shared" si="31"/>
        <v>1</v>
      </c>
      <c r="S245">
        <f t="shared" si="32"/>
        <v>1</v>
      </c>
      <c r="T245">
        <f t="shared" si="33"/>
        <v>1</v>
      </c>
      <c r="U245">
        <f t="shared" si="34"/>
        <v>1</v>
      </c>
      <c r="V245" t="str" cm="1">
        <f t="array" ref="V245">_xlfn.IFS(
  AND(S245&gt;0,U245&gt;0),"Expansion",
  AND(S245&lt;0,U245&gt;0),"Slowdown",
  AND(S245&lt;0,U245&lt;0),"Contraction",
  AND(S245&gt;0,U245&lt;0),"Recovery",
  TRUE,"Undefined"
)</f>
        <v>Expansion</v>
      </c>
      <c r="W245">
        <f t="shared" si="35"/>
        <v>0</v>
      </c>
      <c r="X245">
        <f t="shared" si="36"/>
        <v>0</v>
      </c>
      <c r="Y245">
        <v>0</v>
      </c>
    </row>
    <row r="246" spans="1:25" x14ac:dyDescent="0.35">
      <c r="A246" s="1">
        <f>Data!A246</f>
        <v>24593</v>
      </c>
      <c r="B246" s="2">
        <f>IFERROR((Data!B246/Data!B245-1)*100,"")</f>
        <v>0</v>
      </c>
      <c r="C246" s="2">
        <f>IFERROR((Data!C246/Data!C245-1)*100,"")</f>
        <v>-0.87253045274320318</v>
      </c>
      <c r="D246">
        <f t="shared" si="29"/>
        <v>-0.16435439492389717</v>
      </c>
      <c r="E246">
        <f t="shared" si="30"/>
        <v>0.10101010101010537</v>
      </c>
      <c r="P246" t="str" cm="1">
        <f t="array" ref="P246">_xlfn.IFS(
  AND(D246&gt;0,E246&gt;0),"Expansion",
  AND(D246&lt;0,E246&gt;0),"Slowdown",
  AND(D246&lt;0,E246&lt;0),"Contraction",
  AND(D246&gt;0,E246&lt;0),"Recovery",
  TRUE,"Undefined"
)</f>
        <v>Slowdown</v>
      </c>
      <c r="Q246" t="str">
        <f t="shared" si="37"/>
        <v>Slowdown</v>
      </c>
      <c r="R246">
        <f t="shared" si="31"/>
        <v>1</v>
      </c>
      <c r="S246">
        <f t="shared" si="32"/>
        <v>1</v>
      </c>
      <c r="T246">
        <f t="shared" si="33"/>
        <v>1</v>
      </c>
      <c r="U246">
        <f t="shared" si="34"/>
        <v>1</v>
      </c>
      <c r="V246" t="str" cm="1">
        <f t="array" ref="V246">_xlfn.IFS(
  AND(S246&gt;0,U246&gt;0),"Expansion",
  AND(S246&lt;0,U246&gt;0),"Slowdown",
  AND(S246&lt;0,U246&lt;0),"Contraction",
  AND(S246&gt;0,U246&lt;0),"Recovery",
  TRUE,"Undefined"
)</f>
        <v>Expansion</v>
      </c>
      <c r="W246">
        <f t="shared" si="35"/>
        <v>0</v>
      </c>
      <c r="X246">
        <f t="shared" si="36"/>
        <v>0</v>
      </c>
      <c r="Y246">
        <v>0</v>
      </c>
    </row>
    <row r="247" spans="1:25" x14ac:dyDescent="0.35">
      <c r="A247" s="1">
        <f>Data!A247</f>
        <v>24624</v>
      </c>
      <c r="B247" s="2">
        <f>IFERROR((Data!B247/Data!B246-1)*100,"")</f>
        <v>0.60422960725075026</v>
      </c>
      <c r="C247" s="2">
        <f>IFERROR((Data!C247/Data!C246-1)*100,"")</f>
        <v>-1.240952589837141E-2</v>
      </c>
      <c r="D247">
        <f t="shared" si="29"/>
        <v>1.9398238977759902E-2</v>
      </c>
      <c r="E247">
        <f t="shared" si="30"/>
        <v>0.30241997009368876</v>
      </c>
      <c r="P247" t="str" cm="1">
        <f t="array" ref="P247">_xlfn.IFS(
  AND(D247&gt;0,E247&gt;0),"Expansion",
  AND(D247&lt;0,E247&gt;0),"Slowdown",
  AND(D247&lt;0,E247&lt;0),"Contraction",
  AND(D247&gt;0,E247&lt;0),"Recovery",
  TRUE,"Undefined"
)</f>
        <v>Expansion</v>
      </c>
      <c r="Q247" t="str">
        <f t="shared" si="37"/>
        <v>Slowdown</v>
      </c>
      <c r="R247">
        <f t="shared" si="31"/>
        <v>1</v>
      </c>
      <c r="S247">
        <f t="shared" si="32"/>
        <v>1</v>
      </c>
      <c r="T247">
        <f t="shared" si="33"/>
        <v>1</v>
      </c>
      <c r="U247">
        <f t="shared" si="34"/>
        <v>1</v>
      </c>
      <c r="V247" t="str" cm="1">
        <f t="array" ref="V247">_xlfn.IFS(
  AND(S247&gt;0,U247&gt;0),"Expansion",
  AND(S247&lt;0,U247&gt;0),"Slowdown",
  AND(S247&lt;0,U247&lt;0),"Contraction",
  AND(S247&gt;0,U247&lt;0),"Recovery",
  TRUE,"Undefined"
)</f>
        <v>Expansion</v>
      </c>
      <c r="W247">
        <f t="shared" si="35"/>
        <v>0</v>
      </c>
      <c r="X247">
        <f t="shared" si="36"/>
        <v>0</v>
      </c>
      <c r="Y247">
        <v>0</v>
      </c>
    </row>
    <row r="248" spans="1:25" x14ac:dyDescent="0.35">
      <c r="A248" s="1">
        <f>Data!A248</f>
        <v>24654</v>
      </c>
      <c r="B248" s="2">
        <f>IFERROR((Data!B248/Data!B247-1)*100,"")</f>
        <v>0.30030030030030463</v>
      </c>
      <c r="C248" s="2">
        <f>IFERROR((Data!C248/Data!C247-1)*100,"")</f>
        <v>-0.22772863059762338</v>
      </c>
      <c r="D248">
        <f t="shared" si="29"/>
        <v>-0.37088953641306599</v>
      </c>
      <c r="E248">
        <f t="shared" si="30"/>
        <v>0.30150996918368494</v>
      </c>
      <c r="P248" t="str" cm="1">
        <f t="array" ref="P248">_xlfn.IFS(
  AND(D248&gt;0,E248&gt;0),"Expansion",
  AND(D248&lt;0,E248&gt;0),"Slowdown",
  AND(D248&lt;0,E248&lt;0),"Contraction",
  AND(D248&gt;0,E248&lt;0),"Recovery",
  TRUE,"Undefined"
)</f>
        <v>Slowdown</v>
      </c>
      <c r="Q248" t="str">
        <f t="shared" si="37"/>
        <v>Slowdown</v>
      </c>
      <c r="R248">
        <f t="shared" si="31"/>
        <v>-1</v>
      </c>
      <c r="S248">
        <f t="shared" si="32"/>
        <v>-1</v>
      </c>
      <c r="T248">
        <f t="shared" si="33"/>
        <v>1</v>
      </c>
      <c r="U248">
        <f t="shared" si="34"/>
        <v>1</v>
      </c>
      <c r="V248" t="str" cm="1">
        <f t="array" ref="V248">_xlfn.IFS(
  AND(S248&gt;0,U248&gt;0),"Expansion",
  AND(S248&lt;0,U248&gt;0),"Slowdown",
  AND(S248&lt;0,U248&lt;0),"Contraction",
  AND(S248&gt;0,U248&lt;0),"Recovery",
  TRUE,"Undefined"
)</f>
        <v>Slowdown</v>
      </c>
      <c r="W248">
        <f t="shared" si="35"/>
        <v>0</v>
      </c>
      <c r="X248">
        <f t="shared" si="36"/>
        <v>0</v>
      </c>
      <c r="Y248">
        <v>0</v>
      </c>
    </row>
    <row r="249" spans="1:25" x14ac:dyDescent="0.35">
      <c r="A249" s="1">
        <f>Data!A249</f>
        <v>24685</v>
      </c>
      <c r="B249" s="2">
        <f>IFERROR((Data!B249/Data!B248-1)*100,"")</f>
        <v>0.29940119760478723</v>
      </c>
      <c r="C249" s="2">
        <f>IFERROR((Data!C249/Data!C248-1)*100,"")</f>
        <v>1.9159559819021288</v>
      </c>
      <c r="D249">
        <f t="shared" si="29"/>
        <v>0.5586059418020447</v>
      </c>
      <c r="E249">
        <f t="shared" si="30"/>
        <v>0.40131036838528072</v>
      </c>
      <c r="P249" t="str" cm="1">
        <f t="array" ref="P249">_xlfn.IFS(
  AND(D249&gt;0,E249&gt;0),"Expansion",
  AND(D249&lt;0,E249&gt;0),"Slowdown",
  AND(D249&lt;0,E249&lt;0),"Contraction",
  AND(D249&gt;0,E249&lt;0),"Recovery",
  TRUE,"Undefined"
)</f>
        <v>Expansion</v>
      </c>
      <c r="Q249" t="str">
        <f t="shared" si="37"/>
        <v>Slowdown</v>
      </c>
      <c r="R249">
        <f t="shared" si="31"/>
        <v>1</v>
      </c>
      <c r="S249">
        <f t="shared" si="32"/>
        <v>1</v>
      </c>
      <c r="T249">
        <f t="shared" si="33"/>
        <v>1</v>
      </c>
      <c r="U249">
        <f t="shared" si="34"/>
        <v>1</v>
      </c>
      <c r="V249" t="str" cm="1">
        <f t="array" ref="V249">_xlfn.IFS(
  AND(S249&gt;0,U249&gt;0),"Expansion",
  AND(S249&lt;0,U249&gt;0),"Slowdown",
  AND(S249&lt;0,U249&lt;0),"Contraction",
  AND(S249&gt;0,U249&lt;0),"Recovery",
  TRUE,"Undefined"
)</f>
        <v>Expansion</v>
      </c>
      <c r="W249">
        <f t="shared" si="35"/>
        <v>0</v>
      </c>
      <c r="X249">
        <f t="shared" si="36"/>
        <v>0</v>
      </c>
      <c r="Y249">
        <v>0</v>
      </c>
    </row>
    <row r="250" spans="1:25" x14ac:dyDescent="0.35">
      <c r="A250" s="1">
        <f>Data!A250</f>
        <v>24716</v>
      </c>
      <c r="B250" s="2">
        <f>IFERROR((Data!B250/Data!B249-1)*100,"")</f>
        <v>0.29850746268658135</v>
      </c>
      <c r="C250" s="2">
        <f>IFERROR((Data!C250/Data!C249-1)*100,"")</f>
        <v>-0.16236208447938383</v>
      </c>
      <c r="D250">
        <f t="shared" si="29"/>
        <v>0.50862175560837386</v>
      </c>
      <c r="E250">
        <f t="shared" si="30"/>
        <v>0.29940298686389105</v>
      </c>
      <c r="P250" t="str" cm="1">
        <f t="array" ref="P250">_xlfn.IFS(
  AND(D250&gt;0,E250&gt;0),"Expansion",
  AND(D250&lt;0,E250&gt;0),"Slowdown",
  AND(D250&lt;0,E250&lt;0),"Contraction",
  AND(D250&gt;0,E250&lt;0),"Recovery",
  TRUE,"Undefined"
)</f>
        <v>Expansion</v>
      </c>
      <c r="Q250" t="str">
        <f t="shared" si="37"/>
        <v>Slowdown</v>
      </c>
      <c r="R250">
        <f t="shared" si="31"/>
        <v>1</v>
      </c>
      <c r="S250">
        <f t="shared" si="32"/>
        <v>1</v>
      </c>
      <c r="T250">
        <f t="shared" si="33"/>
        <v>1</v>
      </c>
      <c r="U250">
        <f t="shared" si="34"/>
        <v>1</v>
      </c>
      <c r="V250" t="str" cm="1">
        <f t="array" ref="V250">_xlfn.IFS(
  AND(S250&gt;0,U250&gt;0),"Expansion",
  AND(S250&lt;0,U250&gt;0),"Slowdown",
  AND(S250&lt;0,U250&lt;0),"Contraction",
  AND(S250&gt;0,U250&lt;0),"Recovery",
  TRUE,"Undefined"
)</f>
        <v>Expansion</v>
      </c>
      <c r="W250">
        <f t="shared" si="35"/>
        <v>0</v>
      </c>
      <c r="X250">
        <f t="shared" si="36"/>
        <v>0</v>
      </c>
      <c r="Y250">
        <v>0</v>
      </c>
    </row>
    <row r="251" spans="1:25" x14ac:dyDescent="0.35">
      <c r="A251" s="1">
        <f>Data!A251</f>
        <v>24746</v>
      </c>
      <c r="B251" s="2">
        <f>IFERROR((Data!B251/Data!B250-1)*100,"")</f>
        <v>0.29761904761904656</v>
      </c>
      <c r="C251" s="2">
        <f>IFERROR((Data!C251/Data!C250-1)*100,"")</f>
        <v>0.81426788389860061</v>
      </c>
      <c r="D251">
        <f t="shared" si="29"/>
        <v>0.85595392710711515</v>
      </c>
      <c r="E251">
        <f t="shared" si="30"/>
        <v>0.2985092359701384</v>
      </c>
      <c r="P251" t="str" cm="1">
        <f t="array" ref="P251">_xlfn.IFS(
  AND(D251&gt;0,E251&gt;0),"Expansion",
  AND(D251&lt;0,E251&gt;0),"Slowdown",
  AND(D251&lt;0,E251&lt;0),"Contraction",
  AND(D251&gt;0,E251&lt;0),"Recovery",
  TRUE,"Undefined"
)</f>
        <v>Expansion</v>
      </c>
      <c r="Q251" t="str">
        <f t="shared" si="37"/>
        <v>Expansion</v>
      </c>
      <c r="R251">
        <f t="shared" si="31"/>
        <v>1</v>
      </c>
      <c r="S251">
        <f t="shared" si="32"/>
        <v>1</v>
      </c>
      <c r="T251">
        <f t="shared" si="33"/>
        <v>1</v>
      </c>
      <c r="U251">
        <f t="shared" si="34"/>
        <v>1</v>
      </c>
      <c r="V251" t="str" cm="1">
        <f t="array" ref="V251">_xlfn.IFS(
  AND(S251&gt;0,U251&gt;0),"Expansion",
  AND(S251&lt;0,U251&gt;0),"Slowdown",
  AND(S251&lt;0,U251&lt;0),"Contraction",
  AND(S251&gt;0,U251&lt;0),"Recovery",
  TRUE,"Undefined"
)</f>
        <v>Expansion</v>
      </c>
      <c r="W251">
        <f t="shared" si="35"/>
        <v>0</v>
      </c>
      <c r="X251">
        <f t="shared" si="36"/>
        <v>0</v>
      </c>
      <c r="Y251">
        <v>0</v>
      </c>
    </row>
    <row r="252" spans="1:25" x14ac:dyDescent="0.35">
      <c r="A252" s="1">
        <f>Data!A252</f>
        <v>24777</v>
      </c>
      <c r="B252" s="2">
        <f>IFERROR((Data!B252/Data!B251-1)*100,"")</f>
        <v>0.59347181008901906</v>
      </c>
      <c r="C252" s="2">
        <f>IFERROR((Data!C252/Data!C251-1)*100,"")</f>
        <v>1.4303803537032644</v>
      </c>
      <c r="D252">
        <f t="shared" si="29"/>
        <v>0.69409538437416041</v>
      </c>
      <c r="E252">
        <f t="shared" si="30"/>
        <v>0.3965327734648823</v>
      </c>
      <c r="P252" t="str" cm="1">
        <f t="array" ref="P252">_xlfn.IFS(
  AND(D252&gt;0,E252&gt;0),"Expansion",
  AND(D252&lt;0,E252&gt;0),"Slowdown",
  AND(D252&lt;0,E252&lt;0),"Contraction",
  AND(D252&gt;0,E252&lt;0),"Recovery",
  TRUE,"Undefined"
)</f>
        <v>Expansion</v>
      </c>
      <c r="Q252" t="str">
        <f t="shared" si="37"/>
        <v>Expansion</v>
      </c>
      <c r="R252">
        <f t="shared" si="31"/>
        <v>1</v>
      </c>
      <c r="S252">
        <f t="shared" si="32"/>
        <v>1</v>
      </c>
      <c r="T252">
        <f t="shared" si="33"/>
        <v>1</v>
      </c>
      <c r="U252">
        <f t="shared" si="34"/>
        <v>1</v>
      </c>
      <c r="V252" t="str" cm="1">
        <f t="array" ref="V252">_xlfn.IFS(
  AND(S252&gt;0,U252&gt;0),"Expansion",
  AND(S252&lt;0,U252&gt;0),"Slowdown",
  AND(S252&lt;0,U252&lt;0),"Contraction",
  AND(S252&gt;0,U252&lt;0),"Recovery",
  TRUE,"Undefined"
)</f>
        <v>Expansion</v>
      </c>
      <c r="W252">
        <f t="shared" si="35"/>
        <v>0</v>
      </c>
      <c r="X252">
        <f t="shared" si="36"/>
        <v>0</v>
      </c>
      <c r="Y252">
        <v>0</v>
      </c>
    </row>
    <row r="253" spans="1:25" x14ac:dyDescent="0.35">
      <c r="A253" s="1">
        <f>Data!A253</f>
        <v>24807</v>
      </c>
      <c r="B253" s="2">
        <f>IFERROR((Data!B253/Data!B252-1)*100,"")</f>
        <v>0.29498525073747839</v>
      </c>
      <c r="C253" s="2">
        <f>IFERROR((Data!C253/Data!C252-1)*100,"")</f>
        <v>1.0768413765108065</v>
      </c>
      <c r="D253">
        <f t="shared" si="29"/>
        <v>1.1071632047042239</v>
      </c>
      <c r="E253">
        <f t="shared" si="30"/>
        <v>0.39535870281518132</v>
      </c>
      <c r="P253" t="str" cm="1">
        <f t="array" ref="P253">_xlfn.IFS(
  AND(D253&gt;0,E253&gt;0),"Expansion",
  AND(D253&lt;0,E253&gt;0),"Slowdown",
  AND(D253&lt;0,E253&lt;0),"Contraction",
  AND(D253&gt;0,E253&lt;0),"Recovery",
  TRUE,"Undefined"
)</f>
        <v>Expansion</v>
      </c>
      <c r="Q253" t="str">
        <f t="shared" si="37"/>
        <v>Expansion</v>
      </c>
      <c r="R253">
        <f t="shared" si="31"/>
        <v>1</v>
      </c>
      <c r="S253">
        <f t="shared" si="32"/>
        <v>1</v>
      </c>
      <c r="T253">
        <f t="shared" si="33"/>
        <v>1</v>
      </c>
      <c r="U253">
        <f t="shared" si="34"/>
        <v>1</v>
      </c>
      <c r="V253" t="str" cm="1">
        <f t="array" ref="V253">_xlfn.IFS(
  AND(S253&gt;0,U253&gt;0),"Expansion",
  AND(S253&lt;0,U253&gt;0),"Slowdown",
  AND(S253&lt;0,U253&lt;0),"Contraction",
  AND(S253&gt;0,U253&lt;0),"Recovery",
  TRUE,"Undefined"
)</f>
        <v>Expansion</v>
      </c>
      <c r="W253">
        <f t="shared" si="35"/>
        <v>0</v>
      </c>
      <c r="X253">
        <f t="shared" si="36"/>
        <v>0</v>
      </c>
      <c r="Y253">
        <v>0</v>
      </c>
    </row>
    <row r="254" spans="1:25" x14ac:dyDescent="0.35">
      <c r="A254" s="1">
        <f>Data!A254</f>
        <v>24838</v>
      </c>
      <c r="B254" s="2">
        <f>IFERROR((Data!B254/Data!B253-1)*100,"")</f>
        <v>0.29411764705882248</v>
      </c>
      <c r="C254" s="2">
        <f>IFERROR((Data!C254/Data!C253-1)*100,"")</f>
        <v>-0.10755468509308086</v>
      </c>
      <c r="D254">
        <f t="shared" si="29"/>
        <v>0.79988901504033005</v>
      </c>
      <c r="E254">
        <f t="shared" si="30"/>
        <v>0.39419156929510663</v>
      </c>
      <c r="P254" t="str" cm="1">
        <f t="array" ref="P254">_xlfn.IFS(
  AND(D254&gt;0,E254&gt;0),"Expansion",
  AND(D254&lt;0,E254&gt;0),"Slowdown",
  AND(D254&lt;0,E254&lt;0),"Contraction",
  AND(D254&gt;0,E254&lt;0),"Recovery",
  TRUE,"Undefined"
)</f>
        <v>Expansion</v>
      </c>
      <c r="Q254" t="str">
        <f t="shared" si="37"/>
        <v>Expansion</v>
      </c>
      <c r="R254">
        <f t="shared" si="31"/>
        <v>1</v>
      </c>
      <c r="S254">
        <f t="shared" si="32"/>
        <v>1</v>
      </c>
      <c r="T254">
        <f t="shared" si="33"/>
        <v>1</v>
      </c>
      <c r="U254">
        <f t="shared" si="34"/>
        <v>1</v>
      </c>
      <c r="V254" t="str" cm="1">
        <f t="array" ref="V254">_xlfn.IFS(
  AND(S254&gt;0,U254&gt;0),"Expansion",
  AND(S254&lt;0,U254&gt;0),"Slowdown",
  AND(S254&lt;0,U254&lt;0),"Contraction",
  AND(S254&gt;0,U254&lt;0),"Recovery",
  TRUE,"Undefined"
)</f>
        <v>Expansion</v>
      </c>
      <c r="W254">
        <f t="shared" si="35"/>
        <v>0</v>
      </c>
      <c r="X254">
        <f t="shared" si="36"/>
        <v>0</v>
      </c>
      <c r="Y254">
        <v>0</v>
      </c>
    </row>
    <row r="255" spans="1:25" x14ac:dyDescent="0.35">
      <c r="A255" s="1">
        <f>Data!A255</f>
        <v>24869</v>
      </c>
      <c r="B255" s="2">
        <f>IFERROR((Data!B255/Data!B254-1)*100,"")</f>
        <v>0.29325513196480912</v>
      </c>
      <c r="C255" s="2">
        <f>IFERROR((Data!C255/Data!C254-1)*100,"")</f>
        <v>0.3582590976056288</v>
      </c>
      <c r="D255">
        <f t="shared" si="29"/>
        <v>0.44251526300778482</v>
      </c>
      <c r="E255">
        <f t="shared" si="30"/>
        <v>0.29411934325370331</v>
      </c>
      <c r="P255" t="str" cm="1">
        <f t="array" ref="P255">_xlfn.IFS(
  AND(D255&gt;0,E255&gt;0),"Expansion",
  AND(D255&lt;0,E255&gt;0),"Slowdown",
  AND(D255&lt;0,E255&lt;0),"Contraction",
  AND(D255&gt;0,E255&lt;0),"Recovery",
  TRUE,"Undefined"
)</f>
        <v>Expansion</v>
      </c>
      <c r="Q255" t="str">
        <f t="shared" si="37"/>
        <v>Expansion</v>
      </c>
      <c r="R255">
        <f t="shared" si="31"/>
        <v>1</v>
      </c>
      <c r="S255">
        <f t="shared" si="32"/>
        <v>1</v>
      </c>
      <c r="T255">
        <f t="shared" si="33"/>
        <v>1</v>
      </c>
      <c r="U255">
        <f t="shared" si="34"/>
        <v>1</v>
      </c>
      <c r="V255" t="str" cm="1">
        <f t="array" ref="V255">_xlfn.IFS(
  AND(S255&gt;0,U255&gt;0),"Expansion",
  AND(S255&lt;0,U255&gt;0),"Slowdown",
  AND(S255&lt;0,U255&lt;0),"Contraction",
  AND(S255&gt;0,U255&lt;0),"Recovery",
  TRUE,"Undefined"
)</f>
        <v>Expansion</v>
      </c>
      <c r="W255">
        <f t="shared" si="35"/>
        <v>0</v>
      </c>
      <c r="X255">
        <f t="shared" si="36"/>
        <v>0</v>
      </c>
      <c r="Y255">
        <v>0</v>
      </c>
    </row>
    <row r="256" spans="1:25" x14ac:dyDescent="0.35">
      <c r="A256" s="1">
        <f>Data!A256</f>
        <v>24898</v>
      </c>
      <c r="B256" s="2">
        <f>IFERROR((Data!B256/Data!B255-1)*100,"")</f>
        <v>0.29239766081869956</v>
      </c>
      <c r="C256" s="2">
        <f>IFERROR((Data!C256/Data!C255-1)*100,"")</f>
        <v>0.31225476476623992</v>
      </c>
      <c r="D256">
        <f t="shared" si="29"/>
        <v>0.18765305909292929</v>
      </c>
      <c r="E256">
        <f t="shared" si="30"/>
        <v>0.29325681328077707</v>
      </c>
      <c r="P256" t="str" cm="1">
        <f t="array" ref="P256">_xlfn.IFS(
  AND(D256&gt;0,E256&gt;0),"Expansion",
  AND(D256&lt;0,E256&gt;0),"Slowdown",
  AND(D256&lt;0,E256&lt;0),"Contraction",
  AND(D256&gt;0,E256&lt;0),"Recovery",
  TRUE,"Undefined"
)</f>
        <v>Expansion</v>
      </c>
      <c r="Q256" t="str">
        <f t="shared" si="37"/>
        <v>Expansion</v>
      </c>
      <c r="R256">
        <f t="shared" si="31"/>
        <v>1</v>
      </c>
      <c r="S256">
        <f t="shared" si="32"/>
        <v>1</v>
      </c>
      <c r="T256">
        <f t="shared" si="33"/>
        <v>1</v>
      </c>
      <c r="U256">
        <f t="shared" si="34"/>
        <v>1</v>
      </c>
      <c r="V256" t="str" cm="1">
        <f t="array" ref="V256">_xlfn.IFS(
  AND(S256&gt;0,U256&gt;0),"Expansion",
  AND(S256&lt;0,U256&gt;0),"Slowdown",
  AND(S256&lt;0,U256&lt;0),"Contraction",
  AND(S256&gt;0,U256&lt;0),"Recovery",
  TRUE,"Undefined"
)</f>
        <v>Expansion</v>
      </c>
      <c r="W256">
        <f t="shared" si="35"/>
        <v>0</v>
      </c>
      <c r="X256">
        <f t="shared" si="36"/>
        <v>0</v>
      </c>
      <c r="Y256">
        <v>0</v>
      </c>
    </row>
    <row r="257" spans="1:25" x14ac:dyDescent="0.35">
      <c r="A257" s="1">
        <f>Data!A257</f>
        <v>24929</v>
      </c>
      <c r="B257" s="2">
        <f>IFERROR((Data!B257/Data!B256-1)*100,"")</f>
        <v>0.29154518950438302</v>
      </c>
      <c r="C257" s="2">
        <f>IFERROR((Data!C257/Data!C256-1)*100,"")</f>
        <v>0.14469998687032248</v>
      </c>
      <c r="D257">
        <f t="shared" si="29"/>
        <v>0.27173794974739707</v>
      </c>
      <c r="E257">
        <f t="shared" si="30"/>
        <v>0.29239932742929725</v>
      </c>
      <c r="P257" t="str" cm="1">
        <f t="array" ref="P257">_xlfn.IFS(
  AND(D257&gt;0,E257&gt;0),"Expansion",
  AND(D257&lt;0,E257&gt;0),"Slowdown",
  AND(D257&lt;0,E257&lt;0),"Contraction",
  AND(D257&gt;0,E257&lt;0),"Recovery",
  TRUE,"Undefined"
)</f>
        <v>Expansion</v>
      </c>
      <c r="Q257" t="str">
        <f t="shared" si="37"/>
        <v>Expansion</v>
      </c>
      <c r="R257">
        <f t="shared" si="31"/>
        <v>1</v>
      </c>
      <c r="S257">
        <f t="shared" si="32"/>
        <v>1</v>
      </c>
      <c r="T257">
        <f t="shared" si="33"/>
        <v>1</v>
      </c>
      <c r="U257">
        <f t="shared" si="34"/>
        <v>1</v>
      </c>
      <c r="V257" t="str" cm="1">
        <f t="array" ref="V257">_xlfn.IFS(
  AND(S257&gt;0,U257&gt;0),"Expansion",
  AND(S257&lt;0,U257&gt;0),"Slowdown",
  AND(S257&lt;0,U257&lt;0),"Contraction",
  AND(S257&gt;0,U257&lt;0),"Recovery",
  TRUE,"Undefined"
)</f>
        <v>Expansion</v>
      </c>
      <c r="W257">
        <f t="shared" si="35"/>
        <v>0</v>
      </c>
      <c r="X257">
        <f t="shared" si="36"/>
        <v>0</v>
      </c>
      <c r="Y257">
        <v>0</v>
      </c>
    </row>
    <row r="258" spans="1:25" x14ac:dyDescent="0.35">
      <c r="A258" s="1">
        <f>Data!A258</f>
        <v>24959</v>
      </c>
      <c r="B258" s="2">
        <f>IFERROR((Data!B258/Data!B257-1)*100,"")</f>
        <v>0.29069767441860517</v>
      </c>
      <c r="C258" s="2">
        <f>IFERROR((Data!C258/Data!C257-1)*100,"")</f>
        <v>1.1217848041451539</v>
      </c>
      <c r="D258">
        <f t="shared" si="29"/>
        <v>0.52624651859390548</v>
      </c>
      <c r="E258">
        <f t="shared" si="30"/>
        <v>0.2915468415805626</v>
      </c>
      <c r="P258" t="str" cm="1">
        <f t="array" ref="P258">_xlfn.IFS(
  AND(D258&gt;0,E258&gt;0),"Expansion",
  AND(D258&lt;0,E258&gt;0),"Slowdown",
  AND(D258&lt;0,E258&lt;0),"Contraction",
  AND(D258&gt;0,E258&lt;0),"Recovery",
  TRUE,"Undefined"
)</f>
        <v>Expansion</v>
      </c>
      <c r="Q258" t="str">
        <f t="shared" si="37"/>
        <v>Expansion</v>
      </c>
      <c r="R258">
        <f t="shared" si="31"/>
        <v>1</v>
      </c>
      <c r="S258">
        <f t="shared" si="32"/>
        <v>1</v>
      </c>
      <c r="T258">
        <f t="shared" si="33"/>
        <v>1</v>
      </c>
      <c r="U258">
        <f t="shared" si="34"/>
        <v>1</v>
      </c>
      <c r="V258" t="str" cm="1">
        <f t="array" ref="V258">_xlfn.IFS(
  AND(S258&gt;0,U258&gt;0),"Expansion",
  AND(S258&lt;0,U258&gt;0),"Slowdown",
  AND(S258&lt;0,U258&lt;0),"Contraction",
  AND(S258&gt;0,U258&lt;0),"Recovery",
  TRUE,"Undefined"
)</f>
        <v>Expansion</v>
      </c>
      <c r="W258">
        <f t="shared" si="35"/>
        <v>0</v>
      </c>
      <c r="X258">
        <f t="shared" si="36"/>
        <v>0</v>
      </c>
      <c r="Y258">
        <v>0</v>
      </c>
    </row>
    <row r="259" spans="1:25" x14ac:dyDescent="0.35">
      <c r="A259" s="1">
        <f>Data!A259</f>
        <v>24990</v>
      </c>
      <c r="B259" s="2">
        <f>IFERROR((Data!B259/Data!B258-1)*100,"")</f>
        <v>0.57971014492754769</v>
      </c>
      <c r="C259" s="2">
        <f>IFERROR((Data!C259/Data!C258-1)*100,"")</f>
        <v>0.36734914375236016</v>
      </c>
      <c r="D259">
        <f t="shared" si="29"/>
        <v>0.54461131158927889</v>
      </c>
      <c r="E259">
        <f t="shared" si="30"/>
        <v>0.38731766961684527</v>
      </c>
      <c r="P259" t="str" cm="1">
        <f t="array" ref="P259">_xlfn.IFS(
  AND(D259&gt;0,E259&gt;0),"Expansion",
  AND(D259&lt;0,E259&gt;0),"Slowdown",
  AND(D259&lt;0,E259&lt;0),"Contraction",
  AND(D259&gt;0,E259&lt;0),"Recovery",
  TRUE,"Undefined"
)</f>
        <v>Expansion</v>
      </c>
      <c r="Q259" t="str">
        <f t="shared" si="37"/>
        <v>Expansion</v>
      </c>
      <c r="R259">
        <f t="shared" si="31"/>
        <v>1</v>
      </c>
      <c r="S259">
        <f t="shared" si="32"/>
        <v>1</v>
      </c>
      <c r="T259">
        <f t="shared" si="33"/>
        <v>1</v>
      </c>
      <c r="U259">
        <f t="shared" si="34"/>
        <v>1</v>
      </c>
      <c r="V259" t="str" cm="1">
        <f t="array" ref="V259">_xlfn.IFS(
  AND(S259&gt;0,U259&gt;0),"Expansion",
  AND(S259&lt;0,U259&gt;0),"Slowdown",
  AND(S259&lt;0,U259&lt;0),"Contraction",
  AND(S259&gt;0,U259&lt;0),"Recovery",
  TRUE,"Undefined"
)</f>
        <v>Expansion</v>
      </c>
      <c r="W259">
        <f t="shared" si="35"/>
        <v>0</v>
      </c>
      <c r="X259">
        <f t="shared" si="36"/>
        <v>0</v>
      </c>
      <c r="Y259">
        <v>0</v>
      </c>
    </row>
    <row r="260" spans="1:25" x14ac:dyDescent="0.35">
      <c r="A260" s="1">
        <f>Data!A260</f>
        <v>25020</v>
      </c>
      <c r="B260" s="2">
        <f>IFERROR((Data!B260/Data!B259-1)*100,"")</f>
        <v>0.57636887608067955</v>
      </c>
      <c r="C260" s="2">
        <f>IFERROR((Data!C260/Data!C259-1)*100,"")</f>
        <v>-0.15339899886970265</v>
      </c>
      <c r="D260">
        <f t="shared" si="29"/>
        <v>0.44524498300927046</v>
      </c>
      <c r="E260">
        <f t="shared" si="30"/>
        <v>0.48225889847561082</v>
      </c>
      <c r="P260" t="str" cm="1">
        <f t="array" ref="P260">_xlfn.IFS(
  AND(D260&gt;0,E260&gt;0),"Expansion",
  AND(D260&lt;0,E260&gt;0),"Slowdown",
  AND(D260&lt;0,E260&lt;0),"Contraction",
  AND(D260&gt;0,E260&lt;0),"Recovery",
  TRUE,"Undefined"
)</f>
        <v>Expansion</v>
      </c>
      <c r="Q260" t="str">
        <f t="shared" si="37"/>
        <v>Expansion</v>
      </c>
      <c r="R260">
        <f t="shared" si="31"/>
        <v>1</v>
      </c>
      <c r="S260">
        <f t="shared" si="32"/>
        <v>1</v>
      </c>
      <c r="T260">
        <f t="shared" si="33"/>
        <v>1</v>
      </c>
      <c r="U260">
        <f t="shared" si="34"/>
        <v>1</v>
      </c>
      <c r="V260" t="str" cm="1">
        <f t="array" ref="V260">_xlfn.IFS(
  AND(S260&gt;0,U260&gt;0),"Expansion",
  AND(S260&lt;0,U260&gt;0),"Slowdown",
  AND(S260&lt;0,U260&lt;0),"Contraction",
  AND(S260&gt;0,U260&lt;0),"Recovery",
  TRUE,"Undefined"
)</f>
        <v>Expansion</v>
      </c>
      <c r="W260">
        <f t="shared" si="35"/>
        <v>0</v>
      </c>
      <c r="X260">
        <f t="shared" si="36"/>
        <v>0</v>
      </c>
      <c r="Y260">
        <v>0</v>
      </c>
    </row>
    <row r="261" spans="1:25" x14ac:dyDescent="0.35">
      <c r="A261" s="1">
        <f>Data!A261</f>
        <v>25051</v>
      </c>
      <c r="B261" s="2">
        <f>IFERROR((Data!B261/Data!B260-1)*100,"")</f>
        <v>0.28653295128939771</v>
      </c>
      <c r="C261" s="2">
        <f>IFERROR((Data!C261/Data!C260-1)*100,"")</f>
        <v>0.27896822188082648</v>
      </c>
      <c r="D261">
        <f t="shared" ref="D261:D324" si="38">SUM(C259:C261)/3</f>
        <v>0.16430612225449467</v>
      </c>
      <c r="E261">
        <f t="shared" ref="E261:E324" si="39">SUM(B259:B261)/3</f>
        <v>0.48087065743254165</v>
      </c>
      <c r="P261" t="str" cm="1">
        <f t="array" ref="P261">_xlfn.IFS(
  AND(D261&gt;0,E261&gt;0),"Expansion",
  AND(D261&lt;0,E261&gt;0),"Slowdown",
  AND(D261&lt;0,E261&lt;0),"Contraction",
  AND(D261&gt;0,E261&lt;0),"Recovery",
  TRUE,"Undefined"
)</f>
        <v>Expansion</v>
      </c>
      <c r="Q261" t="str">
        <f t="shared" si="37"/>
        <v>Expansion</v>
      </c>
      <c r="R261">
        <f t="shared" si="31"/>
        <v>1</v>
      </c>
      <c r="S261">
        <f t="shared" si="32"/>
        <v>1</v>
      </c>
      <c r="T261">
        <f t="shared" si="33"/>
        <v>1</v>
      </c>
      <c r="U261">
        <f t="shared" si="34"/>
        <v>1</v>
      </c>
      <c r="V261" t="str" cm="1">
        <f t="array" ref="V261">_xlfn.IFS(
  AND(S261&gt;0,U261&gt;0),"Expansion",
  AND(S261&lt;0,U261&gt;0),"Slowdown",
  AND(S261&lt;0,U261&lt;0),"Contraction",
  AND(S261&gt;0,U261&lt;0),"Recovery",
  TRUE,"Undefined"
)</f>
        <v>Expansion</v>
      </c>
      <c r="W261">
        <f t="shared" si="35"/>
        <v>0</v>
      </c>
      <c r="X261">
        <f t="shared" si="36"/>
        <v>0</v>
      </c>
      <c r="Y261">
        <v>0</v>
      </c>
    </row>
    <row r="262" spans="1:25" x14ac:dyDescent="0.35">
      <c r="A262" s="1">
        <f>Data!A262</f>
        <v>25082</v>
      </c>
      <c r="B262" s="2">
        <f>IFERROR((Data!B262/Data!B261-1)*100,"")</f>
        <v>0.28571428571428914</v>
      </c>
      <c r="C262" s="2">
        <f>IFERROR((Data!C262/Data!C261-1)*100,"")</f>
        <v>0.37871762824388533</v>
      </c>
      <c r="D262">
        <f t="shared" si="38"/>
        <v>0.16809561708500306</v>
      </c>
      <c r="E262">
        <f t="shared" si="39"/>
        <v>0.38287203769478878</v>
      </c>
      <c r="P262" t="str" cm="1">
        <f t="array" ref="P262">_xlfn.IFS(
  AND(D262&gt;0,E262&gt;0),"Expansion",
  AND(D262&lt;0,E262&gt;0),"Slowdown",
  AND(D262&lt;0,E262&lt;0),"Contraction",
  AND(D262&gt;0,E262&lt;0),"Recovery",
  TRUE,"Undefined"
)</f>
        <v>Expansion</v>
      </c>
      <c r="Q262" t="str">
        <f t="shared" si="37"/>
        <v>Expansion</v>
      </c>
      <c r="R262">
        <f t="shared" ref="R262:R325" si="40">IF(D262&gt;-0.26, 1, -1)</f>
        <v>1</v>
      </c>
      <c r="S262">
        <f t="shared" ref="S262:S325" si="41">IF(R262=1, IF(D262 &lt; -$L$5, -1, 1), IF(D262 &gt; $L$5, 1, -1))</f>
        <v>1</v>
      </c>
      <c r="T262">
        <f t="shared" ref="T262:T325" si="42">IF(E262&gt;0, 1, -1)</f>
        <v>1</v>
      </c>
      <c r="U262">
        <f t="shared" ref="U262:U325" si="43">IF(T262=1, IF(E262 &lt; -$M$5, -1, 1), IF(E262 &gt; $M$5, 1, -1))</f>
        <v>1</v>
      </c>
      <c r="V262" t="str" cm="1">
        <f t="array" ref="V262">_xlfn.IFS(
  AND(S262&gt;0,U262&gt;0),"Expansion",
  AND(S262&lt;0,U262&gt;0),"Slowdown",
  AND(S262&lt;0,U262&lt;0),"Contraction",
  AND(S262&gt;0,U262&lt;0),"Recovery",
  TRUE,"Undefined"
)</f>
        <v>Expansion</v>
      </c>
      <c r="W262">
        <f t="shared" ref="W262:W325" si="44">IF(Q262="Contraction", 1, 0)</f>
        <v>0</v>
      </c>
      <c r="X262">
        <f t="shared" ref="X262:X325" si="45">IF(V262="Contraction", 1, 0)</f>
        <v>0</v>
      </c>
      <c r="Y262">
        <v>0</v>
      </c>
    </row>
    <row r="263" spans="1:25" x14ac:dyDescent="0.35">
      <c r="A263" s="1">
        <f>Data!A263</f>
        <v>25112</v>
      </c>
      <c r="B263" s="2">
        <f>IFERROR((Data!B263/Data!B262-1)*100,"")</f>
        <v>0.56980056980056037</v>
      </c>
      <c r="C263" s="2">
        <f>IFERROR((Data!C263/Data!C262-1)*100,"")</f>
        <v>0.19868578191692965</v>
      </c>
      <c r="D263">
        <f t="shared" si="38"/>
        <v>0.28545721068054714</v>
      </c>
      <c r="E263">
        <f t="shared" si="39"/>
        <v>0.38068260226808243</v>
      </c>
      <c r="P263" t="str" cm="1">
        <f t="array" ref="P263">_xlfn.IFS(
  AND(D263&gt;0,E263&gt;0),"Expansion",
  AND(D263&lt;0,E263&gt;0),"Slowdown",
  AND(D263&lt;0,E263&lt;0),"Contraction",
  AND(D263&gt;0,E263&lt;0),"Recovery",
  TRUE,"Undefined"
)</f>
        <v>Expansion</v>
      </c>
      <c r="Q263" t="str">
        <f t="shared" si="37"/>
        <v>Expansion</v>
      </c>
      <c r="R263">
        <f t="shared" si="40"/>
        <v>1</v>
      </c>
      <c r="S263">
        <f t="shared" si="41"/>
        <v>1</v>
      </c>
      <c r="T263">
        <f t="shared" si="42"/>
        <v>1</v>
      </c>
      <c r="U263">
        <f t="shared" si="43"/>
        <v>1</v>
      </c>
      <c r="V263" t="str" cm="1">
        <f t="array" ref="V263">_xlfn.IFS(
  AND(S263&gt;0,U263&gt;0),"Expansion",
  AND(S263&lt;0,U263&gt;0),"Slowdown",
  AND(S263&lt;0,U263&lt;0),"Contraction",
  AND(S263&gt;0,U263&lt;0),"Recovery",
  TRUE,"Undefined"
)</f>
        <v>Expansion</v>
      </c>
      <c r="W263">
        <f t="shared" si="44"/>
        <v>0</v>
      </c>
      <c r="X263">
        <f t="shared" si="45"/>
        <v>0</v>
      </c>
      <c r="Y263">
        <v>0</v>
      </c>
    </row>
    <row r="264" spans="1:25" x14ac:dyDescent="0.35">
      <c r="A264" s="1">
        <f>Data!A264</f>
        <v>25143</v>
      </c>
      <c r="B264" s="2">
        <f>IFERROR((Data!B264/Data!B263-1)*100,"")</f>
        <v>0.28328611898016387</v>
      </c>
      <c r="C264" s="2">
        <f>IFERROR((Data!C264/Data!C263-1)*100,"")</f>
        <v>1.2934398016012816</v>
      </c>
      <c r="D264">
        <f t="shared" si="38"/>
        <v>0.62361440392069889</v>
      </c>
      <c r="E264">
        <f t="shared" si="39"/>
        <v>0.37960032483167111</v>
      </c>
      <c r="P264" t="str" cm="1">
        <f t="array" ref="P264">_xlfn.IFS(
  AND(D264&gt;0,E264&gt;0),"Expansion",
  AND(D264&lt;0,E264&gt;0),"Slowdown",
  AND(D264&lt;0,E264&lt;0),"Contraction",
  AND(D264&gt;0,E264&lt;0),"Recovery",
  TRUE,"Undefined"
)</f>
        <v>Expansion</v>
      </c>
      <c r="Q264" t="str">
        <f t="shared" ref="Q264:Q327" si="46">IF(AND(P264=P263, P263=P262), P264, Q263)</f>
        <v>Expansion</v>
      </c>
      <c r="R264">
        <f t="shared" si="40"/>
        <v>1</v>
      </c>
      <c r="S264">
        <f t="shared" si="41"/>
        <v>1</v>
      </c>
      <c r="T264">
        <f t="shared" si="42"/>
        <v>1</v>
      </c>
      <c r="U264">
        <f t="shared" si="43"/>
        <v>1</v>
      </c>
      <c r="V264" t="str" cm="1">
        <f t="array" ref="V264">_xlfn.IFS(
  AND(S264&gt;0,U264&gt;0),"Expansion",
  AND(S264&lt;0,U264&gt;0),"Slowdown",
  AND(S264&lt;0,U264&lt;0),"Contraction",
  AND(S264&gt;0,U264&lt;0),"Recovery",
  TRUE,"Undefined"
)</f>
        <v>Expansion</v>
      </c>
      <c r="W264">
        <f t="shared" si="44"/>
        <v>0</v>
      </c>
      <c r="X264">
        <f t="shared" si="45"/>
        <v>0</v>
      </c>
      <c r="Y264">
        <v>0</v>
      </c>
    </row>
    <row r="265" spans="1:25" x14ac:dyDescent="0.35">
      <c r="A265" s="1">
        <f>Data!A265</f>
        <v>25173</v>
      </c>
      <c r="B265" s="2">
        <f>IFERROR((Data!B265/Data!B264-1)*100,"")</f>
        <v>0.56497175141243527</v>
      </c>
      <c r="C265" s="2">
        <f>IFERROR((Data!C265/Data!C264-1)*100,"")</f>
        <v>0.31580113762281758</v>
      </c>
      <c r="D265">
        <f t="shared" si="38"/>
        <v>0.60264224038034298</v>
      </c>
      <c r="E265">
        <f t="shared" si="39"/>
        <v>0.47268614673105319</v>
      </c>
      <c r="P265" t="str" cm="1">
        <f t="array" ref="P265">_xlfn.IFS(
  AND(D265&gt;0,E265&gt;0),"Expansion",
  AND(D265&lt;0,E265&gt;0),"Slowdown",
  AND(D265&lt;0,E265&lt;0),"Contraction",
  AND(D265&gt;0,E265&lt;0),"Recovery",
  TRUE,"Undefined"
)</f>
        <v>Expansion</v>
      </c>
      <c r="Q265" t="str">
        <f t="shared" si="46"/>
        <v>Expansion</v>
      </c>
      <c r="R265">
        <f t="shared" si="40"/>
        <v>1</v>
      </c>
      <c r="S265">
        <f t="shared" si="41"/>
        <v>1</v>
      </c>
      <c r="T265">
        <f t="shared" si="42"/>
        <v>1</v>
      </c>
      <c r="U265">
        <f t="shared" si="43"/>
        <v>1</v>
      </c>
      <c r="V265" t="str" cm="1">
        <f t="array" ref="V265">_xlfn.IFS(
  AND(S265&gt;0,U265&gt;0),"Expansion",
  AND(S265&lt;0,U265&gt;0),"Slowdown",
  AND(S265&lt;0,U265&lt;0),"Contraction",
  AND(S265&gt;0,U265&lt;0),"Recovery",
  TRUE,"Undefined"
)</f>
        <v>Expansion</v>
      </c>
      <c r="W265">
        <f t="shared" si="44"/>
        <v>0</v>
      </c>
      <c r="X265">
        <f t="shared" si="45"/>
        <v>0</v>
      </c>
      <c r="Y265">
        <v>0</v>
      </c>
    </row>
    <row r="266" spans="1:25" x14ac:dyDescent="0.35">
      <c r="A266" s="1">
        <f>Data!A266</f>
        <v>25204</v>
      </c>
      <c r="B266" s="2">
        <f>IFERROR((Data!B266/Data!B265-1)*100,"")</f>
        <v>0.28089887640450062</v>
      </c>
      <c r="C266" s="2">
        <f>IFERROR((Data!C266/Data!C265-1)*100,"")</f>
        <v>0.60489226342796965</v>
      </c>
      <c r="D266">
        <f t="shared" si="38"/>
        <v>0.7380444008840229</v>
      </c>
      <c r="E266">
        <f t="shared" si="39"/>
        <v>0.3763855822656999</v>
      </c>
      <c r="P266" t="str" cm="1">
        <f t="array" ref="P266">_xlfn.IFS(
  AND(D266&gt;0,E266&gt;0),"Expansion",
  AND(D266&lt;0,E266&gt;0),"Slowdown",
  AND(D266&lt;0,E266&lt;0),"Contraction",
  AND(D266&gt;0,E266&lt;0),"Recovery",
  TRUE,"Undefined"
)</f>
        <v>Expansion</v>
      </c>
      <c r="Q266" t="str">
        <f t="shared" si="46"/>
        <v>Expansion</v>
      </c>
      <c r="R266">
        <f t="shared" si="40"/>
        <v>1</v>
      </c>
      <c r="S266">
        <f t="shared" si="41"/>
        <v>1</v>
      </c>
      <c r="T266">
        <f t="shared" si="42"/>
        <v>1</v>
      </c>
      <c r="U266">
        <f t="shared" si="43"/>
        <v>1</v>
      </c>
      <c r="V266" t="str" cm="1">
        <f t="array" ref="V266">_xlfn.IFS(
  AND(S266&gt;0,U266&gt;0),"Expansion",
  AND(S266&lt;0,U266&gt;0),"Slowdown",
  AND(S266&lt;0,U266&lt;0),"Contraction",
  AND(S266&gt;0,U266&lt;0),"Recovery",
  TRUE,"Undefined"
)</f>
        <v>Expansion</v>
      </c>
      <c r="W266">
        <f t="shared" si="44"/>
        <v>0</v>
      </c>
      <c r="X266">
        <f t="shared" si="45"/>
        <v>0</v>
      </c>
      <c r="Y266">
        <v>0</v>
      </c>
    </row>
    <row r="267" spans="1:25" x14ac:dyDescent="0.35">
      <c r="A267" s="1">
        <f>Data!A267</f>
        <v>25235</v>
      </c>
      <c r="B267" s="2">
        <f>IFERROR((Data!B267/Data!B266-1)*100,"")</f>
        <v>0.28011204481790397</v>
      </c>
      <c r="C267" s="2">
        <f>IFERROR((Data!C267/Data!C266-1)*100,"")</f>
        <v>0.63994478907700714</v>
      </c>
      <c r="D267">
        <f t="shared" si="38"/>
        <v>0.52021273004259816</v>
      </c>
      <c r="E267">
        <f t="shared" si="39"/>
        <v>0.37532755754494662</v>
      </c>
      <c r="P267" t="str" cm="1">
        <f t="array" ref="P267">_xlfn.IFS(
  AND(D267&gt;0,E267&gt;0),"Expansion",
  AND(D267&lt;0,E267&gt;0),"Slowdown",
  AND(D267&lt;0,E267&lt;0),"Contraction",
  AND(D267&gt;0,E267&lt;0),"Recovery",
  TRUE,"Undefined"
)</f>
        <v>Expansion</v>
      </c>
      <c r="Q267" t="str">
        <f t="shared" si="46"/>
        <v>Expansion</v>
      </c>
      <c r="R267">
        <f t="shared" si="40"/>
        <v>1</v>
      </c>
      <c r="S267">
        <f t="shared" si="41"/>
        <v>1</v>
      </c>
      <c r="T267">
        <f t="shared" si="42"/>
        <v>1</v>
      </c>
      <c r="U267">
        <f t="shared" si="43"/>
        <v>1</v>
      </c>
      <c r="V267" t="str" cm="1">
        <f t="array" ref="V267">_xlfn.IFS(
  AND(S267&gt;0,U267&gt;0),"Expansion",
  AND(S267&lt;0,U267&gt;0),"Slowdown",
  AND(S267&lt;0,U267&lt;0),"Contraction",
  AND(S267&gt;0,U267&lt;0),"Recovery",
  TRUE,"Undefined"
)</f>
        <v>Expansion</v>
      </c>
      <c r="W267">
        <f t="shared" si="44"/>
        <v>0</v>
      </c>
      <c r="X267">
        <f t="shared" si="45"/>
        <v>0</v>
      </c>
      <c r="Y267">
        <v>0</v>
      </c>
    </row>
    <row r="268" spans="1:25" x14ac:dyDescent="0.35">
      <c r="A268" s="1">
        <f>Data!A268</f>
        <v>25263</v>
      </c>
      <c r="B268" s="2">
        <f>IFERROR((Data!B268/Data!B267-1)*100,"")</f>
        <v>0.8379888268156499</v>
      </c>
      <c r="C268" s="2">
        <f>IFERROR((Data!C268/Data!C267-1)*100,"")</f>
        <v>0.78419454466582827</v>
      </c>
      <c r="D268">
        <f t="shared" si="38"/>
        <v>0.67634386572360172</v>
      </c>
      <c r="E268">
        <f t="shared" si="39"/>
        <v>0.46633324934601816</v>
      </c>
      <c r="P268" t="str" cm="1">
        <f t="array" ref="P268">_xlfn.IFS(
  AND(D268&gt;0,E268&gt;0),"Expansion",
  AND(D268&lt;0,E268&gt;0),"Slowdown",
  AND(D268&lt;0,E268&lt;0),"Contraction",
  AND(D268&gt;0,E268&lt;0),"Recovery",
  TRUE,"Undefined"
)</f>
        <v>Expansion</v>
      </c>
      <c r="Q268" t="str">
        <f t="shared" si="46"/>
        <v>Expansion</v>
      </c>
      <c r="R268">
        <f t="shared" si="40"/>
        <v>1</v>
      </c>
      <c r="S268">
        <f t="shared" si="41"/>
        <v>1</v>
      </c>
      <c r="T268">
        <f t="shared" si="42"/>
        <v>1</v>
      </c>
      <c r="U268">
        <f t="shared" si="43"/>
        <v>1</v>
      </c>
      <c r="V268" t="str" cm="1">
        <f t="array" ref="V268">_xlfn.IFS(
  AND(S268&gt;0,U268&gt;0),"Expansion",
  AND(S268&lt;0,U268&gt;0),"Slowdown",
  AND(S268&lt;0,U268&lt;0),"Contraction",
  AND(S268&gt;0,U268&lt;0),"Recovery",
  TRUE,"Undefined"
)</f>
        <v>Expansion</v>
      </c>
      <c r="W268">
        <f t="shared" si="44"/>
        <v>0</v>
      </c>
      <c r="X268">
        <f t="shared" si="45"/>
        <v>0</v>
      </c>
      <c r="Y268">
        <v>0</v>
      </c>
    </row>
    <row r="269" spans="1:25" x14ac:dyDescent="0.35">
      <c r="A269" s="1">
        <f>Data!A269</f>
        <v>25294</v>
      </c>
      <c r="B269" s="2">
        <f>IFERROR((Data!B269/Data!B268-1)*100,"")</f>
        <v>0.55401662049860967</v>
      </c>
      <c r="C269" s="2">
        <f>IFERROR((Data!C269/Data!C268-1)*100,"")</f>
        <v>-0.36778350515462854</v>
      </c>
      <c r="D269">
        <f t="shared" si="38"/>
        <v>0.35211860952940227</v>
      </c>
      <c r="E269">
        <f t="shared" si="39"/>
        <v>0.55737249737738781</v>
      </c>
      <c r="P269" t="str" cm="1">
        <f t="array" ref="P269">_xlfn.IFS(
  AND(D269&gt;0,E269&gt;0),"Expansion",
  AND(D269&lt;0,E269&gt;0),"Slowdown",
  AND(D269&lt;0,E269&lt;0),"Contraction",
  AND(D269&gt;0,E269&lt;0),"Recovery",
  TRUE,"Undefined"
)</f>
        <v>Expansion</v>
      </c>
      <c r="Q269" t="str">
        <f t="shared" si="46"/>
        <v>Expansion</v>
      </c>
      <c r="R269">
        <f t="shared" si="40"/>
        <v>1</v>
      </c>
      <c r="S269">
        <f t="shared" si="41"/>
        <v>1</v>
      </c>
      <c r="T269">
        <f t="shared" si="42"/>
        <v>1</v>
      </c>
      <c r="U269">
        <f t="shared" si="43"/>
        <v>1</v>
      </c>
      <c r="V269" t="str" cm="1">
        <f t="array" ref="V269">_xlfn.IFS(
  AND(S269&gt;0,U269&gt;0),"Expansion",
  AND(S269&lt;0,U269&gt;0),"Slowdown",
  AND(S269&lt;0,U269&lt;0),"Contraction",
  AND(S269&gt;0,U269&lt;0),"Recovery",
  TRUE,"Undefined"
)</f>
        <v>Expansion</v>
      </c>
      <c r="W269">
        <f t="shared" si="44"/>
        <v>0</v>
      </c>
      <c r="X269">
        <f t="shared" si="45"/>
        <v>0</v>
      </c>
      <c r="Y269">
        <v>0</v>
      </c>
    </row>
    <row r="270" spans="1:25" x14ac:dyDescent="0.35">
      <c r="A270" s="1">
        <f>Data!A270</f>
        <v>25324</v>
      </c>
      <c r="B270" s="2">
        <f>IFERROR((Data!B270/Data!B269-1)*100,"")</f>
        <v>0.27548209366392573</v>
      </c>
      <c r="C270" s="2">
        <f>IFERROR((Data!C270/Data!C269-1)*100,"")</f>
        <v>-0.3781950627695152</v>
      </c>
      <c r="D270">
        <f t="shared" si="38"/>
        <v>1.2738658913894843E-2</v>
      </c>
      <c r="E270">
        <f t="shared" si="39"/>
        <v>0.55582918032606177</v>
      </c>
      <c r="P270" t="str" cm="1">
        <f t="array" ref="P270">_xlfn.IFS(
  AND(D270&gt;0,E270&gt;0),"Expansion",
  AND(D270&lt;0,E270&gt;0),"Slowdown",
  AND(D270&lt;0,E270&lt;0),"Contraction",
  AND(D270&gt;0,E270&lt;0),"Recovery",
  TRUE,"Undefined"
)</f>
        <v>Expansion</v>
      </c>
      <c r="Q270" t="str">
        <f t="shared" si="46"/>
        <v>Expansion</v>
      </c>
      <c r="R270">
        <f t="shared" si="40"/>
        <v>1</v>
      </c>
      <c r="S270">
        <f t="shared" si="41"/>
        <v>1</v>
      </c>
      <c r="T270">
        <f t="shared" si="42"/>
        <v>1</v>
      </c>
      <c r="U270">
        <f t="shared" si="43"/>
        <v>1</v>
      </c>
      <c r="V270" t="str" cm="1">
        <f t="array" ref="V270">_xlfn.IFS(
  AND(S270&gt;0,U270&gt;0),"Expansion",
  AND(S270&lt;0,U270&gt;0),"Slowdown",
  AND(S270&lt;0,U270&lt;0),"Contraction",
  AND(S270&gt;0,U270&lt;0),"Recovery",
  TRUE,"Undefined"
)</f>
        <v>Expansion</v>
      </c>
      <c r="W270">
        <f t="shared" si="44"/>
        <v>0</v>
      </c>
      <c r="X270">
        <f t="shared" si="45"/>
        <v>0</v>
      </c>
      <c r="Y270">
        <v>0</v>
      </c>
    </row>
    <row r="271" spans="1:25" x14ac:dyDescent="0.35">
      <c r="A271" s="1">
        <f>Data!A271</f>
        <v>25355</v>
      </c>
      <c r="B271" s="2">
        <f>IFERROR((Data!B271/Data!B270-1)*100,"")</f>
        <v>0.5494505494505475</v>
      </c>
      <c r="C271" s="2">
        <f>IFERROR((Data!C271/Data!C270-1)*100,"")</f>
        <v>0.97712088203141256</v>
      </c>
      <c r="D271">
        <f t="shared" si="38"/>
        <v>7.7047438035756269E-2</v>
      </c>
      <c r="E271">
        <f t="shared" si="39"/>
        <v>0.4596497545376943</v>
      </c>
      <c r="P271" t="str" cm="1">
        <f t="array" ref="P271">_xlfn.IFS(
  AND(D271&gt;0,E271&gt;0),"Expansion",
  AND(D271&lt;0,E271&gt;0),"Slowdown",
  AND(D271&lt;0,E271&lt;0),"Contraction",
  AND(D271&gt;0,E271&lt;0),"Recovery",
  TRUE,"Undefined"
)</f>
        <v>Expansion</v>
      </c>
      <c r="Q271" t="str">
        <f t="shared" si="46"/>
        <v>Expansion</v>
      </c>
      <c r="R271">
        <f t="shared" si="40"/>
        <v>1</v>
      </c>
      <c r="S271">
        <f t="shared" si="41"/>
        <v>1</v>
      </c>
      <c r="T271">
        <f t="shared" si="42"/>
        <v>1</v>
      </c>
      <c r="U271">
        <f t="shared" si="43"/>
        <v>1</v>
      </c>
      <c r="V271" t="str" cm="1">
        <f t="array" ref="V271">_xlfn.IFS(
  AND(S271&gt;0,U271&gt;0),"Expansion",
  AND(S271&lt;0,U271&gt;0),"Slowdown",
  AND(S271&lt;0,U271&lt;0),"Contraction",
  AND(S271&gt;0,U271&lt;0),"Recovery",
  TRUE,"Undefined"
)</f>
        <v>Expansion</v>
      </c>
      <c r="W271">
        <f t="shared" si="44"/>
        <v>0</v>
      </c>
      <c r="X271">
        <f t="shared" si="45"/>
        <v>0</v>
      </c>
      <c r="Y271">
        <v>0</v>
      </c>
    </row>
    <row r="272" spans="1:25" x14ac:dyDescent="0.35">
      <c r="A272" s="1">
        <f>Data!A272</f>
        <v>25385</v>
      </c>
      <c r="B272" s="2">
        <f>IFERROR((Data!B272/Data!B271-1)*100,"")</f>
        <v>0.54644808743167239</v>
      </c>
      <c r="C272" s="2">
        <f>IFERROR((Data!C272/Data!C271-1)*100,"")</f>
        <v>0.52793449806365356</v>
      </c>
      <c r="D272">
        <f t="shared" si="38"/>
        <v>0.37562010577518362</v>
      </c>
      <c r="E272">
        <f t="shared" si="39"/>
        <v>0.45712691018204854</v>
      </c>
      <c r="P272" t="str" cm="1">
        <f t="array" ref="P272">_xlfn.IFS(
  AND(D272&gt;0,E272&gt;0),"Expansion",
  AND(D272&lt;0,E272&gt;0),"Slowdown",
  AND(D272&lt;0,E272&lt;0),"Contraction",
  AND(D272&gt;0,E272&lt;0),"Recovery",
  TRUE,"Undefined"
)</f>
        <v>Expansion</v>
      </c>
      <c r="Q272" t="str">
        <f t="shared" si="46"/>
        <v>Expansion</v>
      </c>
      <c r="R272">
        <f t="shared" si="40"/>
        <v>1</v>
      </c>
      <c r="S272">
        <f t="shared" si="41"/>
        <v>1</v>
      </c>
      <c r="T272">
        <f t="shared" si="42"/>
        <v>1</v>
      </c>
      <c r="U272">
        <f t="shared" si="43"/>
        <v>1</v>
      </c>
      <c r="V272" t="str" cm="1">
        <f t="array" ref="V272">_xlfn.IFS(
  AND(S272&gt;0,U272&gt;0),"Expansion",
  AND(S272&lt;0,U272&gt;0),"Slowdown",
  AND(S272&lt;0,U272&lt;0),"Contraction",
  AND(S272&gt;0,U272&lt;0),"Recovery",
  TRUE,"Undefined"
)</f>
        <v>Expansion</v>
      </c>
      <c r="W272">
        <f t="shared" si="44"/>
        <v>0</v>
      </c>
      <c r="X272">
        <f t="shared" si="45"/>
        <v>0</v>
      </c>
      <c r="Y272">
        <v>0</v>
      </c>
    </row>
    <row r="273" spans="1:25" x14ac:dyDescent="0.35">
      <c r="A273" s="1">
        <f>Data!A273</f>
        <v>25416</v>
      </c>
      <c r="B273" s="2">
        <f>IFERROR((Data!B273/Data!B272-1)*100,"")</f>
        <v>0.27173913043478937</v>
      </c>
      <c r="C273" s="2">
        <f>IFERROR((Data!C273/Data!C272-1)*100,"")</f>
        <v>0.22971040629067296</v>
      </c>
      <c r="D273">
        <f t="shared" si="38"/>
        <v>0.57825526212857969</v>
      </c>
      <c r="E273">
        <f t="shared" si="39"/>
        <v>0.4558792557723364</v>
      </c>
      <c r="P273" t="str" cm="1">
        <f t="array" ref="P273">_xlfn.IFS(
  AND(D273&gt;0,E273&gt;0),"Expansion",
  AND(D273&lt;0,E273&gt;0),"Slowdown",
  AND(D273&lt;0,E273&lt;0),"Contraction",
  AND(D273&gt;0,E273&lt;0),"Recovery",
  TRUE,"Undefined"
)</f>
        <v>Expansion</v>
      </c>
      <c r="Q273" t="str">
        <f t="shared" si="46"/>
        <v>Expansion</v>
      </c>
      <c r="R273">
        <f t="shared" si="40"/>
        <v>1</v>
      </c>
      <c r="S273">
        <f t="shared" si="41"/>
        <v>1</v>
      </c>
      <c r="T273">
        <f t="shared" si="42"/>
        <v>1</v>
      </c>
      <c r="U273">
        <f t="shared" si="43"/>
        <v>1</v>
      </c>
      <c r="V273" t="str" cm="1">
        <f t="array" ref="V273">_xlfn.IFS(
  AND(S273&gt;0,U273&gt;0),"Expansion",
  AND(S273&lt;0,U273&gt;0),"Slowdown",
  AND(S273&lt;0,U273&lt;0),"Contraction",
  AND(S273&gt;0,U273&lt;0),"Recovery",
  TRUE,"Undefined"
)</f>
        <v>Expansion</v>
      </c>
      <c r="W273">
        <f t="shared" si="44"/>
        <v>0</v>
      </c>
      <c r="X273">
        <f t="shared" si="45"/>
        <v>0</v>
      </c>
      <c r="Y273">
        <v>0</v>
      </c>
    </row>
    <row r="274" spans="1:25" x14ac:dyDescent="0.35">
      <c r="A274" s="1">
        <f>Data!A274</f>
        <v>25447</v>
      </c>
      <c r="B274" s="2">
        <f>IFERROR((Data!B274/Data!B273-1)*100,"")</f>
        <v>0.54200542005420349</v>
      </c>
      <c r="C274" s="2">
        <f>IFERROR((Data!C274/Data!C273-1)*100,"")</f>
        <v>-2.2459005933772591E-2</v>
      </c>
      <c r="D274">
        <f t="shared" si="38"/>
        <v>0.24506196614018463</v>
      </c>
      <c r="E274">
        <f t="shared" si="39"/>
        <v>0.45339754597355508</v>
      </c>
      <c r="P274" t="str" cm="1">
        <f t="array" ref="P274">_xlfn.IFS(
  AND(D274&gt;0,E274&gt;0),"Expansion",
  AND(D274&lt;0,E274&gt;0),"Slowdown",
  AND(D274&lt;0,E274&lt;0),"Contraction",
  AND(D274&gt;0,E274&lt;0),"Recovery",
  TRUE,"Undefined"
)</f>
        <v>Expansion</v>
      </c>
      <c r="Q274" t="str">
        <f t="shared" si="46"/>
        <v>Expansion</v>
      </c>
      <c r="R274">
        <f t="shared" si="40"/>
        <v>1</v>
      </c>
      <c r="S274">
        <f t="shared" si="41"/>
        <v>1</v>
      </c>
      <c r="T274">
        <f t="shared" si="42"/>
        <v>1</v>
      </c>
      <c r="U274">
        <f t="shared" si="43"/>
        <v>1</v>
      </c>
      <c r="V274" t="str" cm="1">
        <f t="array" ref="V274">_xlfn.IFS(
  AND(S274&gt;0,U274&gt;0),"Expansion",
  AND(S274&lt;0,U274&gt;0),"Slowdown",
  AND(S274&lt;0,U274&lt;0),"Contraction",
  AND(S274&gt;0,U274&lt;0),"Recovery",
  TRUE,"Undefined"
)</f>
        <v>Expansion</v>
      </c>
      <c r="W274">
        <f t="shared" si="44"/>
        <v>0</v>
      </c>
      <c r="X274">
        <f t="shared" si="45"/>
        <v>0</v>
      </c>
      <c r="Y274">
        <v>0</v>
      </c>
    </row>
    <row r="275" spans="1:25" x14ac:dyDescent="0.35">
      <c r="A275" s="1">
        <f>Data!A275</f>
        <v>25477</v>
      </c>
      <c r="B275" s="2">
        <f>IFERROR((Data!B275/Data!B274-1)*100,"")</f>
        <v>0.53908355795146967</v>
      </c>
      <c r="C275" s="2">
        <f>IFERROR((Data!C275/Data!C274-1)*100,"")</f>
        <v>2.9356430462290639E-2</v>
      </c>
      <c r="D275">
        <f t="shared" si="38"/>
        <v>7.8869276939730337E-2</v>
      </c>
      <c r="E275">
        <f t="shared" si="39"/>
        <v>0.45094270281348753</v>
      </c>
      <c r="P275" t="str" cm="1">
        <f t="array" ref="P275">_xlfn.IFS(
  AND(D275&gt;0,E275&gt;0),"Expansion",
  AND(D275&lt;0,E275&gt;0),"Slowdown",
  AND(D275&lt;0,E275&lt;0),"Contraction",
  AND(D275&gt;0,E275&lt;0),"Recovery",
  TRUE,"Undefined"
)</f>
        <v>Expansion</v>
      </c>
      <c r="Q275" t="str">
        <f t="shared" si="46"/>
        <v>Expansion</v>
      </c>
      <c r="R275">
        <f t="shared" si="40"/>
        <v>1</v>
      </c>
      <c r="S275">
        <f t="shared" si="41"/>
        <v>1</v>
      </c>
      <c r="T275">
        <f t="shared" si="42"/>
        <v>1</v>
      </c>
      <c r="U275">
        <f t="shared" si="43"/>
        <v>1</v>
      </c>
      <c r="V275" t="str" cm="1">
        <f t="array" ref="V275">_xlfn.IFS(
  AND(S275&gt;0,U275&gt;0),"Expansion",
  AND(S275&lt;0,U275&gt;0),"Slowdown",
  AND(S275&lt;0,U275&lt;0),"Contraction",
  AND(S275&gt;0,U275&lt;0),"Recovery",
  TRUE,"Undefined"
)</f>
        <v>Expansion</v>
      </c>
      <c r="W275">
        <f t="shared" si="44"/>
        <v>0</v>
      </c>
      <c r="X275">
        <f t="shared" si="45"/>
        <v>0</v>
      </c>
      <c r="Y275">
        <v>0</v>
      </c>
    </row>
    <row r="276" spans="1:25" x14ac:dyDescent="0.35">
      <c r="A276" s="1">
        <f>Data!A276</f>
        <v>25508</v>
      </c>
      <c r="B276" s="2">
        <f>IFERROR((Data!B276/Data!B275-1)*100,"")</f>
        <v>0.53619302949061698</v>
      </c>
      <c r="C276" s="2">
        <f>IFERROR((Data!C276/Data!C275-1)*100,"")</f>
        <v>-0.94270285720118308</v>
      </c>
      <c r="D276">
        <f t="shared" si="38"/>
        <v>-0.31193514422422169</v>
      </c>
      <c r="E276">
        <f t="shared" si="39"/>
        <v>0.53909400249876338</v>
      </c>
      <c r="P276" t="str" cm="1">
        <f t="array" ref="P276">_xlfn.IFS(
  AND(D276&gt;0,E276&gt;0),"Expansion",
  AND(D276&lt;0,E276&gt;0),"Slowdown",
  AND(D276&lt;0,E276&lt;0),"Contraction",
  AND(D276&gt;0,E276&lt;0),"Recovery",
  TRUE,"Undefined"
)</f>
        <v>Slowdown</v>
      </c>
      <c r="Q276" t="str">
        <f t="shared" si="46"/>
        <v>Expansion</v>
      </c>
      <c r="R276">
        <f t="shared" si="40"/>
        <v>-1</v>
      </c>
      <c r="S276">
        <f t="shared" si="41"/>
        <v>-1</v>
      </c>
      <c r="T276">
        <f t="shared" si="42"/>
        <v>1</v>
      </c>
      <c r="U276">
        <f t="shared" si="43"/>
        <v>1</v>
      </c>
      <c r="V276" t="str" cm="1">
        <f t="array" ref="V276">_xlfn.IFS(
  AND(S276&gt;0,U276&gt;0),"Expansion",
  AND(S276&lt;0,U276&gt;0),"Slowdown",
  AND(S276&lt;0,U276&lt;0),"Contraction",
  AND(S276&gt;0,U276&lt;0),"Recovery",
  TRUE,"Undefined"
)</f>
        <v>Slowdown</v>
      </c>
      <c r="W276">
        <f t="shared" si="44"/>
        <v>0</v>
      </c>
      <c r="X276">
        <f t="shared" si="45"/>
        <v>0</v>
      </c>
      <c r="Y276">
        <v>0</v>
      </c>
    </row>
    <row r="277" spans="1:25" x14ac:dyDescent="0.35">
      <c r="A277" s="1">
        <f>Data!A277</f>
        <v>25538</v>
      </c>
      <c r="B277" s="2">
        <f>IFERROR((Data!B277/Data!B276-1)*100,"")</f>
        <v>0.53333333333334121</v>
      </c>
      <c r="C277" s="2">
        <f>IFERROR((Data!C277/Data!C276-1)*100,"")</f>
        <v>-0.26844738482784125</v>
      </c>
      <c r="D277">
        <f t="shared" si="38"/>
        <v>-0.39393127052224458</v>
      </c>
      <c r="E277">
        <f t="shared" si="39"/>
        <v>0.53620330692514262</v>
      </c>
      <c r="P277" t="str" cm="1">
        <f t="array" ref="P277">_xlfn.IFS(
  AND(D277&gt;0,E277&gt;0),"Expansion",
  AND(D277&lt;0,E277&gt;0),"Slowdown",
  AND(D277&lt;0,E277&lt;0),"Contraction",
  AND(D277&gt;0,E277&lt;0),"Recovery",
  TRUE,"Undefined"
)</f>
        <v>Slowdown</v>
      </c>
      <c r="Q277" t="str">
        <f t="shared" si="46"/>
        <v>Expansion</v>
      </c>
      <c r="R277">
        <f t="shared" si="40"/>
        <v>-1</v>
      </c>
      <c r="S277">
        <f t="shared" si="41"/>
        <v>-1</v>
      </c>
      <c r="T277">
        <f t="shared" si="42"/>
        <v>1</v>
      </c>
      <c r="U277">
        <f t="shared" si="43"/>
        <v>1</v>
      </c>
      <c r="V277" t="str" cm="1">
        <f t="array" ref="V277">_xlfn.IFS(
  AND(S277&gt;0,U277&gt;0),"Expansion",
  AND(S277&lt;0,U277&gt;0),"Slowdown",
  AND(S277&lt;0,U277&lt;0),"Contraction",
  AND(S277&gt;0,U277&lt;0),"Recovery",
  TRUE,"Undefined"
)</f>
        <v>Slowdown</v>
      </c>
      <c r="W277">
        <f t="shared" si="44"/>
        <v>0</v>
      </c>
      <c r="X277">
        <f t="shared" si="45"/>
        <v>0</v>
      </c>
      <c r="Y277">
        <v>0</v>
      </c>
    </row>
    <row r="278" spans="1:25" x14ac:dyDescent="0.35">
      <c r="A278" s="1">
        <f>Data!A278</f>
        <v>25569</v>
      </c>
      <c r="B278" s="2">
        <f>IFERROR((Data!B278/Data!B277-1)*100,"")</f>
        <v>0.53050397877982824</v>
      </c>
      <c r="C278" s="2">
        <f>IFERROR((Data!C278/Data!C277-1)*100,"")</f>
        <v>-1.8516413684786959</v>
      </c>
      <c r="D278">
        <f t="shared" si="38"/>
        <v>-1.0209305368359067</v>
      </c>
      <c r="E278">
        <f t="shared" si="39"/>
        <v>0.53334344720126214</v>
      </c>
      <c r="P278" t="str" cm="1">
        <f t="array" ref="P278">_xlfn.IFS(
  AND(D278&gt;0,E278&gt;0),"Expansion",
  AND(D278&lt;0,E278&gt;0),"Slowdown",
  AND(D278&lt;0,E278&lt;0),"Contraction",
  AND(D278&gt;0,E278&lt;0),"Recovery",
  TRUE,"Undefined"
)</f>
        <v>Slowdown</v>
      </c>
      <c r="Q278" t="str">
        <f t="shared" si="46"/>
        <v>Slowdown</v>
      </c>
      <c r="R278">
        <f t="shared" si="40"/>
        <v>-1</v>
      </c>
      <c r="S278">
        <f t="shared" si="41"/>
        <v>-1</v>
      </c>
      <c r="T278">
        <f t="shared" si="42"/>
        <v>1</v>
      </c>
      <c r="U278">
        <f t="shared" si="43"/>
        <v>1</v>
      </c>
      <c r="V278" t="str" cm="1">
        <f t="array" ref="V278">_xlfn.IFS(
  AND(S278&gt;0,U278&gt;0),"Expansion",
  AND(S278&lt;0,U278&gt;0),"Slowdown",
  AND(S278&lt;0,U278&lt;0),"Contraction",
  AND(S278&gt;0,U278&lt;0),"Recovery",
  TRUE,"Undefined"
)</f>
        <v>Slowdown</v>
      </c>
      <c r="W278">
        <f t="shared" si="44"/>
        <v>0</v>
      </c>
      <c r="X278">
        <f t="shared" si="45"/>
        <v>0</v>
      </c>
      <c r="Y278">
        <v>1</v>
      </c>
    </row>
    <row r="279" spans="1:25" x14ac:dyDescent="0.35">
      <c r="A279" s="1">
        <f>Data!A279</f>
        <v>25600</v>
      </c>
      <c r="B279" s="2">
        <f>IFERROR((Data!B279/Data!B278-1)*100,"")</f>
        <v>0.52770448548813409</v>
      </c>
      <c r="C279" s="2">
        <f>IFERROR((Data!C279/Data!C278-1)*100,"")</f>
        <v>-6.5798477686418444E-2</v>
      </c>
      <c r="D279">
        <f t="shared" si="38"/>
        <v>-0.72862907699765189</v>
      </c>
      <c r="E279">
        <f t="shared" si="39"/>
        <v>0.53051393253376788</v>
      </c>
      <c r="P279" t="str" cm="1">
        <f t="array" ref="P279">_xlfn.IFS(
  AND(D279&gt;0,E279&gt;0),"Expansion",
  AND(D279&lt;0,E279&gt;0),"Slowdown",
  AND(D279&lt;0,E279&lt;0),"Contraction",
  AND(D279&gt;0,E279&lt;0),"Recovery",
  TRUE,"Undefined"
)</f>
        <v>Slowdown</v>
      </c>
      <c r="Q279" t="str">
        <f t="shared" si="46"/>
        <v>Slowdown</v>
      </c>
      <c r="R279">
        <f t="shared" si="40"/>
        <v>-1</v>
      </c>
      <c r="S279">
        <f t="shared" si="41"/>
        <v>-1</v>
      </c>
      <c r="T279">
        <f t="shared" si="42"/>
        <v>1</v>
      </c>
      <c r="U279">
        <f t="shared" si="43"/>
        <v>1</v>
      </c>
      <c r="V279" t="str" cm="1">
        <f t="array" ref="V279">_xlfn.IFS(
  AND(S279&gt;0,U279&gt;0),"Expansion",
  AND(S279&lt;0,U279&gt;0),"Slowdown",
  AND(S279&lt;0,U279&lt;0),"Contraction",
  AND(S279&gt;0,U279&lt;0),"Recovery",
  TRUE,"Undefined"
)</f>
        <v>Slowdown</v>
      </c>
      <c r="W279">
        <f t="shared" si="44"/>
        <v>0</v>
      </c>
      <c r="X279">
        <f t="shared" si="45"/>
        <v>0</v>
      </c>
      <c r="Y279">
        <v>1</v>
      </c>
    </row>
    <row r="280" spans="1:25" x14ac:dyDescent="0.35">
      <c r="A280" s="1">
        <f>Data!A280</f>
        <v>25628</v>
      </c>
      <c r="B280" s="2">
        <f>IFERROR((Data!B280/Data!B279-1)*100,"")</f>
        <v>0.5249343832020914</v>
      </c>
      <c r="C280" s="2">
        <f>IFERROR((Data!C280/Data!C279-1)*100,"")</f>
        <v>-0.1298400307612968</v>
      </c>
      <c r="D280">
        <f t="shared" si="38"/>
        <v>-0.68242662564213707</v>
      </c>
      <c r="E280">
        <f t="shared" si="39"/>
        <v>0.52771428249001795</v>
      </c>
      <c r="P280" t="str" cm="1">
        <f t="array" ref="P280">_xlfn.IFS(
  AND(D280&gt;0,E280&gt;0),"Expansion",
  AND(D280&lt;0,E280&gt;0),"Slowdown",
  AND(D280&lt;0,E280&lt;0),"Contraction",
  AND(D280&gt;0,E280&lt;0),"Recovery",
  TRUE,"Undefined"
)</f>
        <v>Slowdown</v>
      </c>
      <c r="Q280" t="str">
        <f t="shared" si="46"/>
        <v>Slowdown</v>
      </c>
      <c r="R280">
        <f t="shared" si="40"/>
        <v>-1</v>
      </c>
      <c r="S280">
        <f t="shared" si="41"/>
        <v>-1</v>
      </c>
      <c r="T280">
        <f t="shared" si="42"/>
        <v>1</v>
      </c>
      <c r="U280">
        <f t="shared" si="43"/>
        <v>1</v>
      </c>
      <c r="V280" t="str" cm="1">
        <f t="array" ref="V280">_xlfn.IFS(
  AND(S280&gt;0,U280&gt;0),"Expansion",
  AND(S280&lt;0,U280&gt;0),"Slowdown",
  AND(S280&lt;0,U280&lt;0),"Contraction",
  AND(S280&gt;0,U280&lt;0),"Recovery",
  TRUE,"Undefined"
)</f>
        <v>Slowdown</v>
      </c>
      <c r="W280">
        <f t="shared" si="44"/>
        <v>0</v>
      </c>
      <c r="X280">
        <f t="shared" si="45"/>
        <v>0</v>
      </c>
      <c r="Y280">
        <v>1</v>
      </c>
    </row>
    <row r="281" spans="1:25" x14ac:dyDescent="0.35">
      <c r="A281" s="1">
        <f>Data!A281</f>
        <v>25659</v>
      </c>
      <c r="B281" s="2">
        <f>IFERROR((Data!B281/Data!B280-1)*100,"")</f>
        <v>0.52219321148825326</v>
      </c>
      <c r="C281" s="2">
        <f>IFERROR((Data!C281/Data!C280-1)*100,"")</f>
        <v>-0.2571168629105558</v>
      </c>
      <c r="D281">
        <f t="shared" si="38"/>
        <v>-0.15091845711942367</v>
      </c>
      <c r="E281">
        <f t="shared" si="39"/>
        <v>0.52494402672615958</v>
      </c>
      <c r="P281" t="str" cm="1">
        <f t="array" ref="P281">_xlfn.IFS(
  AND(D281&gt;0,E281&gt;0),"Expansion",
  AND(D281&lt;0,E281&gt;0),"Slowdown",
  AND(D281&lt;0,E281&lt;0),"Contraction",
  AND(D281&gt;0,E281&lt;0),"Recovery",
  TRUE,"Undefined"
)</f>
        <v>Slowdown</v>
      </c>
      <c r="Q281" t="str">
        <f t="shared" si="46"/>
        <v>Slowdown</v>
      </c>
      <c r="R281">
        <f t="shared" si="40"/>
        <v>1</v>
      </c>
      <c r="S281">
        <f t="shared" si="41"/>
        <v>1</v>
      </c>
      <c r="T281">
        <f t="shared" si="42"/>
        <v>1</v>
      </c>
      <c r="U281">
        <f t="shared" si="43"/>
        <v>1</v>
      </c>
      <c r="V281" t="str" cm="1">
        <f t="array" ref="V281">_xlfn.IFS(
  AND(S281&gt;0,U281&gt;0),"Expansion",
  AND(S281&lt;0,U281&gt;0),"Slowdown",
  AND(S281&lt;0,U281&lt;0),"Contraction",
  AND(S281&gt;0,U281&lt;0),"Recovery",
  TRUE,"Undefined"
)</f>
        <v>Expansion</v>
      </c>
      <c r="W281">
        <f t="shared" si="44"/>
        <v>0</v>
      </c>
      <c r="X281">
        <f t="shared" si="45"/>
        <v>0</v>
      </c>
      <c r="Y281">
        <v>1</v>
      </c>
    </row>
    <row r="282" spans="1:25" x14ac:dyDescent="0.35">
      <c r="A282" s="1">
        <f>Data!A282</f>
        <v>25689</v>
      </c>
      <c r="B282" s="2">
        <f>IFERROR((Data!B282/Data!B281-1)*100,"")</f>
        <v>0.25974025974027093</v>
      </c>
      <c r="C282" s="2">
        <f>IFERROR((Data!C282/Data!C281-1)*100,"")</f>
        <v>-0.11659572217962433</v>
      </c>
      <c r="D282">
        <f t="shared" si="38"/>
        <v>-0.16785087195049231</v>
      </c>
      <c r="E282">
        <f t="shared" si="39"/>
        <v>0.43562261814353853</v>
      </c>
      <c r="P282" t="str" cm="1">
        <f t="array" ref="P282">_xlfn.IFS(
  AND(D282&gt;0,E282&gt;0),"Expansion",
  AND(D282&lt;0,E282&gt;0),"Slowdown",
  AND(D282&lt;0,E282&lt;0),"Contraction",
  AND(D282&gt;0,E282&lt;0),"Recovery",
  TRUE,"Undefined"
)</f>
        <v>Slowdown</v>
      </c>
      <c r="Q282" t="str">
        <f t="shared" si="46"/>
        <v>Slowdown</v>
      </c>
      <c r="R282">
        <f t="shared" si="40"/>
        <v>1</v>
      </c>
      <c r="S282">
        <f t="shared" si="41"/>
        <v>1</v>
      </c>
      <c r="T282">
        <f t="shared" si="42"/>
        <v>1</v>
      </c>
      <c r="U282">
        <f t="shared" si="43"/>
        <v>1</v>
      </c>
      <c r="V282" t="str" cm="1">
        <f t="array" ref="V282">_xlfn.IFS(
  AND(S282&gt;0,U282&gt;0),"Expansion",
  AND(S282&lt;0,U282&gt;0),"Slowdown",
  AND(S282&lt;0,U282&lt;0),"Contraction",
  AND(S282&gt;0,U282&lt;0),"Recovery",
  TRUE,"Undefined"
)</f>
        <v>Expansion</v>
      </c>
      <c r="W282">
        <f t="shared" si="44"/>
        <v>0</v>
      </c>
      <c r="X282">
        <f t="shared" si="45"/>
        <v>0</v>
      </c>
      <c r="Y282">
        <v>1</v>
      </c>
    </row>
    <row r="283" spans="1:25" x14ac:dyDescent="0.35">
      <c r="A283" s="1">
        <f>Data!A283</f>
        <v>25720</v>
      </c>
      <c r="B283" s="2">
        <f>IFERROR((Data!B283/Data!B282-1)*100,"")</f>
        <v>0.51813471502588637</v>
      </c>
      <c r="C283" s="2">
        <f>IFERROR((Data!C283/Data!C282-1)*100,"")</f>
        <v>-0.32346097954149</v>
      </c>
      <c r="D283">
        <f t="shared" si="38"/>
        <v>-0.23239118821055671</v>
      </c>
      <c r="E283">
        <f t="shared" si="39"/>
        <v>0.43335606208480354</v>
      </c>
      <c r="P283" t="str" cm="1">
        <f t="array" ref="P283">_xlfn.IFS(
  AND(D283&gt;0,E283&gt;0),"Expansion",
  AND(D283&lt;0,E283&gt;0),"Slowdown",
  AND(D283&lt;0,E283&lt;0),"Contraction",
  AND(D283&gt;0,E283&lt;0),"Recovery",
  TRUE,"Undefined"
)</f>
        <v>Slowdown</v>
      </c>
      <c r="Q283" t="str">
        <f t="shared" si="46"/>
        <v>Slowdown</v>
      </c>
      <c r="R283">
        <f t="shared" si="40"/>
        <v>1</v>
      </c>
      <c r="S283">
        <f t="shared" si="41"/>
        <v>1</v>
      </c>
      <c r="T283">
        <f t="shared" si="42"/>
        <v>1</v>
      </c>
      <c r="U283">
        <f t="shared" si="43"/>
        <v>1</v>
      </c>
      <c r="V283" t="str" cm="1">
        <f t="array" ref="V283">_xlfn.IFS(
  AND(S283&gt;0,U283&gt;0),"Expansion",
  AND(S283&lt;0,U283&gt;0),"Slowdown",
  AND(S283&lt;0,U283&lt;0),"Contraction",
  AND(S283&gt;0,U283&lt;0),"Recovery",
  TRUE,"Undefined"
)</f>
        <v>Expansion</v>
      </c>
      <c r="W283">
        <f t="shared" si="44"/>
        <v>0</v>
      </c>
      <c r="X283">
        <f t="shared" si="45"/>
        <v>0</v>
      </c>
      <c r="Y283">
        <v>1</v>
      </c>
    </row>
    <row r="284" spans="1:25" x14ac:dyDescent="0.35">
      <c r="A284" s="1">
        <f>Data!A284</f>
        <v>25750</v>
      </c>
      <c r="B284" s="2">
        <f>IFERROR((Data!B284/Data!B283-1)*100,"")</f>
        <v>0.25773195876288568</v>
      </c>
      <c r="C284" s="2">
        <f>IFERROR((Data!C284/Data!C283-1)*100,"")</f>
        <v>0.24537466108287553</v>
      </c>
      <c r="D284">
        <f t="shared" si="38"/>
        <v>-6.4894013546079599E-2</v>
      </c>
      <c r="E284">
        <f t="shared" si="39"/>
        <v>0.34520231117634764</v>
      </c>
      <c r="P284" t="str" cm="1">
        <f t="array" ref="P284">_xlfn.IFS(
  AND(D284&gt;0,E284&gt;0),"Expansion",
  AND(D284&lt;0,E284&gt;0),"Slowdown",
  AND(D284&lt;0,E284&lt;0),"Contraction",
  AND(D284&gt;0,E284&lt;0),"Recovery",
  TRUE,"Undefined"
)</f>
        <v>Slowdown</v>
      </c>
      <c r="Q284" t="str">
        <f t="shared" si="46"/>
        <v>Slowdown</v>
      </c>
      <c r="R284">
        <f t="shared" si="40"/>
        <v>1</v>
      </c>
      <c r="S284">
        <f t="shared" si="41"/>
        <v>1</v>
      </c>
      <c r="T284">
        <f t="shared" si="42"/>
        <v>1</v>
      </c>
      <c r="U284">
        <f t="shared" si="43"/>
        <v>1</v>
      </c>
      <c r="V284" t="str" cm="1">
        <f t="array" ref="V284">_xlfn.IFS(
  AND(S284&gt;0,U284&gt;0),"Expansion",
  AND(S284&lt;0,U284&gt;0),"Slowdown",
  AND(S284&lt;0,U284&lt;0),"Contraction",
  AND(S284&gt;0,U284&lt;0),"Recovery",
  TRUE,"Undefined"
)</f>
        <v>Expansion</v>
      </c>
      <c r="W284">
        <f t="shared" si="44"/>
        <v>0</v>
      </c>
      <c r="X284">
        <f t="shared" si="45"/>
        <v>0</v>
      </c>
      <c r="Y284">
        <v>1</v>
      </c>
    </row>
    <row r="285" spans="1:25" x14ac:dyDescent="0.35">
      <c r="A285" s="1">
        <f>Data!A285</f>
        <v>25781</v>
      </c>
      <c r="B285" s="2">
        <f>IFERROR((Data!B285/Data!B284-1)*100,"")</f>
        <v>0.25706940874037354</v>
      </c>
      <c r="C285" s="2">
        <f>IFERROR((Data!C285/Data!C284-1)*100,"")</f>
        <v>-0.17828239613658647</v>
      </c>
      <c r="D285">
        <f t="shared" si="38"/>
        <v>-8.5456238198400314E-2</v>
      </c>
      <c r="E285">
        <f t="shared" si="39"/>
        <v>0.34431202750971518</v>
      </c>
      <c r="P285" t="str" cm="1">
        <f t="array" ref="P285">_xlfn.IFS(
  AND(D285&gt;0,E285&gt;0),"Expansion",
  AND(D285&lt;0,E285&gt;0),"Slowdown",
  AND(D285&lt;0,E285&lt;0),"Contraction",
  AND(D285&gt;0,E285&lt;0),"Recovery",
  TRUE,"Undefined"
)</f>
        <v>Slowdown</v>
      </c>
      <c r="Q285" t="str">
        <f t="shared" si="46"/>
        <v>Slowdown</v>
      </c>
      <c r="R285">
        <f t="shared" si="40"/>
        <v>1</v>
      </c>
      <c r="S285">
        <f t="shared" si="41"/>
        <v>1</v>
      </c>
      <c r="T285">
        <f t="shared" si="42"/>
        <v>1</v>
      </c>
      <c r="U285">
        <f t="shared" si="43"/>
        <v>1</v>
      </c>
      <c r="V285" t="str" cm="1">
        <f t="array" ref="V285">_xlfn.IFS(
  AND(S285&gt;0,U285&gt;0),"Expansion",
  AND(S285&lt;0,U285&gt;0),"Slowdown",
  AND(S285&lt;0,U285&lt;0),"Contraction",
  AND(S285&gt;0,U285&lt;0),"Recovery",
  TRUE,"Undefined"
)</f>
        <v>Expansion</v>
      </c>
      <c r="W285">
        <f t="shared" si="44"/>
        <v>0</v>
      </c>
      <c r="X285">
        <f t="shared" si="45"/>
        <v>0</v>
      </c>
      <c r="Y285">
        <v>1</v>
      </c>
    </row>
    <row r="286" spans="1:25" x14ac:dyDescent="0.35">
      <c r="A286" s="1">
        <f>Data!A286</f>
        <v>25812</v>
      </c>
      <c r="B286" s="2">
        <f>IFERROR((Data!B286/Data!B285-1)*100,"")</f>
        <v>0.512820512820511</v>
      </c>
      <c r="C286" s="2">
        <f>IFERROR((Data!C286/Data!C285-1)*100,"")</f>
        <v>-0.68919212988763912</v>
      </c>
      <c r="D286">
        <f t="shared" si="38"/>
        <v>-0.20736662164711669</v>
      </c>
      <c r="E286">
        <f t="shared" si="39"/>
        <v>0.34254062677459007</v>
      </c>
      <c r="P286" t="str" cm="1">
        <f t="array" ref="P286">_xlfn.IFS(
  AND(D286&gt;0,E286&gt;0),"Expansion",
  AND(D286&lt;0,E286&gt;0),"Slowdown",
  AND(D286&lt;0,E286&lt;0),"Contraction",
  AND(D286&gt;0,E286&lt;0),"Recovery",
  TRUE,"Undefined"
)</f>
        <v>Slowdown</v>
      </c>
      <c r="Q286" t="str">
        <f t="shared" si="46"/>
        <v>Slowdown</v>
      </c>
      <c r="R286">
        <f t="shared" si="40"/>
        <v>1</v>
      </c>
      <c r="S286">
        <f t="shared" si="41"/>
        <v>1</v>
      </c>
      <c r="T286">
        <f t="shared" si="42"/>
        <v>1</v>
      </c>
      <c r="U286">
        <f t="shared" si="43"/>
        <v>1</v>
      </c>
      <c r="V286" t="str" cm="1">
        <f t="array" ref="V286">_xlfn.IFS(
  AND(S286&gt;0,U286&gt;0),"Expansion",
  AND(S286&lt;0,U286&gt;0),"Slowdown",
  AND(S286&lt;0,U286&lt;0),"Contraction",
  AND(S286&gt;0,U286&lt;0),"Recovery",
  TRUE,"Undefined"
)</f>
        <v>Expansion</v>
      </c>
      <c r="W286">
        <f t="shared" si="44"/>
        <v>0</v>
      </c>
      <c r="X286">
        <f t="shared" si="45"/>
        <v>0</v>
      </c>
      <c r="Y286">
        <v>1</v>
      </c>
    </row>
    <row r="287" spans="1:25" x14ac:dyDescent="0.35">
      <c r="A287" s="1">
        <f>Data!A287</f>
        <v>25842</v>
      </c>
      <c r="B287" s="2">
        <f>IFERROR((Data!B287/Data!B286-1)*100,"")</f>
        <v>0.51020408163264808</v>
      </c>
      <c r="C287" s="2">
        <f>IFERROR((Data!C287/Data!C286-1)*100,"")</f>
        <v>-2.000422210405095</v>
      </c>
      <c r="D287">
        <f t="shared" si="38"/>
        <v>-0.95596557880977351</v>
      </c>
      <c r="E287">
        <f t="shared" si="39"/>
        <v>0.42669800106451089</v>
      </c>
      <c r="P287" t="str" cm="1">
        <f t="array" ref="P287">_xlfn.IFS(
  AND(D287&gt;0,E287&gt;0),"Expansion",
  AND(D287&lt;0,E287&gt;0),"Slowdown",
  AND(D287&lt;0,E287&lt;0),"Contraction",
  AND(D287&gt;0,E287&lt;0),"Recovery",
  TRUE,"Undefined"
)</f>
        <v>Slowdown</v>
      </c>
      <c r="Q287" t="str">
        <f t="shared" si="46"/>
        <v>Slowdown</v>
      </c>
      <c r="R287">
        <f t="shared" si="40"/>
        <v>-1</v>
      </c>
      <c r="S287">
        <f t="shared" si="41"/>
        <v>-1</v>
      </c>
      <c r="T287">
        <f t="shared" si="42"/>
        <v>1</v>
      </c>
      <c r="U287">
        <f t="shared" si="43"/>
        <v>1</v>
      </c>
      <c r="V287" t="str" cm="1">
        <f t="array" ref="V287">_xlfn.IFS(
  AND(S287&gt;0,U287&gt;0),"Expansion",
  AND(S287&lt;0,U287&gt;0),"Slowdown",
  AND(S287&lt;0,U287&lt;0),"Contraction",
  AND(S287&gt;0,U287&lt;0),"Recovery",
  TRUE,"Undefined"
)</f>
        <v>Slowdown</v>
      </c>
      <c r="W287">
        <f t="shared" si="44"/>
        <v>0</v>
      </c>
      <c r="X287">
        <f t="shared" si="45"/>
        <v>0</v>
      </c>
      <c r="Y287">
        <v>1</v>
      </c>
    </row>
    <row r="288" spans="1:25" x14ac:dyDescent="0.35">
      <c r="A288" s="1">
        <f>Data!A288</f>
        <v>25873</v>
      </c>
      <c r="B288" s="2">
        <f>IFERROR((Data!B288/Data!B287-1)*100,"")</f>
        <v>0.50761421319798217</v>
      </c>
      <c r="C288" s="2">
        <f>IFERROR((Data!C288/Data!C287-1)*100,"")</f>
        <v>-0.6056144082239201</v>
      </c>
      <c r="D288">
        <f t="shared" si="38"/>
        <v>-1.0984095828388847</v>
      </c>
      <c r="E288">
        <f t="shared" si="39"/>
        <v>0.51021293588371375</v>
      </c>
      <c r="P288" t="str" cm="1">
        <f t="array" ref="P288">_xlfn.IFS(
  AND(D288&gt;0,E288&gt;0),"Expansion",
  AND(D288&lt;0,E288&gt;0),"Slowdown",
  AND(D288&lt;0,E288&lt;0),"Contraction",
  AND(D288&gt;0,E288&lt;0),"Recovery",
  TRUE,"Undefined"
)</f>
        <v>Slowdown</v>
      </c>
      <c r="Q288" t="str">
        <f t="shared" si="46"/>
        <v>Slowdown</v>
      </c>
      <c r="R288">
        <f t="shared" si="40"/>
        <v>-1</v>
      </c>
      <c r="S288">
        <f t="shared" si="41"/>
        <v>-1</v>
      </c>
      <c r="T288">
        <f t="shared" si="42"/>
        <v>1</v>
      </c>
      <c r="U288">
        <f t="shared" si="43"/>
        <v>1</v>
      </c>
      <c r="V288" t="str" cm="1">
        <f t="array" ref="V288">_xlfn.IFS(
  AND(S288&gt;0,U288&gt;0),"Expansion",
  AND(S288&lt;0,U288&gt;0),"Slowdown",
  AND(S288&lt;0,U288&lt;0),"Contraction",
  AND(S288&gt;0,U288&lt;0),"Recovery",
  TRUE,"Undefined"
)</f>
        <v>Slowdown</v>
      </c>
      <c r="W288">
        <f t="shared" si="44"/>
        <v>0</v>
      </c>
      <c r="X288">
        <f t="shared" si="45"/>
        <v>0</v>
      </c>
      <c r="Y288">
        <v>1</v>
      </c>
    </row>
    <row r="289" spans="1:25" x14ac:dyDescent="0.35">
      <c r="A289" s="1">
        <f>Data!A289</f>
        <v>25903</v>
      </c>
      <c r="B289" s="2">
        <f>IFERROR((Data!B289/Data!B288-1)*100,"")</f>
        <v>0.5050505050504972</v>
      </c>
      <c r="C289" s="2">
        <f>IFERROR((Data!C289/Data!C288-1)*100,"")</f>
        <v>2.2964824396319417</v>
      </c>
      <c r="D289">
        <f t="shared" si="38"/>
        <v>-0.10318472633235783</v>
      </c>
      <c r="E289">
        <f t="shared" si="39"/>
        <v>0.50762293329370911</v>
      </c>
      <c r="P289" t="str" cm="1">
        <f t="array" ref="P289">_xlfn.IFS(
  AND(D289&gt;0,E289&gt;0),"Expansion",
  AND(D289&lt;0,E289&gt;0),"Slowdown",
  AND(D289&lt;0,E289&lt;0),"Contraction",
  AND(D289&gt;0,E289&lt;0),"Recovery",
  TRUE,"Undefined"
)</f>
        <v>Slowdown</v>
      </c>
      <c r="Q289" t="str">
        <f t="shared" si="46"/>
        <v>Slowdown</v>
      </c>
      <c r="R289">
        <f t="shared" si="40"/>
        <v>1</v>
      </c>
      <c r="S289">
        <f t="shared" si="41"/>
        <v>1</v>
      </c>
      <c r="T289">
        <f t="shared" si="42"/>
        <v>1</v>
      </c>
      <c r="U289">
        <f t="shared" si="43"/>
        <v>1</v>
      </c>
      <c r="V289" t="str" cm="1">
        <f t="array" ref="V289">_xlfn.IFS(
  AND(S289&gt;0,U289&gt;0),"Expansion",
  AND(S289&lt;0,U289&gt;0),"Slowdown",
  AND(S289&lt;0,U289&lt;0),"Contraction",
  AND(S289&gt;0,U289&lt;0),"Recovery",
  TRUE,"Undefined"
)</f>
        <v>Expansion</v>
      </c>
      <c r="W289">
        <f t="shared" si="44"/>
        <v>0</v>
      </c>
      <c r="X289">
        <f t="shared" si="45"/>
        <v>0</v>
      </c>
      <c r="Y289">
        <v>0</v>
      </c>
    </row>
    <row r="290" spans="1:25" x14ac:dyDescent="0.35">
      <c r="A290" s="1">
        <f>Data!A290</f>
        <v>25934</v>
      </c>
      <c r="B290" s="2">
        <f>IFERROR((Data!B290/Data!B289-1)*100,"")</f>
        <v>0.25125628140703071</v>
      </c>
      <c r="C290" s="2">
        <f>IFERROR((Data!C290/Data!C289-1)*100,"")</f>
        <v>0.76913793797015462</v>
      </c>
      <c r="D290">
        <f t="shared" si="38"/>
        <v>0.82000198979272543</v>
      </c>
      <c r="E290">
        <f t="shared" si="39"/>
        <v>0.42130699988517001</v>
      </c>
      <c r="P290" t="str" cm="1">
        <f t="array" ref="P290">_xlfn.IFS(
  AND(D290&gt;0,E290&gt;0),"Expansion",
  AND(D290&lt;0,E290&gt;0),"Slowdown",
  AND(D290&lt;0,E290&lt;0),"Contraction",
  AND(D290&gt;0,E290&lt;0),"Recovery",
  TRUE,"Undefined"
)</f>
        <v>Expansion</v>
      </c>
      <c r="Q290" t="str">
        <f t="shared" si="46"/>
        <v>Slowdown</v>
      </c>
      <c r="R290">
        <f t="shared" si="40"/>
        <v>1</v>
      </c>
      <c r="S290">
        <f t="shared" si="41"/>
        <v>1</v>
      </c>
      <c r="T290">
        <f t="shared" si="42"/>
        <v>1</v>
      </c>
      <c r="U290">
        <f t="shared" si="43"/>
        <v>1</v>
      </c>
      <c r="V290" t="str" cm="1">
        <f t="array" ref="V290">_xlfn.IFS(
  AND(S290&gt;0,U290&gt;0),"Expansion",
  AND(S290&lt;0,U290&gt;0),"Slowdown",
  AND(S290&lt;0,U290&lt;0),"Contraction",
  AND(S290&gt;0,U290&lt;0),"Recovery",
  TRUE,"Undefined"
)</f>
        <v>Expansion</v>
      </c>
      <c r="W290">
        <f t="shared" si="44"/>
        <v>0</v>
      </c>
      <c r="X290">
        <f t="shared" si="45"/>
        <v>0</v>
      </c>
      <c r="Y290">
        <v>0</v>
      </c>
    </row>
    <row r="291" spans="1:25" x14ac:dyDescent="0.35">
      <c r="A291" s="1">
        <f>Data!A291</f>
        <v>25965</v>
      </c>
      <c r="B291" s="2">
        <f>IFERROR((Data!B291/Data!B290-1)*100,"")</f>
        <v>0</v>
      </c>
      <c r="C291" s="2">
        <f>IFERROR((Data!C291/Data!C290-1)*100,"")</f>
        <v>-0.19055070751263781</v>
      </c>
      <c r="D291">
        <f t="shared" si="38"/>
        <v>0.95835655669648612</v>
      </c>
      <c r="E291">
        <f t="shared" si="39"/>
        <v>0.2521022621525093</v>
      </c>
      <c r="P291" t="str" cm="1">
        <f t="array" ref="P291">_xlfn.IFS(
  AND(D291&gt;0,E291&gt;0),"Expansion",
  AND(D291&lt;0,E291&gt;0),"Slowdown",
  AND(D291&lt;0,E291&lt;0),"Contraction",
  AND(D291&gt;0,E291&lt;0),"Recovery",
  TRUE,"Undefined"
)</f>
        <v>Expansion</v>
      </c>
      <c r="Q291" t="str">
        <f t="shared" si="46"/>
        <v>Slowdown</v>
      </c>
      <c r="R291">
        <f t="shared" si="40"/>
        <v>1</v>
      </c>
      <c r="S291">
        <f t="shared" si="41"/>
        <v>1</v>
      </c>
      <c r="T291">
        <f t="shared" si="42"/>
        <v>1</v>
      </c>
      <c r="U291">
        <f t="shared" si="43"/>
        <v>1</v>
      </c>
      <c r="V291" t="str" cm="1">
        <f t="array" ref="V291">_xlfn.IFS(
  AND(S291&gt;0,U291&gt;0),"Expansion",
  AND(S291&lt;0,U291&gt;0),"Slowdown",
  AND(S291&lt;0,U291&lt;0),"Contraction",
  AND(S291&gt;0,U291&lt;0),"Recovery",
  TRUE,"Undefined"
)</f>
        <v>Expansion</v>
      </c>
      <c r="W291">
        <f t="shared" si="44"/>
        <v>0</v>
      </c>
      <c r="X291">
        <f t="shared" si="45"/>
        <v>0</v>
      </c>
      <c r="Y291">
        <v>0</v>
      </c>
    </row>
    <row r="292" spans="1:25" x14ac:dyDescent="0.35">
      <c r="A292" s="1">
        <f>Data!A292</f>
        <v>25993</v>
      </c>
      <c r="B292" s="2">
        <f>IFERROR((Data!B292/Data!B291-1)*100,"")</f>
        <v>0.25062656641603454</v>
      </c>
      <c r="C292" s="2">
        <f>IFERROR((Data!C292/Data!C291-1)*100,"")</f>
        <v>-0.10825598540945558</v>
      </c>
      <c r="D292">
        <f t="shared" si="38"/>
        <v>0.15677708168268709</v>
      </c>
      <c r="E292">
        <f t="shared" si="39"/>
        <v>0.16729428260768842</v>
      </c>
      <c r="P292" t="str" cm="1">
        <f t="array" ref="P292">_xlfn.IFS(
  AND(D292&gt;0,E292&gt;0),"Expansion",
  AND(D292&lt;0,E292&gt;0),"Slowdown",
  AND(D292&lt;0,E292&lt;0),"Contraction",
  AND(D292&gt;0,E292&lt;0),"Recovery",
  TRUE,"Undefined"
)</f>
        <v>Expansion</v>
      </c>
      <c r="Q292" t="str">
        <f t="shared" si="46"/>
        <v>Expansion</v>
      </c>
      <c r="R292">
        <f t="shared" si="40"/>
        <v>1</v>
      </c>
      <c r="S292">
        <f t="shared" si="41"/>
        <v>1</v>
      </c>
      <c r="T292">
        <f t="shared" si="42"/>
        <v>1</v>
      </c>
      <c r="U292">
        <f t="shared" si="43"/>
        <v>1</v>
      </c>
      <c r="V292" t="str" cm="1">
        <f t="array" ref="V292">_xlfn.IFS(
  AND(S292&gt;0,U292&gt;0),"Expansion",
  AND(S292&lt;0,U292&gt;0),"Slowdown",
  AND(S292&lt;0,U292&lt;0),"Contraction",
  AND(S292&gt;0,U292&lt;0),"Recovery",
  TRUE,"Undefined"
)</f>
        <v>Expansion</v>
      </c>
      <c r="W292">
        <f t="shared" si="44"/>
        <v>0</v>
      </c>
      <c r="X292">
        <f t="shared" si="45"/>
        <v>0</v>
      </c>
      <c r="Y292">
        <v>0</v>
      </c>
    </row>
    <row r="293" spans="1:25" x14ac:dyDescent="0.35">
      <c r="A293" s="1">
        <f>Data!A293</f>
        <v>26024</v>
      </c>
      <c r="B293" s="2">
        <f>IFERROR((Data!B293/Data!B292-1)*100,"")</f>
        <v>0.24999999999999467</v>
      </c>
      <c r="C293" s="2">
        <f>IFERROR((Data!C293/Data!C292-1)*100,"")</f>
        <v>0.56161930005791394</v>
      </c>
      <c r="D293">
        <f t="shared" si="38"/>
        <v>8.7604202378606846E-2</v>
      </c>
      <c r="E293">
        <f t="shared" si="39"/>
        <v>0.1668755221386764</v>
      </c>
      <c r="P293" t="str" cm="1">
        <f t="array" ref="P293">_xlfn.IFS(
  AND(D293&gt;0,E293&gt;0),"Expansion",
  AND(D293&lt;0,E293&gt;0),"Slowdown",
  AND(D293&lt;0,E293&lt;0),"Contraction",
  AND(D293&gt;0,E293&lt;0),"Recovery",
  TRUE,"Undefined"
)</f>
        <v>Expansion</v>
      </c>
      <c r="Q293" t="str">
        <f t="shared" si="46"/>
        <v>Expansion</v>
      </c>
      <c r="R293">
        <f t="shared" si="40"/>
        <v>1</v>
      </c>
      <c r="S293">
        <f t="shared" si="41"/>
        <v>1</v>
      </c>
      <c r="T293">
        <f t="shared" si="42"/>
        <v>1</v>
      </c>
      <c r="U293">
        <f t="shared" si="43"/>
        <v>1</v>
      </c>
      <c r="V293" t="str" cm="1">
        <f t="array" ref="V293">_xlfn.IFS(
  AND(S293&gt;0,U293&gt;0),"Expansion",
  AND(S293&lt;0,U293&gt;0),"Slowdown",
  AND(S293&lt;0,U293&lt;0),"Contraction",
  AND(S293&gt;0,U293&lt;0),"Recovery",
  TRUE,"Undefined"
)</f>
        <v>Expansion</v>
      </c>
      <c r="W293">
        <f t="shared" si="44"/>
        <v>0</v>
      </c>
      <c r="X293">
        <f t="shared" si="45"/>
        <v>0</v>
      </c>
      <c r="Y293">
        <v>0</v>
      </c>
    </row>
    <row r="294" spans="1:25" x14ac:dyDescent="0.35">
      <c r="A294" s="1">
        <f>Data!A294</f>
        <v>26054</v>
      </c>
      <c r="B294" s="2">
        <f>IFERROR((Data!B294/Data!B293-1)*100,"")</f>
        <v>0.49875311720697368</v>
      </c>
      <c r="C294" s="2">
        <f>IFERROR((Data!C294/Data!C293-1)*100,"")</f>
        <v>0.50725310894927933</v>
      </c>
      <c r="D294">
        <f t="shared" si="38"/>
        <v>0.32020547453257925</v>
      </c>
      <c r="E294">
        <f t="shared" si="39"/>
        <v>0.33312656120766765</v>
      </c>
      <c r="P294" t="str" cm="1">
        <f t="array" ref="P294">_xlfn.IFS(
  AND(D294&gt;0,E294&gt;0),"Expansion",
  AND(D294&lt;0,E294&gt;0),"Slowdown",
  AND(D294&lt;0,E294&lt;0),"Contraction",
  AND(D294&gt;0,E294&lt;0),"Recovery",
  TRUE,"Undefined"
)</f>
        <v>Expansion</v>
      </c>
      <c r="Q294" t="str">
        <f t="shared" si="46"/>
        <v>Expansion</v>
      </c>
      <c r="R294">
        <f t="shared" si="40"/>
        <v>1</v>
      </c>
      <c r="S294">
        <f t="shared" si="41"/>
        <v>1</v>
      </c>
      <c r="T294">
        <f t="shared" si="42"/>
        <v>1</v>
      </c>
      <c r="U294">
        <f t="shared" si="43"/>
        <v>1</v>
      </c>
      <c r="V294" t="str" cm="1">
        <f t="array" ref="V294">_xlfn.IFS(
  AND(S294&gt;0,U294&gt;0),"Expansion",
  AND(S294&lt;0,U294&gt;0),"Slowdown",
  AND(S294&lt;0,U294&lt;0),"Contraction",
  AND(S294&gt;0,U294&lt;0),"Recovery",
  TRUE,"Undefined"
)</f>
        <v>Expansion</v>
      </c>
      <c r="W294">
        <f t="shared" si="44"/>
        <v>0</v>
      </c>
      <c r="X294">
        <f t="shared" si="45"/>
        <v>0</v>
      </c>
      <c r="Y294">
        <v>0</v>
      </c>
    </row>
    <row r="295" spans="1:25" x14ac:dyDescent="0.35">
      <c r="A295" s="1">
        <f>Data!A295</f>
        <v>26085</v>
      </c>
      <c r="B295" s="2">
        <f>IFERROR((Data!B295/Data!B294-1)*100,"")</f>
        <v>0.49627791563275903</v>
      </c>
      <c r="C295" s="2">
        <f>IFERROR((Data!C295/Data!C294-1)*100,"")</f>
        <v>0.41938908637619843</v>
      </c>
      <c r="D295">
        <f t="shared" si="38"/>
        <v>0.49608716512779721</v>
      </c>
      <c r="E295">
        <f t="shared" si="39"/>
        <v>0.41501034427990913</v>
      </c>
      <c r="P295" t="str" cm="1">
        <f t="array" ref="P295">_xlfn.IFS(
  AND(D295&gt;0,E295&gt;0),"Expansion",
  AND(D295&lt;0,E295&gt;0),"Slowdown",
  AND(D295&lt;0,E295&lt;0),"Contraction",
  AND(D295&gt;0,E295&lt;0),"Recovery",
  TRUE,"Undefined"
)</f>
        <v>Expansion</v>
      </c>
      <c r="Q295" t="str">
        <f t="shared" si="46"/>
        <v>Expansion</v>
      </c>
      <c r="R295">
        <f t="shared" si="40"/>
        <v>1</v>
      </c>
      <c r="S295">
        <f t="shared" si="41"/>
        <v>1</v>
      </c>
      <c r="T295">
        <f t="shared" si="42"/>
        <v>1</v>
      </c>
      <c r="U295">
        <f t="shared" si="43"/>
        <v>1</v>
      </c>
      <c r="V295" t="str" cm="1">
        <f t="array" ref="V295">_xlfn.IFS(
  AND(S295&gt;0,U295&gt;0),"Expansion",
  AND(S295&lt;0,U295&gt;0),"Slowdown",
  AND(S295&lt;0,U295&lt;0),"Contraction",
  AND(S295&gt;0,U295&lt;0),"Recovery",
  TRUE,"Undefined"
)</f>
        <v>Expansion</v>
      </c>
      <c r="W295">
        <f t="shared" si="44"/>
        <v>0</v>
      </c>
      <c r="X295">
        <f t="shared" si="45"/>
        <v>0</v>
      </c>
      <c r="Y295">
        <v>0</v>
      </c>
    </row>
    <row r="296" spans="1:25" x14ac:dyDescent="0.35">
      <c r="A296" s="1">
        <f>Data!A296</f>
        <v>26115</v>
      </c>
      <c r="B296" s="2">
        <f>IFERROR((Data!B296/Data!B295-1)*100,"")</f>
        <v>0.24691358024691024</v>
      </c>
      <c r="C296" s="2">
        <f>IFERROR((Data!C296/Data!C295-1)*100,"")</f>
        <v>-0.29008452689660569</v>
      </c>
      <c r="D296">
        <f t="shared" si="38"/>
        <v>0.21218588947629069</v>
      </c>
      <c r="E296">
        <f t="shared" si="39"/>
        <v>0.41398153769554763</v>
      </c>
      <c r="P296" t="str" cm="1">
        <f t="array" ref="P296">_xlfn.IFS(
  AND(D296&gt;0,E296&gt;0),"Expansion",
  AND(D296&lt;0,E296&gt;0),"Slowdown",
  AND(D296&lt;0,E296&lt;0),"Contraction",
  AND(D296&gt;0,E296&lt;0),"Recovery",
  TRUE,"Undefined"
)</f>
        <v>Expansion</v>
      </c>
      <c r="Q296" t="str">
        <f t="shared" si="46"/>
        <v>Expansion</v>
      </c>
      <c r="R296">
        <f t="shared" si="40"/>
        <v>1</v>
      </c>
      <c r="S296">
        <f t="shared" si="41"/>
        <v>1</v>
      </c>
      <c r="T296">
        <f t="shared" si="42"/>
        <v>1</v>
      </c>
      <c r="U296">
        <f t="shared" si="43"/>
        <v>1</v>
      </c>
      <c r="V296" t="str" cm="1">
        <f t="array" ref="V296">_xlfn.IFS(
  AND(S296&gt;0,U296&gt;0),"Expansion",
  AND(S296&lt;0,U296&gt;0),"Slowdown",
  AND(S296&lt;0,U296&lt;0),"Contraction",
  AND(S296&gt;0,U296&lt;0),"Recovery",
  TRUE,"Undefined"
)</f>
        <v>Expansion</v>
      </c>
      <c r="W296">
        <f t="shared" si="44"/>
        <v>0</v>
      </c>
      <c r="X296">
        <f t="shared" si="45"/>
        <v>0</v>
      </c>
      <c r="Y296">
        <v>0</v>
      </c>
    </row>
    <row r="297" spans="1:25" x14ac:dyDescent="0.35">
      <c r="A297" s="1">
        <f>Data!A297</f>
        <v>26146</v>
      </c>
      <c r="B297" s="2">
        <f>IFERROR((Data!B297/Data!B296-1)*100,"")</f>
        <v>0.24630541871921707</v>
      </c>
      <c r="C297" s="2">
        <f>IFERROR((Data!C297/Data!C296-1)*100,"")</f>
        <v>-0.58053812534454297</v>
      </c>
      <c r="D297">
        <f t="shared" si="38"/>
        <v>-0.15041118862165007</v>
      </c>
      <c r="E297">
        <f t="shared" si="39"/>
        <v>0.32983230486629544</v>
      </c>
      <c r="P297" t="str" cm="1">
        <f t="array" ref="P297">_xlfn.IFS(
  AND(D297&gt;0,E297&gt;0),"Expansion",
  AND(D297&lt;0,E297&gt;0),"Slowdown",
  AND(D297&lt;0,E297&lt;0),"Contraction",
  AND(D297&gt;0,E297&lt;0),"Recovery",
  TRUE,"Undefined"
)</f>
        <v>Slowdown</v>
      </c>
      <c r="Q297" t="str">
        <f t="shared" si="46"/>
        <v>Expansion</v>
      </c>
      <c r="R297">
        <f t="shared" si="40"/>
        <v>1</v>
      </c>
      <c r="S297">
        <f t="shared" si="41"/>
        <v>1</v>
      </c>
      <c r="T297">
        <f t="shared" si="42"/>
        <v>1</v>
      </c>
      <c r="U297">
        <f t="shared" si="43"/>
        <v>1</v>
      </c>
      <c r="V297" t="str" cm="1">
        <f t="array" ref="V297">_xlfn.IFS(
  AND(S297&gt;0,U297&gt;0),"Expansion",
  AND(S297&lt;0,U297&gt;0),"Slowdown",
  AND(S297&lt;0,U297&lt;0),"Contraction",
  AND(S297&gt;0,U297&lt;0),"Recovery",
  TRUE,"Undefined"
)</f>
        <v>Expansion</v>
      </c>
      <c r="W297">
        <f t="shared" si="44"/>
        <v>0</v>
      </c>
      <c r="X297">
        <f t="shared" si="45"/>
        <v>0</v>
      </c>
      <c r="Y297">
        <v>0</v>
      </c>
    </row>
    <row r="298" spans="1:25" x14ac:dyDescent="0.35">
      <c r="A298" s="1">
        <f>Data!A298</f>
        <v>26177</v>
      </c>
      <c r="B298" s="2">
        <f>IFERROR((Data!B298/Data!B297-1)*100,"")</f>
        <v>0.24570024570023108</v>
      </c>
      <c r="C298" s="2">
        <f>IFERROR((Data!C298/Data!C297-1)*100,"")</f>
        <v>1.6252354548589976</v>
      </c>
      <c r="D298">
        <f t="shared" si="38"/>
        <v>0.25153760087261628</v>
      </c>
      <c r="E298">
        <f t="shared" si="39"/>
        <v>0.24630641488878613</v>
      </c>
      <c r="P298" t="str" cm="1">
        <f t="array" ref="P298">_xlfn.IFS(
  AND(D298&gt;0,E298&gt;0),"Expansion",
  AND(D298&lt;0,E298&gt;0),"Slowdown",
  AND(D298&lt;0,E298&lt;0),"Contraction",
  AND(D298&gt;0,E298&lt;0),"Recovery",
  TRUE,"Undefined"
)</f>
        <v>Expansion</v>
      </c>
      <c r="Q298" t="str">
        <f t="shared" si="46"/>
        <v>Expansion</v>
      </c>
      <c r="R298">
        <f t="shared" si="40"/>
        <v>1</v>
      </c>
      <c r="S298">
        <f t="shared" si="41"/>
        <v>1</v>
      </c>
      <c r="T298">
        <f t="shared" si="42"/>
        <v>1</v>
      </c>
      <c r="U298">
        <f t="shared" si="43"/>
        <v>1</v>
      </c>
      <c r="V298" t="str" cm="1">
        <f t="array" ref="V298">_xlfn.IFS(
  AND(S298&gt;0,U298&gt;0),"Expansion",
  AND(S298&lt;0,U298&gt;0),"Slowdown",
  AND(S298&lt;0,U298&lt;0),"Contraction",
  AND(S298&gt;0,U298&lt;0),"Recovery",
  TRUE,"Undefined"
)</f>
        <v>Expansion</v>
      </c>
      <c r="W298">
        <f t="shared" si="44"/>
        <v>0</v>
      </c>
      <c r="X298">
        <f t="shared" si="45"/>
        <v>0</v>
      </c>
      <c r="Y298">
        <v>0</v>
      </c>
    </row>
    <row r="299" spans="1:25" x14ac:dyDescent="0.35">
      <c r="A299" s="1">
        <f>Data!A299</f>
        <v>26207</v>
      </c>
      <c r="B299" s="2">
        <f>IFERROR((Data!B299/Data!B298-1)*100,"")</f>
        <v>0.2450980392156854</v>
      </c>
      <c r="C299" s="2">
        <f>IFERROR((Data!C299/Data!C298-1)*100,"")</f>
        <v>0.74871559249822806</v>
      </c>
      <c r="D299">
        <f t="shared" si="38"/>
        <v>0.59780430733756085</v>
      </c>
      <c r="E299">
        <f t="shared" si="39"/>
        <v>0.24570123454504453</v>
      </c>
      <c r="P299" t="str" cm="1">
        <f t="array" ref="P299">_xlfn.IFS(
  AND(D299&gt;0,E299&gt;0),"Expansion",
  AND(D299&lt;0,E299&gt;0),"Slowdown",
  AND(D299&lt;0,E299&lt;0),"Contraction",
  AND(D299&gt;0,E299&lt;0),"Recovery",
  TRUE,"Undefined"
)</f>
        <v>Expansion</v>
      </c>
      <c r="Q299" t="str">
        <f t="shared" si="46"/>
        <v>Expansion</v>
      </c>
      <c r="R299">
        <f t="shared" si="40"/>
        <v>1</v>
      </c>
      <c r="S299">
        <f t="shared" si="41"/>
        <v>1</v>
      </c>
      <c r="T299">
        <f t="shared" si="42"/>
        <v>1</v>
      </c>
      <c r="U299">
        <f t="shared" si="43"/>
        <v>1</v>
      </c>
      <c r="V299" t="str" cm="1">
        <f t="array" ref="V299">_xlfn.IFS(
  AND(S299&gt;0,U299&gt;0),"Expansion",
  AND(S299&lt;0,U299&gt;0),"Slowdown",
  AND(S299&lt;0,U299&lt;0),"Contraction",
  AND(S299&gt;0,U299&lt;0),"Recovery",
  TRUE,"Undefined"
)</f>
        <v>Expansion</v>
      </c>
      <c r="W299">
        <f t="shared" si="44"/>
        <v>0</v>
      </c>
      <c r="X299">
        <f t="shared" si="45"/>
        <v>0</v>
      </c>
      <c r="Y299">
        <v>0</v>
      </c>
    </row>
    <row r="300" spans="1:25" x14ac:dyDescent="0.35">
      <c r="A300" s="1">
        <f>Data!A300</f>
        <v>26238</v>
      </c>
      <c r="B300" s="2">
        <f>IFERROR((Data!B300/Data!B299-1)*100,"")</f>
        <v>0.24449877750611915</v>
      </c>
      <c r="C300" s="2">
        <f>IFERROR((Data!C300/Data!C299-1)*100,"")</f>
        <v>0.42417678092061539</v>
      </c>
      <c r="D300">
        <f t="shared" si="38"/>
        <v>0.93270927609261367</v>
      </c>
      <c r="E300">
        <f t="shared" si="39"/>
        <v>0.24509902080734522</v>
      </c>
      <c r="P300" t="str" cm="1">
        <f t="array" ref="P300">_xlfn.IFS(
  AND(D300&gt;0,E300&gt;0),"Expansion",
  AND(D300&lt;0,E300&gt;0),"Slowdown",
  AND(D300&lt;0,E300&lt;0),"Contraction",
  AND(D300&gt;0,E300&lt;0),"Recovery",
  TRUE,"Undefined"
)</f>
        <v>Expansion</v>
      </c>
      <c r="Q300" t="str">
        <f t="shared" si="46"/>
        <v>Expansion</v>
      </c>
      <c r="R300">
        <f t="shared" si="40"/>
        <v>1</v>
      </c>
      <c r="S300">
        <f t="shared" si="41"/>
        <v>1</v>
      </c>
      <c r="T300">
        <f t="shared" si="42"/>
        <v>1</v>
      </c>
      <c r="U300">
        <f t="shared" si="43"/>
        <v>1</v>
      </c>
      <c r="V300" t="str" cm="1">
        <f t="array" ref="V300">_xlfn.IFS(
  AND(S300&gt;0,U300&gt;0),"Expansion",
  AND(S300&lt;0,U300&gt;0),"Slowdown",
  AND(S300&lt;0,U300&lt;0),"Contraction",
  AND(S300&gt;0,U300&lt;0),"Recovery",
  TRUE,"Undefined"
)</f>
        <v>Expansion</v>
      </c>
      <c r="W300">
        <f t="shared" si="44"/>
        <v>0</v>
      </c>
      <c r="X300">
        <f t="shared" si="45"/>
        <v>0</v>
      </c>
      <c r="Y300">
        <v>0</v>
      </c>
    </row>
    <row r="301" spans="1:25" x14ac:dyDescent="0.35">
      <c r="A301" s="1">
        <f>Data!A301</f>
        <v>26268</v>
      </c>
      <c r="B301" s="2">
        <f>IFERROR((Data!B301/Data!B300-1)*100,"")</f>
        <v>0.24390243902439046</v>
      </c>
      <c r="C301" s="2">
        <f>IFERROR((Data!C301/Data!C300-1)*100,"")</f>
        <v>1.1543989204279903</v>
      </c>
      <c r="D301">
        <f t="shared" si="38"/>
        <v>0.77576376461561125</v>
      </c>
      <c r="E301">
        <f t="shared" si="39"/>
        <v>0.24449975191539833</v>
      </c>
      <c r="P301" t="str" cm="1">
        <f t="array" ref="P301">_xlfn.IFS(
  AND(D301&gt;0,E301&gt;0),"Expansion",
  AND(D301&lt;0,E301&gt;0),"Slowdown",
  AND(D301&lt;0,E301&lt;0),"Contraction",
  AND(D301&gt;0,E301&lt;0),"Recovery",
  TRUE,"Undefined"
)</f>
        <v>Expansion</v>
      </c>
      <c r="Q301" t="str">
        <f t="shared" si="46"/>
        <v>Expansion</v>
      </c>
      <c r="R301">
        <f t="shared" si="40"/>
        <v>1</v>
      </c>
      <c r="S301">
        <f t="shared" si="41"/>
        <v>1</v>
      </c>
      <c r="T301">
        <f t="shared" si="42"/>
        <v>1</v>
      </c>
      <c r="U301">
        <f t="shared" si="43"/>
        <v>1</v>
      </c>
      <c r="V301" t="str" cm="1">
        <f t="array" ref="V301">_xlfn.IFS(
  AND(S301&gt;0,U301&gt;0),"Expansion",
  AND(S301&lt;0,U301&gt;0),"Slowdown",
  AND(S301&lt;0,U301&lt;0),"Contraction",
  AND(S301&gt;0,U301&lt;0),"Recovery",
  TRUE,"Undefined"
)</f>
        <v>Expansion</v>
      </c>
      <c r="W301">
        <f t="shared" si="44"/>
        <v>0</v>
      </c>
      <c r="X301">
        <f t="shared" si="45"/>
        <v>0</v>
      </c>
      <c r="Y301">
        <v>0</v>
      </c>
    </row>
    <row r="302" spans="1:25" x14ac:dyDescent="0.35">
      <c r="A302" s="1">
        <f>Data!A302</f>
        <v>26299</v>
      </c>
      <c r="B302" s="2">
        <f>IFERROR((Data!B302/Data!B301-1)*100,"")</f>
        <v>0.24330900243310083</v>
      </c>
      <c r="C302" s="2">
        <f>IFERROR((Data!C302/Data!C301-1)*100,"")</f>
        <v>2.3908579591108037</v>
      </c>
      <c r="D302">
        <f t="shared" si="38"/>
        <v>1.3231445534864699</v>
      </c>
      <c r="E302">
        <f t="shared" si="39"/>
        <v>0.24390340632120347</v>
      </c>
      <c r="P302" t="str" cm="1">
        <f t="array" ref="P302">_xlfn.IFS(
  AND(D302&gt;0,E302&gt;0),"Expansion",
  AND(D302&lt;0,E302&gt;0),"Slowdown",
  AND(D302&lt;0,E302&lt;0),"Contraction",
  AND(D302&gt;0,E302&lt;0),"Recovery",
  TRUE,"Undefined"
)</f>
        <v>Expansion</v>
      </c>
      <c r="Q302" t="str">
        <f t="shared" si="46"/>
        <v>Expansion</v>
      </c>
      <c r="R302">
        <f t="shared" si="40"/>
        <v>1</v>
      </c>
      <c r="S302">
        <f t="shared" si="41"/>
        <v>1</v>
      </c>
      <c r="T302">
        <f t="shared" si="42"/>
        <v>1</v>
      </c>
      <c r="U302">
        <f t="shared" si="43"/>
        <v>1</v>
      </c>
      <c r="V302" t="str" cm="1">
        <f t="array" ref="V302">_xlfn.IFS(
  AND(S302&gt;0,U302&gt;0),"Expansion",
  AND(S302&lt;0,U302&gt;0),"Slowdown",
  AND(S302&lt;0,U302&lt;0),"Contraction",
  AND(S302&gt;0,U302&lt;0),"Recovery",
  TRUE,"Undefined"
)</f>
        <v>Expansion</v>
      </c>
      <c r="W302">
        <f t="shared" si="44"/>
        <v>0</v>
      </c>
      <c r="X302">
        <f t="shared" si="45"/>
        <v>0</v>
      </c>
      <c r="Y302">
        <v>0</v>
      </c>
    </row>
    <row r="303" spans="1:25" x14ac:dyDescent="0.35">
      <c r="A303" s="1">
        <f>Data!A303</f>
        <v>26330</v>
      </c>
      <c r="B303" s="2">
        <f>IFERROR((Data!B303/Data!B302-1)*100,"")</f>
        <v>0.48543689320388328</v>
      </c>
      <c r="C303" s="2">
        <f>IFERROR((Data!C303/Data!C302-1)*100,"")</f>
        <v>1.0091976243622458</v>
      </c>
      <c r="D303">
        <f t="shared" si="38"/>
        <v>1.5181515013003466</v>
      </c>
      <c r="E303">
        <f t="shared" si="39"/>
        <v>0.32421611155379154</v>
      </c>
      <c r="P303" t="str" cm="1">
        <f t="array" ref="P303">_xlfn.IFS(
  AND(D303&gt;0,E303&gt;0),"Expansion",
  AND(D303&lt;0,E303&gt;0),"Slowdown",
  AND(D303&lt;0,E303&lt;0),"Contraction",
  AND(D303&gt;0,E303&lt;0),"Recovery",
  TRUE,"Undefined"
)</f>
        <v>Expansion</v>
      </c>
      <c r="Q303" t="str">
        <f t="shared" si="46"/>
        <v>Expansion</v>
      </c>
      <c r="R303">
        <f t="shared" si="40"/>
        <v>1</v>
      </c>
      <c r="S303">
        <f t="shared" si="41"/>
        <v>1</v>
      </c>
      <c r="T303">
        <f t="shared" si="42"/>
        <v>1</v>
      </c>
      <c r="U303">
        <f t="shared" si="43"/>
        <v>1</v>
      </c>
      <c r="V303" t="str" cm="1">
        <f t="array" ref="V303">_xlfn.IFS(
  AND(S303&gt;0,U303&gt;0),"Expansion",
  AND(S303&lt;0,U303&gt;0),"Slowdown",
  AND(S303&lt;0,U303&lt;0),"Contraction",
  AND(S303&gt;0,U303&lt;0),"Recovery",
  TRUE,"Undefined"
)</f>
        <v>Expansion</v>
      </c>
      <c r="W303">
        <f t="shared" si="44"/>
        <v>0</v>
      </c>
      <c r="X303">
        <f t="shared" si="45"/>
        <v>0</v>
      </c>
      <c r="Y303">
        <v>0</v>
      </c>
    </row>
    <row r="304" spans="1:25" x14ac:dyDescent="0.35">
      <c r="A304" s="1">
        <f>Data!A304</f>
        <v>26359</v>
      </c>
      <c r="B304" s="2">
        <f>IFERROR((Data!B304/Data!B303-1)*100,"")</f>
        <v>0</v>
      </c>
      <c r="C304" s="2">
        <f>IFERROR((Data!C304/Data!C303-1)*100,"")</f>
        <v>0.69156190884898106</v>
      </c>
      <c r="D304">
        <f t="shared" si="38"/>
        <v>1.3638724974406768</v>
      </c>
      <c r="E304">
        <f t="shared" si="39"/>
        <v>0.24291529854566138</v>
      </c>
      <c r="P304" t="str" cm="1">
        <f t="array" ref="P304">_xlfn.IFS(
  AND(D304&gt;0,E304&gt;0),"Expansion",
  AND(D304&lt;0,E304&gt;0),"Slowdown",
  AND(D304&lt;0,E304&lt;0),"Contraction",
  AND(D304&gt;0,E304&lt;0),"Recovery",
  TRUE,"Undefined"
)</f>
        <v>Expansion</v>
      </c>
      <c r="Q304" t="str">
        <f t="shared" si="46"/>
        <v>Expansion</v>
      </c>
      <c r="R304">
        <f t="shared" si="40"/>
        <v>1</v>
      </c>
      <c r="S304">
        <f t="shared" si="41"/>
        <v>1</v>
      </c>
      <c r="T304">
        <f t="shared" si="42"/>
        <v>1</v>
      </c>
      <c r="U304">
        <f t="shared" si="43"/>
        <v>1</v>
      </c>
      <c r="V304" t="str" cm="1">
        <f t="array" ref="V304">_xlfn.IFS(
  AND(S304&gt;0,U304&gt;0),"Expansion",
  AND(S304&lt;0,U304&gt;0),"Slowdown",
  AND(S304&lt;0,U304&lt;0),"Contraction",
  AND(S304&gt;0,U304&lt;0),"Recovery",
  TRUE,"Undefined"
)</f>
        <v>Expansion</v>
      </c>
      <c r="W304">
        <f t="shared" si="44"/>
        <v>0</v>
      </c>
      <c r="X304">
        <f t="shared" si="45"/>
        <v>0</v>
      </c>
      <c r="Y304">
        <v>0</v>
      </c>
    </row>
    <row r="305" spans="1:25" x14ac:dyDescent="0.35">
      <c r="A305" s="1">
        <f>Data!A305</f>
        <v>26390</v>
      </c>
      <c r="B305" s="2">
        <f>IFERROR((Data!B305/Data!B304-1)*100,"")</f>
        <v>0.24154589371980784</v>
      </c>
      <c r="C305" s="2">
        <f>IFERROR((Data!C305/Data!C304-1)*100,"")</f>
        <v>1.0005805081528152</v>
      </c>
      <c r="D305">
        <f t="shared" si="38"/>
        <v>0.90044668045468068</v>
      </c>
      <c r="E305">
        <f t="shared" si="39"/>
        <v>0.24232759564123038</v>
      </c>
      <c r="P305" t="str" cm="1">
        <f t="array" ref="P305">_xlfn.IFS(
  AND(D305&gt;0,E305&gt;0),"Expansion",
  AND(D305&lt;0,E305&gt;0),"Slowdown",
  AND(D305&lt;0,E305&lt;0),"Contraction",
  AND(D305&gt;0,E305&lt;0),"Recovery",
  TRUE,"Undefined"
)</f>
        <v>Expansion</v>
      </c>
      <c r="Q305" t="str">
        <f t="shared" si="46"/>
        <v>Expansion</v>
      </c>
      <c r="R305">
        <f t="shared" si="40"/>
        <v>1</v>
      </c>
      <c r="S305">
        <f t="shared" si="41"/>
        <v>1</v>
      </c>
      <c r="T305">
        <f t="shared" si="42"/>
        <v>1</v>
      </c>
      <c r="U305">
        <f t="shared" si="43"/>
        <v>1</v>
      </c>
      <c r="V305" t="str" cm="1">
        <f t="array" ref="V305">_xlfn.IFS(
  AND(S305&gt;0,U305&gt;0),"Expansion",
  AND(S305&lt;0,U305&gt;0),"Slowdown",
  AND(S305&lt;0,U305&lt;0),"Contraction",
  AND(S305&gt;0,U305&lt;0),"Recovery",
  TRUE,"Undefined"
)</f>
        <v>Expansion</v>
      </c>
      <c r="W305">
        <f t="shared" si="44"/>
        <v>0</v>
      </c>
      <c r="X305">
        <f t="shared" si="45"/>
        <v>0</v>
      </c>
      <c r="Y305">
        <v>0</v>
      </c>
    </row>
    <row r="306" spans="1:25" x14ac:dyDescent="0.35">
      <c r="A306" s="1">
        <f>Data!A306</f>
        <v>26420</v>
      </c>
      <c r="B306" s="2">
        <f>IFERROR((Data!B306/Data!B305-1)*100,"")</f>
        <v>0.24096385542169418</v>
      </c>
      <c r="C306" s="2">
        <f>IFERROR((Data!C306/Data!C305-1)*100,"")</f>
        <v>1.3823275485758124E-2</v>
      </c>
      <c r="D306">
        <f t="shared" si="38"/>
        <v>0.56865523082918479</v>
      </c>
      <c r="E306">
        <f t="shared" si="39"/>
        <v>0.16083658304716733</v>
      </c>
      <c r="P306" t="str" cm="1">
        <f t="array" ref="P306">_xlfn.IFS(
  AND(D306&gt;0,E306&gt;0),"Expansion",
  AND(D306&lt;0,E306&gt;0),"Slowdown",
  AND(D306&lt;0,E306&lt;0),"Contraction",
  AND(D306&gt;0,E306&lt;0),"Recovery",
  TRUE,"Undefined"
)</f>
        <v>Expansion</v>
      </c>
      <c r="Q306" t="str">
        <f t="shared" si="46"/>
        <v>Expansion</v>
      </c>
      <c r="R306">
        <f t="shared" si="40"/>
        <v>1</v>
      </c>
      <c r="S306">
        <f t="shared" si="41"/>
        <v>1</v>
      </c>
      <c r="T306">
        <f t="shared" si="42"/>
        <v>1</v>
      </c>
      <c r="U306">
        <f t="shared" si="43"/>
        <v>1</v>
      </c>
      <c r="V306" t="str" cm="1">
        <f t="array" ref="V306">_xlfn.IFS(
  AND(S306&gt;0,U306&gt;0),"Expansion",
  AND(S306&lt;0,U306&gt;0),"Slowdown",
  AND(S306&lt;0,U306&lt;0),"Contraction",
  AND(S306&gt;0,U306&lt;0),"Recovery",
  TRUE,"Undefined"
)</f>
        <v>Expansion</v>
      </c>
      <c r="W306">
        <f t="shared" si="44"/>
        <v>0</v>
      </c>
      <c r="X306">
        <f t="shared" si="45"/>
        <v>0</v>
      </c>
      <c r="Y306">
        <v>0</v>
      </c>
    </row>
    <row r="307" spans="1:25" x14ac:dyDescent="0.35">
      <c r="A307" s="1">
        <f>Data!A307</f>
        <v>26451</v>
      </c>
      <c r="B307" s="2">
        <f>IFERROR((Data!B307/Data!B306-1)*100,"")</f>
        <v>0.24038461538462563</v>
      </c>
      <c r="C307" s="2">
        <f>IFERROR((Data!C307/Data!C306-1)*100,"")</f>
        <v>0.26478825426461405</v>
      </c>
      <c r="D307">
        <f t="shared" si="38"/>
        <v>0.4263973459677291</v>
      </c>
      <c r="E307">
        <f t="shared" si="39"/>
        <v>0.24096478817537589</v>
      </c>
      <c r="P307" t="str" cm="1">
        <f t="array" ref="P307">_xlfn.IFS(
  AND(D307&gt;0,E307&gt;0),"Expansion",
  AND(D307&lt;0,E307&gt;0),"Slowdown",
  AND(D307&lt;0,E307&lt;0),"Contraction",
  AND(D307&gt;0,E307&lt;0),"Recovery",
  TRUE,"Undefined"
)</f>
        <v>Expansion</v>
      </c>
      <c r="Q307" t="str">
        <f t="shared" si="46"/>
        <v>Expansion</v>
      </c>
      <c r="R307">
        <f t="shared" si="40"/>
        <v>1</v>
      </c>
      <c r="S307">
        <f t="shared" si="41"/>
        <v>1</v>
      </c>
      <c r="T307">
        <f t="shared" si="42"/>
        <v>1</v>
      </c>
      <c r="U307">
        <f t="shared" si="43"/>
        <v>1</v>
      </c>
      <c r="V307" t="str" cm="1">
        <f t="array" ref="V307">_xlfn.IFS(
  AND(S307&gt;0,U307&gt;0),"Expansion",
  AND(S307&lt;0,U307&gt;0),"Slowdown",
  AND(S307&lt;0,U307&lt;0),"Contraction",
  AND(S307&gt;0,U307&lt;0),"Recovery",
  TRUE,"Undefined"
)</f>
        <v>Expansion</v>
      </c>
      <c r="W307">
        <f t="shared" si="44"/>
        <v>0</v>
      </c>
      <c r="X307">
        <f t="shared" si="45"/>
        <v>0</v>
      </c>
      <c r="Y307">
        <v>0</v>
      </c>
    </row>
    <row r="308" spans="1:25" x14ac:dyDescent="0.35">
      <c r="A308" s="1">
        <f>Data!A308</f>
        <v>26481</v>
      </c>
      <c r="B308" s="2">
        <f>IFERROR((Data!B308/Data!B307-1)*100,"")</f>
        <v>0.23980815347719453</v>
      </c>
      <c r="C308" s="2">
        <f>IFERROR((Data!C308/Data!C307-1)*100,"")</f>
        <v>-0.11172995209154379</v>
      </c>
      <c r="D308">
        <f t="shared" si="38"/>
        <v>5.5627192552942795E-2</v>
      </c>
      <c r="E308">
        <f t="shared" si="39"/>
        <v>0.24038554142783811</v>
      </c>
      <c r="P308" t="str" cm="1">
        <f t="array" ref="P308">_xlfn.IFS(
  AND(D308&gt;0,E308&gt;0),"Expansion",
  AND(D308&lt;0,E308&gt;0),"Slowdown",
  AND(D308&lt;0,E308&lt;0),"Contraction",
  AND(D308&gt;0,E308&lt;0),"Recovery",
  TRUE,"Undefined"
)</f>
        <v>Expansion</v>
      </c>
      <c r="Q308" t="str">
        <f t="shared" si="46"/>
        <v>Expansion</v>
      </c>
      <c r="R308">
        <f t="shared" si="40"/>
        <v>1</v>
      </c>
      <c r="S308">
        <f t="shared" si="41"/>
        <v>1</v>
      </c>
      <c r="T308">
        <f t="shared" si="42"/>
        <v>1</v>
      </c>
      <c r="U308">
        <f t="shared" si="43"/>
        <v>1</v>
      </c>
      <c r="V308" t="str" cm="1">
        <f t="array" ref="V308">_xlfn.IFS(
  AND(S308&gt;0,U308&gt;0),"Expansion",
  AND(S308&lt;0,U308&gt;0),"Slowdown",
  AND(S308&lt;0,U308&lt;0),"Contraction",
  AND(S308&gt;0,U308&lt;0),"Recovery",
  TRUE,"Undefined"
)</f>
        <v>Expansion</v>
      </c>
      <c r="W308">
        <f t="shared" si="44"/>
        <v>0</v>
      </c>
      <c r="X308">
        <f t="shared" si="45"/>
        <v>0</v>
      </c>
      <c r="Y308">
        <v>0</v>
      </c>
    </row>
    <row r="309" spans="1:25" x14ac:dyDescent="0.35">
      <c r="A309" s="1">
        <f>Data!A309</f>
        <v>26512</v>
      </c>
      <c r="B309" s="2">
        <f>IFERROR((Data!B309/Data!B308-1)*100,"")</f>
        <v>0.23923444976077235</v>
      </c>
      <c r="C309" s="2">
        <f>IFERROR((Data!C309/Data!C308-1)*100,"")</f>
        <v>1.3933443897006237</v>
      </c>
      <c r="D309">
        <f t="shared" si="38"/>
        <v>0.51546756395789795</v>
      </c>
      <c r="E309">
        <f t="shared" si="39"/>
        <v>0.2398090728741975</v>
      </c>
      <c r="P309" t="str" cm="1">
        <f t="array" ref="P309">_xlfn.IFS(
  AND(D309&gt;0,E309&gt;0),"Expansion",
  AND(D309&lt;0,E309&gt;0),"Slowdown",
  AND(D309&lt;0,E309&lt;0),"Contraction",
  AND(D309&gt;0,E309&lt;0),"Recovery",
  TRUE,"Undefined"
)</f>
        <v>Expansion</v>
      </c>
      <c r="Q309" t="str">
        <f t="shared" si="46"/>
        <v>Expansion</v>
      </c>
      <c r="R309">
        <f t="shared" si="40"/>
        <v>1</v>
      </c>
      <c r="S309">
        <f t="shared" si="41"/>
        <v>1</v>
      </c>
      <c r="T309">
        <f t="shared" si="42"/>
        <v>1</v>
      </c>
      <c r="U309">
        <f t="shared" si="43"/>
        <v>1</v>
      </c>
      <c r="V309" t="str" cm="1">
        <f t="array" ref="V309">_xlfn.IFS(
  AND(S309&gt;0,U309&gt;0),"Expansion",
  AND(S309&lt;0,U309&gt;0),"Slowdown",
  AND(S309&lt;0,U309&lt;0),"Contraction",
  AND(S309&gt;0,U309&lt;0),"Recovery",
  TRUE,"Undefined"
)</f>
        <v>Expansion</v>
      </c>
      <c r="W309">
        <f t="shared" si="44"/>
        <v>0</v>
      </c>
      <c r="X309">
        <f t="shared" si="45"/>
        <v>0</v>
      </c>
      <c r="Y309">
        <v>0</v>
      </c>
    </row>
    <row r="310" spans="1:25" x14ac:dyDescent="0.35">
      <c r="A310" s="1">
        <f>Data!A310</f>
        <v>26543</v>
      </c>
      <c r="B310" s="2">
        <f>IFERROR((Data!B310/Data!B309-1)*100,"")</f>
        <v>0.47732696897375693</v>
      </c>
      <c r="C310" s="2">
        <f>IFERROR((Data!C310/Data!C309-1)*100,"")</f>
        <v>0.79801332410038839</v>
      </c>
      <c r="D310">
        <f t="shared" si="38"/>
        <v>0.69320925390315613</v>
      </c>
      <c r="E310">
        <f t="shared" si="39"/>
        <v>0.31878985740390792</v>
      </c>
      <c r="P310" t="str" cm="1">
        <f t="array" ref="P310">_xlfn.IFS(
  AND(D310&gt;0,E310&gt;0),"Expansion",
  AND(D310&lt;0,E310&gt;0),"Slowdown",
  AND(D310&lt;0,E310&lt;0),"Contraction",
  AND(D310&gt;0,E310&lt;0),"Recovery",
  TRUE,"Undefined"
)</f>
        <v>Expansion</v>
      </c>
      <c r="Q310" t="str">
        <f t="shared" si="46"/>
        <v>Expansion</v>
      </c>
      <c r="R310">
        <f t="shared" si="40"/>
        <v>1</v>
      </c>
      <c r="S310">
        <f t="shared" si="41"/>
        <v>1</v>
      </c>
      <c r="T310">
        <f t="shared" si="42"/>
        <v>1</v>
      </c>
      <c r="U310">
        <f t="shared" si="43"/>
        <v>1</v>
      </c>
      <c r="V310" t="str" cm="1">
        <f t="array" ref="V310">_xlfn.IFS(
  AND(S310&gt;0,U310&gt;0),"Expansion",
  AND(S310&lt;0,U310&gt;0),"Slowdown",
  AND(S310&lt;0,U310&lt;0),"Contraction",
  AND(S310&gt;0,U310&lt;0),"Recovery",
  TRUE,"Undefined"
)</f>
        <v>Expansion</v>
      </c>
      <c r="W310">
        <f t="shared" si="44"/>
        <v>0</v>
      </c>
      <c r="X310">
        <f t="shared" si="45"/>
        <v>0</v>
      </c>
      <c r="Y310">
        <v>0</v>
      </c>
    </row>
    <row r="311" spans="1:25" x14ac:dyDescent="0.35">
      <c r="A311" s="1">
        <f>Data!A311</f>
        <v>26573</v>
      </c>
      <c r="B311" s="2">
        <f>IFERROR((Data!B311/Data!B310-1)*100,"")</f>
        <v>0.23752969121140222</v>
      </c>
      <c r="C311" s="2">
        <f>IFERROR((Data!C311/Data!C310-1)*100,"")</f>
        <v>1.2702187941212806</v>
      </c>
      <c r="D311">
        <f t="shared" si="38"/>
        <v>1.1538588359740976</v>
      </c>
      <c r="E311">
        <f t="shared" si="39"/>
        <v>0.31803036998197715</v>
      </c>
      <c r="P311" t="str" cm="1">
        <f t="array" ref="P311">_xlfn.IFS(
  AND(D311&gt;0,E311&gt;0),"Expansion",
  AND(D311&lt;0,E311&gt;0),"Slowdown",
  AND(D311&lt;0,E311&lt;0),"Contraction",
  AND(D311&gt;0,E311&lt;0),"Recovery",
  TRUE,"Undefined"
)</f>
        <v>Expansion</v>
      </c>
      <c r="Q311" t="str">
        <f t="shared" si="46"/>
        <v>Expansion</v>
      </c>
      <c r="R311">
        <f t="shared" si="40"/>
        <v>1</v>
      </c>
      <c r="S311">
        <f t="shared" si="41"/>
        <v>1</v>
      </c>
      <c r="T311">
        <f t="shared" si="42"/>
        <v>1</v>
      </c>
      <c r="U311">
        <f t="shared" si="43"/>
        <v>1</v>
      </c>
      <c r="V311" t="str" cm="1">
        <f t="array" ref="V311">_xlfn.IFS(
  AND(S311&gt;0,U311&gt;0),"Expansion",
  AND(S311&lt;0,U311&gt;0),"Slowdown",
  AND(S311&lt;0,U311&lt;0),"Contraction",
  AND(S311&gt;0,U311&lt;0),"Recovery",
  TRUE,"Undefined"
)</f>
        <v>Expansion</v>
      </c>
      <c r="W311">
        <f t="shared" si="44"/>
        <v>0</v>
      </c>
      <c r="X311">
        <f t="shared" si="45"/>
        <v>0</v>
      </c>
      <c r="Y311">
        <v>0</v>
      </c>
    </row>
    <row r="312" spans="1:25" x14ac:dyDescent="0.35">
      <c r="A312" s="1">
        <f>Data!A312</f>
        <v>26604</v>
      </c>
      <c r="B312" s="2">
        <f>IFERROR((Data!B312/Data!B311-1)*100,"")</f>
        <v>0.47393364928909332</v>
      </c>
      <c r="C312" s="2">
        <f>IFERROR((Data!C312/Data!C311-1)*100,"")</f>
        <v>1.1822388150477092</v>
      </c>
      <c r="D312">
        <f t="shared" si="38"/>
        <v>1.0834903110897927</v>
      </c>
      <c r="E312">
        <f t="shared" si="39"/>
        <v>0.39626343649141749</v>
      </c>
      <c r="P312" t="str" cm="1">
        <f t="array" ref="P312">_xlfn.IFS(
  AND(D312&gt;0,E312&gt;0),"Expansion",
  AND(D312&lt;0,E312&gt;0),"Slowdown",
  AND(D312&lt;0,E312&lt;0),"Contraction",
  AND(D312&gt;0,E312&lt;0),"Recovery",
  TRUE,"Undefined"
)</f>
        <v>Expansion</v>
      </c>
      <c r="Q312" t="str">
        <f t="shared" si="46"/>
        <v>Expansion</v>
      </c>
      <c r="R312">
        <f t="shared" si="40"/>
        <v>1</v>
      </c>
      <c r="S312">
        <f t="shared" si="41"/>
        <v>1</v>
      </c>
      <c r="T312">
        <f t="shared" si="42"/>
        <v>1</v>
      </c>
      <c r="U312">
        <f t="shared" si="43"/>
        <v>1</v>
      </c>
      <c r="V312" t="str" cm="1">
        <f t="array" ref="V312">_xlfn.IFS(
  AND(S312&gt;0,U312&gt;0),"Expansion",
  AND(S312&lt;0,U312&gt;0),"Slowdown",
  AND(S312&lt;0,U312&lt;0),"Contraction",
  AND(S312&gt;0,U312&lt;0),"Recovery",
  TRUE,"Undefined"
)</f>
        <v>Expansion</v>
      </c>
      <c r="W312">
        <f t="shared" si="44"/>
        <v>0</v>
      </c>
      <c r="X312">
        <f t="shared" si="45"/>
        <v>0</v>
      </c>
      <c r="Y312">
        <v>0</v>
      </c>
    </row>
    <row r="313" spans="1:25" x14ac:dyDescent="0.35">
      <c r="A313" s="1">
        <f>Data!A313</f>
        <v>26634</v>
      </c>
      <c r="B313" s="2">
        <f>IFERROR((Data!B313/Data!B312-1)*100,"")</f>
        <v>0.23584905660378741</v>
      </c>
      <c r="C313" s="2">
        <f>IFERROR((Data!C313/Data!C312-1)*100,"")</f>
        <v>1.1140960078418916</v>
      </c>
      <c r="D313">
        <f t="shared" si="38"/>
        <v>1.1888512056702938</v>
      </c>
      <c r="E313">
        <f t="shared" si="39"/>
        <v>0.31577079903476096</v>
      </c>
      <c r="P313" t="str" cm="1">
        <f t="array" ref="P313">_xlfn.IFS(
  AND(D313&gt;0,E313&gt;0),"Expansion",
  AND(D313&lt;0,E313&gt;0),"Slowdown",
  AND(D313&lt;0,E313&lt;0),"Contraction",
  AND(D313&gt;0,E313&lt;0),"Recovery",
  TRUE,"Undefined"
)</f>
        <v>Expansion</v>
      </c>
      <c r="Q313" t="str">
        <f t="shared" si="46"/>
        <v>Expansion</v>
      </c>
      <c r="R313">
        <f t="shared" si="40"/>
        <v>1</v>
      </c>
      <c r="S313">
        <f t="shared" si="41"/>
        <v>1</v>
      </c>
      <c r="T313">
        <f t="shared" si="42"/>
        <v>1</v>
      </c>
      <c r="U313">
        <f t="shared" si="43"/>
        <v>1</v>
      </c>
      <c r="V313" t="str" cm="1">
        <f t="array" ref="V313">_xlfn.IFS(
  AND(S313&gt;0,U313&gt;0),"Expansion",
  AND(S313&lt;0,U313&gt;0),"Slowdown",
  AND(S313&lt;0,U313&lt;0),"Contraction",
  AND(S313&gt;0,U313&lt;0),"Recovery",
  TRUE,"Undefined"
)</f>
        <v>Expansion</v>
      </c>
      <c r="W313">
        <f t="shared" si="44"/>
        <v>0</v>
      </c>
      <c r="X313">
        <f t="shared" si="45"/>
        <v>0</v>
      </c>
      <c r="Y313">
        <v>0</v>
      </c>
    </row>
    <row r="314" spans="1:25" x14ac:dyDescent="0.35">
      <c r="A314" s="1">
        <f>Data!A314</f>
        <v>26665</v>
      </c>
      <c r="B314" s="2">
        <f>IFERROR((Data!B314/Data!B313-1)*100,"")</f>
        <v>0.47058823529413374</v>
      </c>
      <c r="C314" s="2">
        <f>IFERROR((Data!C314/Data!C313-1)*100,"")</f>
        <v>0.722962637784752</v>
      </c>
      <c r="D314">
        <f t="shared" si="38"/>
        <v>1.0064324868914509</v>
      </c>
      <c r="E314">
        <f t="shared" si="39"/>
        <v>0.39345698039567151</v>
      </c>
      <c r="P314" t="str" cm="1">
        <f t="array" ref="P314">_xlfn.IFS(
  AND(D314&gt;0,E314&gt;0),"Expansion",
  AND(D314&lt;0,E314&gt;0),"Slowdown",
  AND(D314&lt;0,E314&lt;0),"Contraction",
  AND(D314&gt;0,E314&lt;0),"Recovery",
  TRUE,"Undefined"
)</f>
        <v>Expansion</v>
      </c>
      <c r="Q314" t="str">
        <f t="shared" si="46"/>
        <v>Expansion</v>
      </c>
      <c r="R314">
        <f t="shared" si="40"/>
        <v>1</v>
      </c>
      <c r="S314">
        <f t="shared" si="41"/>
        <v>1</v>
      </c>
      <c r="T314">
        <f t="shared" si="42"/>
        <v>1</v>
      </c>
      <c r="U314">
        <f t="shared" si="43"/>
        <v>1</v>
      </c>
      <c r="V314" t="str" cm="1">
        <f t="array" ref="V314">_xlfn.IFS(
  AND(S314&gt;0,U314&gt;0),"Expansion",
  AND(S314&lt;0,U314&gt;0),"Slowdown",
  AND(S314&lt;0,U314&lt;0),"Contraction",
  AND(S314&gt;0,U314&lt;0),"Recovery",
  TRUE,"Undefined"
)</f>
        <v>Expansion</v>
      </c>
      <c r="W314">
        <f t="shared" si="44"/>
        <v>0</v>
      </c>
      <c r="X314">
        <f t="shared" si="45"/>
        <v>0</v>
      </c>
      <c r="Y314">
        <v>0</v>
      </c>
    </row>
    <row r="315" spans="1:25" x14ac:dyDescent="0.35">
      <c r="A315" s="1">
        <f>Data!A315</f>
        <v>26696</v>
      </c>
      <c r="B315" s="2">
        <f>IFERROR((Data!B315/Data!B314-1)*100,"")</f>
        <v>0.70257611241217877</v>
      </c>
      <c r="C315" s="2">
        <f>IFERROR((Data!C315/Data!C314-1)*100,"")</f>
        <v>1.4296448133948036</v>
      </c>
      <c r="D315">
        <f t="shared" si="38"/>
        <v>1.0889011530071491</v>
      </c>
      <c r="E315">
        <f t="shared" si="39"/>
        <v>0.46967113477003331</v>
      </c>
      <c r="P315" t="str" cm="1">
        <f t="array" ref="P315">_xlfn.IFS(
  AND(D315&gt;0,E315&gt;0),"Expansion",
  AND(D315&lt;0,E315&gt;0),"Slowdown",
  AND(D315&lt;0,E315&lt;0),"Contraction",
  AND(D315&gt;0,E315&lt;0),"Recovery",
  TRUE,"Undefined"
)</f>
        <v>Expansion</v>
      </c>
      <c r="Q315" t="str">
        <f t="shared" si="46"/>
        <v>Expansion</v>
      </c>
      <c r="R315">
        <f t="shared" si="40"/>
        <v>1</v>
      </c>
      <c r="S315">
        <f t="shared" si="41"/>
        <v>1</v>
      </c>
      <c r="T315">
        <f t="shared" si="42"/>
        <v>1</v>
      </c>
      <c r="U315">
        <f t="shared" si="43"/>
        <v>1</v>
      </c>
      <c r="V315" t="str" cm="1">
        <f t="array" ref="V315">_xlfn.IFS(
  AND(S315&gt;0,U315&gt;0),"Expansion",
  AND(S315&lt;0,U315&gt;0),"Slowdown",
  AND(S315&lt;0,U315&lt;0),"Contraction",
  AND(S315&gt;0,U315&lt;0),"Recovery",
  TRUE,"Undefined"
)</f>
        <v>Expansion</v>
      </c>
      <c r="W315">
        <f t="shared" si="44"/>
        <v>0</v>
      </c>
      <c r="X315">
        <f t="shared" si="45"/>
        <v>0</v>
      </c>
      <c r="Y315">
        <v>0</v>
      </c>
    </row>
    <row r="316" spans="1:25" x14ac:dyDescent="0.35">
      <c r="A316" s="1">
        <f>Data!A316</f>
        <v>26724</v>
      </c>
      <c r="B316" s="2">
        <f>IFERROR((Data!B316/Data!B315-1)*100,"")</f>
        <v>0.9302325581395321</v>
      </c>
      <c r="C316" s="2">
        <f>IFERROR((Data!C316/Data!C315-1)*100,"")</f>
        <v>4.8788457277670894E-2</v>
      </c>
      <c r="D316">
        <f t="shared" si="38"/>
        <v>0.73379863615240881</v>
      </c>
      <c r="E316">
        <f t="shared" si="39"/>
        <v>0.70113230194861487</v>
      </c>
      <c r="P316" t="str" cm="1">
        <f t="array" ref="P316">_xlfn.IFS(
  AND(D316&gt;0,E316&gt;0),"Expansion",
  AND(D316&lt;0,E316&gt;0),"Slowdown",
  AND(D316&lt;0,E316&lt;0),"Contraction",
  AND(D316&gt;0,E316&lt;0),"Recovery",
  TRUE,"Undefined"
)</f>
        <v>Expansion</v>
      </c>
      <c r="Q316" t="str">
        <f t="shared" si="46"/>
        <v>Expansion</v>
      </c>
      <c r="R316">
        <f t="shared" si="40"/>
        <v>1</v>
      </c>
      <c r="S316">
        <f t="shared" si="41"/>
        <v>1</v>
      </c>
      <c r="T316">
        <f t="shared" si="42"/>
        <v>1</v>
      </c>
      <c r="U316">
        <f t="shared" si="43"/>
        <v>1</v>
      </c>
      <c r="V316" t="str" cm="1">
        <f t="array" ref="V316">_xlfn.IFS(
  AND(S316&gt;0,U316&gt;0),"Expansion",
  AND(S316&lt;0,U316&gt;0),"Slowdown",
  AND(S316&lt;0,U316&lt;0),"Contraction",
  AND(S316&gt;0,U316&lt;0),"Recovery",
  TRUE,"Undefined"
)</f>
        <v>Expansion</v>
      </c>
      <c r="W316">
        <f t="shared" si="44"/>
        <v>0</v>
      </c>
      <c r="X316">
        <f t="shared" si="45"/>
        <v>0</v>
      </c>
      <c r="Y316">
        <v>0</v>
      </c>
    </row>
    <row r="317" spans="1:25" x14ac:dyDescent="0.35">
      <c r="A317" s="1">
        <f>Data!A317</f>
        <v>26755</v>
      </c>
      <c r="B317" s="2">
        <f>IFERROR((Data!B317/Data!B316-1)*100,"")</f>
        <v>0.69124423963133896</v>
      </c>
      <c r="C317" s="2">
        <f>IFERROR((Data!C317/Data!C316-1)*100,"")</f>
        <v>-0.14718876175776607</v>
      </c>
      <c r="D317">
        <f t="shared" si="38"/>
        <v>0.44374816963823616</v>
      </c>
      <c r="E317">
        <f t="shared" si="39"/>
        <v>0.7746843033943499</v>
      </c>
      <c r="P317" t="str" cm="1">
        <f t="array" ref="P317">_xlfn.IFS(
  AND(D317&gt;0,E317&gt;0),"Expansion",
  AND(D317&lt;0,E317&gt;0),"Slowdown",
  AND(D317&lt;0,E317&lt;0),"Contraction",
  AND(D317&gt;0,E317&lt;0),"Recovery",
  TRUE,"Undefined"
)</f>
        <v>Expansion</v>
      </c>
      <c r="Q317" t="str">
        <f t="shared" si="46"/>
        <v>Expansion</v>
      </c>
      <c r="R317">
        <f t="shared" si="40"/>
        <v>1</v>
      </c>
      <c r="S317">
        <f t="shared" si="41"/>
        <v>1</v>
      </c>
      <c r="T317">
        <f t="shared" si="42"/>
        <v>1</v>
      </c>
      <c r="U317">
        <f t="shared" si="43"/>
        <v>1</v>
      </c>
      <c r="V317" t="str" cm="1">
        <f t="array" ref="V317">_xlfn.IFS(
  AND(S317&gt;0,U317&gt;0),"Expansion",
  AND(S317&lt;0,U317&gt;0),"Slowdown",
  AND(S317&lt;0,U317&lt;0),"Contraction",
  AND(S317&gt;0,U317&lt;0),"Recovery",
  TRUE,"Undefined"
)</f>
        <v>Expansion</v>
      </c>
      <c r="W317">
        <f t="shared" si="44"/>
        <v>0</v>
      </c>
      <c r="X317">
        <f t="shared" si="45"/>
        <v>0</v>
      </c>
      <c r="Y317">
        <v>0</v>
      </c>
    </row>
    <row r="318" spans="1:25" x14ac:dyDescent="0.35">
      <c r="A318" s="1">
        <f>Data!A318</f>
        <v>26785</v>
      </c>
      <c r="B318" s="2">
        <f>IFERROR((Data!B318/Data!B317-1)*100,"")</f>
        <v>0.45766590389015871</v>
      </c>
      <c r="C318" s="2">
        <f>IFERROR((Data!C318/Data!C317-1)*100,"")</f>
        <v>0.68147145862222924</v>
      </c>
      <c r="D318">
        <f t="shared" si="38"/>
        <v>0.19435705138071135</v>
      </c>
      <c r="E318">
        <f t="shared" si="39"/>
        <v>0.69304756722034322</v>
      </c>
      <c r="P318" t="str" cm="1">
        <f t="array" ref="P318">_xlfn.IFS(
  AND(D318&gt;0,E318&gt;0),"Expansion",
  AND(D318&lt;0,E318&gt;0),"Slowdown",
  AND(D318&lt;0,E318&lt;0),"Contraction",
  AND(D318&gt;0,E318&lt;0),"Recovery",
  TRUE,"Undefined"
)</f>
        <v>Expansion</v>
      </c>
      <c r="Q318" t="str">
        <f t="shared" si="46"/>
        <v>Expansion</v>
      </c>
      <c r="R318">
        <f t="shared" si="40"/>
        <v>1</v>
      </c>
      <c r="S318">
        <f t="shared" si="41"/>
        <v>1</v>
      </c>
      <c r="T318">
        <f t="shared" si="42"/>
        <v>1</v>
      </c>
      <c r="U318">
        <f t="shared" si="43"/>
        <v>1</v>
      </c>
      <c r="V318" t="str" cm="1">
        <f t="array" ref="V318">_xlfn.IFS(
  AND(S318&gt;0,U318&gt;0),"Expansion",
  AND(S318&lt;0,U318&gt;0),"Slowdown",
  AND(S318&lt;0,U318&lt;0),"Contraction",
  AND(S318&gt;0,U318&lt;0),"Recovery",
  TRUE,"Undefined"
)</f>
        <v>Expansion</v>
      </c>
      <c r="W318">
        <f t="shared" si="44"/>
        <v>0</v>
      </c>
      <c r="X318">
        <f t="shared" si="45"/>
        <v>0</v>
      </c>
      <c r="Y318">
        <v>0</v>
      </c>
    </row>
    <row r="319" spans="1:25" x14ac:dyDescent="0.35">
      <c r="A319" s="1">
        <f>Data!A319</f>
        <v>26816</v>
      </c>
      <c r="B319" s="2">
        <f>IFERROR((Data!B319/Data!B318-1)*100,"")</f>
        <v>0.68337129840547739</v>
      </c>
      <c r="C319" s="2">
        <f>IFERROR((Data!C319/Data!C318-1)*100,"")</f>
        <v>0.13483776080316368</v>
      </c>
      <c r="D319">
        <f t="shared" si="38"/>
        <v>0.22304015255587561</v>
      </c>
      <c r="E319">
        <f t="shared" si="39"/>
        <v>0.61076048064232502</v>
      </c>
      <c r="P319" t="str" cm="1">
        <f t="array" ref="P319">_xlfn.IFS(
  AND(D319&gt;0,E319&gt;0),"Expansion",
  AND(D319&lt;0,E319&gt;0),"Slowdown",
  AND(D319&lt;0,E319&lt;0),"Contraction",
  AND(D319&gt;0,E319&lt;0),"Recovery",
  TRUE,"Undefined"
)</f>
        <v>Expansion</v>
      </c>
      <c r="Q319" t="str">
        <f t="shared" si="46"/>
        <v>Expansion</v>
      </c>
      <c r="R319">
        <f t="shared" si="40"/>
        <v>1</v>
      </c>
      <c r="S319">
        <f t="shared" si="41"/>
        <v>1</v>
      </c>
      <c r="T319">
        <f t="shared" si="42"/>
        <v>1</v>
      </c>
      <c r="U319">
        <f t="shared" si="43"/>
        <v>1</v>
      </c>
      <c r="V319" t="str" cm="1">
        <f t="array" ref="V319">_xlfn.IFS(
  AND(S319&gt;0,U319&gt;0),"Expansion",
  AND(S319&lt;0,U319&gt;0),"Slowdown",
  AND(S319&lt;0,U319&lt;0),"Contraction",
  AND(S319&gt;0,U319&lt;0),"Recovery",
  TRUE,"Undefined"
)</f>
        <v>Expansion</v>
      </c>
      <c r="W319">
        <f t="shared" si="44"/>
        <v>0</v>
      </c>
      <c r="X319">
        <f t="shared" si="45"/>
        <v>0</v>
      </c>
      <c r="Y319">
        <v>0</v>
      </c>
    </row>
    <row r="320" spans="1:25" x14ac:dyDescent="0.35">
      <c r="A320" s="1">
        <f>Data!A320</f>
        <v>26846</v>
      </c>
      <c r="B320" s="2">
        <f>IFERROR((Data!B320/Data!B319-1)*100,"")</f>
        <v>0</v>
      </c>
      <c r="C320" s="2">
        <f>IFERROR((Data!C320/Data!C319-1)*100,"")</f>
        <v>0.35575010832491483</v>
      </c>
      <c r="D320">
        <f t="shared" si="38"/>
        <v>0.39068644258343593</v>
      </c>
      <c r="E320">
        <f t="shared" si="39"/>
        <v>0.38034573409854538</v>
      </c>
      <c r="P320" t="str" cm="1">
        <f t="array" ref="P320">_xlfn.IFS(
  AND(D320&gt;0,E320&gt;0),"Expansion",
  AND(D320&lt;0,E320&gt;0),"Slowdown",
  AND(D320&lt;0,E320&lt;0),"Contraction",
  AND(D320&gt;0,E320&lt;0),"Recovery",
  TRUE,"Undefined"
)</f>
        <v>Expansion</v>
      </c>
      <c r="Q320" t="str">
        <f t="shared" si="46"/>
        <v>Expansion</v>
      </c>
      <c r="R320">
        <f t="shared" si="40"/>
        <v>1</v>
      </c>
      <c r="S320">
        <f t="shared" si="41"/>
        <v>1</v>
      </c>
      <c r="T320">
        <f t="shared" si="42"/>
        <v>1</v>
      </c>
      <c r="U320">
        <f t="shared" si="43"/>
        <v>1</v>
      </c>
      <c r="V320" t="str" cm="1">
        <f t="array" ref="V320">_xlfn.IFS(
  AND(S320&gt;0,U320&gt;0),"Expansion",
  AND(S320&lt;0,U320&gt;0),"Slowdown",
  AND(S320&lt;0,U320&lt;0),"Contraction",
  AND(S320&gt;0,U320&lt;0),"Recovery",
  TRUE,"Undefined"
)</f>
        <v>Expansion</v>
      </c>
      <c r="W320">
        <f t="shared" si="44"/>
        <v>0</v>
      </c>
      <c r="X320">
        <f t="shared" si="45"/>
        <v>0</v>
      </c>
      <c r="Y320">
        <v>0</v>
      </c>
    </row>
    <row r="321" spans="1:25" x14ac:dyDescent="0.35">
      <c r="A321" s="1">
        <f>Data!A321</f>
        <v>26877</v>
      </c>
      <c r="B321" s="2">
        <f>IFERROR((Data!B321/Data!B320-1)*100,"")</f>
        <v>1.8099547511312153</v>
      </c>
      <c r="C321" s="2">
        <f>IFERROR((Data!C321/Data!C320-1)*100,"")</f>
        <v>-0.13661444171855219</v>
      </c>
      <c r="D321">
        <f t="shared" si="38"/>
        <v>0.1179911424698421</v>
      </c>
      <c r="E321">
        <f t="shared" si="39"/>
        <v>0.83110868317889752</v>
      </c>
      <c r="P321" t="str" cm="1">
        <f t="array" ref="P321">_xlfn.IFS(
  AND(D321&gt;0,E321&gt;0),"Expansion",
  AND(D321&lt;0,E321&gt;0),"Slowdown",
  AND(D321&lt;0,E321&lt;0),"Contraction",
  AND(D321&gt;0,E321&lt;0),"Recovery",
  TRUE,"Undefined"
)</f>
        <v>Expansion</v>
      </c>
      <c r="Q321" t="str">
        <f t="shared" si="46"/>
        <v>Expansion</v>
      </c>
      <c r="R321">
        <f t="shared" si="40"/>
        <v>1</v>
      </c>
      <c r="S321">
        <f t="shared" si="41"/>
        <v>1</v>
      </c>
      <c r="T321">
        <f t="shared" si="42"/>
        <v>1</v>
      </c>
      <c r="U321">
        <f t="shared" si="43"/>
        <v>1</v>
      </c>
      <c r="V321" t="str" cm="1">
        <f t="array" ref="V321">_xlfn.IFS(
  AND(S321&gt;0,U321&gt;0),"Expansion",
  AND(S321&lt;0,U321&gt;0),"Slowdown",
  AND(S321&lt;0,U321&lt;0),"Contraction",
  AND(S321&gt;0,U321&lt;0),"Recovery",
  TRUE,"Undefined"
)</f>
        <v>Expansion</v>
      </c>
      <c r="W321">
        <f t="shared" si="44"/>
        <v>0</v>
      </c>
      <c r="X321">
        <f t="shared" si="45"/>
        <v>0</v>
      </c>
      <c r="Y321">
        <v>0</v>
      </c>
    </row>
    <row r="322" spans="1:25" x14ac:dyDescent="0.35">
      <c r="A322" s="1">
        <f>Data!A322</f>
        <v>26908</v>
      </c>
      <c r="B322" s="2">
        <f>IFERROR((Data!B322/Data!B321-1)*100,"")</f>
        <v>0.44444444444444731</v>
      </c>
      <c r="C322" s="2">
        <f>IFERROR((Data!C322/Data!C321-1)*100,"")</f>
        <v>0.79930113808952541</v>
      </c>
      <c r="D322">
        <f t="shared" si="38"/>
        <v>0.33947893489862935</v>
      </c>
      <c r="E322">
        <f t="shared" si="39"/>
        <v>0.7514663985252209</v>
      </c>
      <c r="P322" t="str" cm="1">
        <f t="array" ref="P322">_xlfn.IFS(
  AND(D322&gt;0,E322&gt;0),"Expansion",
  AND(D322&lt;0,E322&gt;0),"Slowdown",
  AND(D322&lt;0,E322&lt;0),"Contraction",
  AND(D322&gt;0,E322&lt;0),"Recovery",
  TRUE,"Undefined"
)</f>
        <v>Expansion</v>
      </c>
      <c r="Q322" t="str">
        <f t="shared" si="46"/>
        <v>Expansion</v>
      </c>
      <c r="R322">
        <f t="shared" si="40"/>
        <v>1</v>
      </c>
      <c r="S322">
        <f t="shared" si="41"/>
        <v>1</v>
      </c>
      <c r="T322">
        <f t="shared" si="42"/>
        <v>1</v>
      </c>
      <c r="U322">
        <f t="shared" si="43"/>
        <v>1</v>
      </c>
      <c r="V322" t="str" cm="1">
        <f t="array" ref="V322">_xlfn.IFS(
  AND(S322&gt;0,U322&gt;0),"Expansion",
  AND(S322&lt;0,U322&gt;0),"Slowdown",
  AND(S322&lt;0,U322&lt;0),"Contraction",
  AND(S322&gt;0,U322&lt;0),"Recovery",
  TRUE,"Undefined"
)</f>
        <v>Expansion</v>
      </c>
      <c r="W322">
        <f t="shared" si="44"/>
        <v>0</v>
      </c>
      <c r="X322">
        <f t="shared" si="45"/>
        <v>0</v>
      </c>
      <c r="Y322">
        <v>0</v>
      </c>
    </row>
    <row r="323" spans="1:25" x14ac:dyDescent="0.35">
      <c r="A323" s="1">
        <f>Data!A323</f>
        <v>26938</v>
      </c>
      <c r="B323" s="2">
        <f>IFERROR((Data!B323/Data!B322-1)*100,"")</f>
        <v>0.88495575221239076</v>
      </c>
      <c r="C323" s="2">
        <f>IFERROR((Data!C323/Data!C322-1)*100,"")</f>
        <v>0.84597381572464325</v>
      </c>
      <c r="D323">
        <f t="shared" si="38"/>
        <v>0.50288683736520545</v>
      </c>
      <c r="E323">
        <f t="shared" si="39"/>
        <v>1.0464516492626845</v>
      </c>
      <c r="P323" t="str" cm="1">
        <f t="array" ref="P323">_xlfn.IFS(
  AND(D323&gt;0,E323&gt;0),"Expansion",
  AND(D323&lt;0,E323&gt;0),"Slowdown",
  AND(D323&lt;0,E323&lt;0),"Contraction",
  AND(D323&gt;0,E323&lt;0),"Recovery",
  TRUE,"Undefined"
)</f>
        <v>Expansion</v>
      </c>
      <c r="Q323" t="str">
        <f t="shared" si="46"/>
        <v>Expansion</v>
      </c>
      <c r="R323">
        <f t="shared" si="40"/>
        <v>1</v>
      </c>
      <c r="S323">
        <f t="shared" si="41"/>
        <v>1</v>
      </c>
      <c r="T323">
        <f t="shared" si="42"/>
        <v>1</v>
      </c>
      <c r="U323">
        <f t="shared" si="43"/>
        <v>1</v>
      </c>
      <c r="V323" t="str" cm="1">
        <f t="array" ref="V323">_xlfn.IFS(
  AND(S323&gt;0,U323&gt;0),"Expansion",
  AND(S323&lt;0,U323&gt;0),"Slowdown",
  AND(S323&lt;0,U323&lt;0),"Contraction",
  AND(S323&gt;0,U323&lt;0),"Recovery",
  TRUE,"Undefined"
)</f>
        <v>Expansion</v>
      </c>
      <c r="W323">
        <f t="shared" si="44"/>
        <v>0</v>
      </c>
      <c r="X323">
        <f t="shared" si="45"/>
        <v>0</v>
      </c>
      <c r="Y323">
        <v>0</v>
      </c>
    </row>
    <row r="324" spans="1:25" x14ac:dyDescent="0.35">
      <c r="A324" s="1">
        <f>Data!A324</f>
        <v>26969</v>
      </c>
      <c r="B324" s="2">
        <f>IFERROR((Data!B324/Data!B323-1)*100,"")</f>
        <v>0.65789473684210176</v>
      </c>
      <c r="C324" s="2">
        <f>IFERROR((Data!C324/Data!C323-1)*100,"")</f>
        <v>0.45433725216481591</v>
      </c>
      <c r="D324">
        <f t="shared" si="38"/>
        <v>0.69987073532632815</v>
      </c>
      <c r="E324">
        <f t="shared" si="39"/>
        <v>0.66243164449964664</v>
      </c>
      <c r="P324" t="str" cm="1">
        <f t="array" ref="P324">_xlfn.IFS(
  AND(D324&gt;0,E324&gt;0),"Expansion",
  AND(D324&lt;0,E324&gt;0),"Slowdown",
  AND(D324&lt;0,E324&lt;0),"Contraction",
  AND(D324&gt;0,E324&lt;0),"Recovery",
  TRUE,"Undefined"
)</f>
        <v>Expansion</v>
      </c>
      <c r="Q324" t="str">
        <f t="shared" si="46"/>
        <v>Expansion</v>
      </c>
      <c r="R324">
        <f t="shared" si="40"/>
        <v>1</v>
      </c>
      <c r="S324">
        <f t="shared" si="41"/>
        <v>1</v>
      </c>
      <c r="T324">
        <f t="shared" si="42"/>
        <v>1</v>
      </c>
      <c r="U324">
        <f t="shared" si="43"/>
        <v>1</v>
      </c>
      <c r="V324" t="str" cm="1">
        <f t="array" ref="V324">_xlfn.IFS(
  AND(S324&gt;0,U324&gt;0),"Expansion",
  AND(S324&lt;0,U324&gt;0),"Slowdown",
  AND(S324&lt;0,U324&lt;0),"Contraction",
  AND(S324&gt;0,U324&lt;0),"Recovery",
  TRUE,"Undefined"
)</f>
        <v>Expansion</v>
      </c>
      <c r="W324">
        <f t="shared" si="44"/>
        <v>0</v>
      </c>
      <c r="X324">
        <f t="shared" si="45"/>
        <v>0</v>
      </c>
      <c r="Y324">
        <v>0</v>
      </c>
    </row>
    <row r="325" spans="1:25" x14ac:dyDescent="0.35">
      <c r="A325" s="1">
        <f>Data!A325</f>
        <v>26999</v>
      </c>
      <c r="B325" s="2">
        <f>IFERROR((Data!B325/Data!B324-1)*100,"")</f>
        <v>0.87145969498909626</v>
      </c>
      <c r="C325" s="2">
        <f>IFERROR((Data!C325/Data!C324-1)*100,"")</f>
        <v>-0.28726335514045465</v>
      </c>
      <c r="D325">
        <f t="shared" ref="D325:D388" si="47">SUM(C323:C325)/3</f>
        <v>0.33768257091633486</v>
      </c>
      <c r="E325">
        <f t="shared" ref="E325:E388" si="48">SUM(B323:B325)/3</f>
        <v>0.80477006134786289</v>
      </c>
      <c r="P325" t="str" cm="1">
        <f t="array" ref="P325">_xlfn.IFS(
  AND(D325&gt;0,E325&gt;0),"Expansion",
  AND(D325&lt;0,E325&gt;0),"Slowdown",
  AND(D325&lt;0,E325&lt;0),"Contraction",
  AND(D325&gt;0,E325&lt;0),"Recovery",
  TRUE,"Undefined"
)</f>
        <v>Expansion</v>
      </c>
      <c r="Q325" t="str">
        <f t="shared" si="46"/>
        <v>Expansion</v>
      </c>
      <c r="R325">
        <f t="shared" si="40"/>
        <v>1</v>
      </c>
      <c r="S325">
        <f t="shared" si="41"/>
        <v>1</v>
      </c>
      <c r="T325">
        <f t="shared" si="42"/>
        <v>1</v>
      </c>
      <c r="U325">
        <f t="shared" si="43"/>
        <v>1</v>
      </c>
      <c r="V325" t="str" cm="1">
        <f t="array" ref="V325">_xlfn.IFS(
  AND(S325&gt;0,U325&gt;0),"Expansion",
  AND(S325&lt;0,U325&gt;0),"Slowdown",
  AND(S325&lt;0,U325&lt;0),"Contraction",
  AND(S325&gt;0,U325&lt;0),"Recovery",
  TRUE,"Undefined"
)</f>
        <v>Expansion</v>
      </c>
      <c r="W325">
        <f t="shared" si="44"/>
        <v>0</v>
      </c>
      <c r="X325">
        <f t="shared" si="45"/>
        <v>0</v>
      </c>
      <c r="Y325">
        <v>1</v>
      </c>
    </row>
    <row r="326" spans="1:25" x14ac:dyDescent="0.35">
      <c r="A326" s="1">
        <f>Data!A326</f>
        <v>27030</v>
      </c>
      <c r="B326" s="2">
        <f>IFERROR((Data!B326/Data!B325-1)*100,"")</f>
        <v>1.0799136069114423</v>
      </c>
      <c r="C326" s="2">
        <f>IFERROR((Data!C326/Data!C325-1)*100,"")</f>
        <v>-0.65892907693313463</v>
      </c>
      <c r="D326">
        <f t="shared" si="47"/>
        <v>-0.16395172663625779</v>
      </c>
      <c r="E326">
        <f t="shared" si="48"/>
        <v>0.86975601291421345</v>
      </c>
      <c r="P326" t="str" cm="1">
        <f t="array" ref="P326">_xlfn.IFS(
  AND(D326&gt;0,E326&gt;0),"Expansion",
  AND(D326&lt;0,E326&gt;0),"Slowdown",
  AND(D326&lt;0,E326&lt;0),"Contraction",
  AND(D326&gt;0,E326&lt;0),"Recovery",
  TRUE,"Undefined"
)</f>
        <v>Slowdown</v>
      </c>
      <c r="Q326" t="str">
        <f t="shared" si="46"/>
        <v>Expansion</v>
      </c>
      <c r="R326">
        <f t="shared" ref="R326:R389" si="49">IF(D326&gt;-0.26, 1, -1)</f>
        <v>1</v>
      </c>
      <c r="S326">
        <f t="shared" ref="S326:S389" si="50">IF(R326=1, IF(D326 &lt; -$L$5, -1, 1), IF(D326 &gt; $L$5, 1, -1))</f>
        <v>1</v>
      </c>
      <c r="T326">
        <f t="shared" ref="T326:T389" si="51">IF(E326&gt;0, 1, -1)</f>
        <v>1</v>
      </c>
      <c r="U326">
        <f t="shared" ref="U326:U389" si="52">IF(T326=1, IF(E326 &lt; -$M$5, -1, 1), IF(E326 &gt; $M$5, 1, -1))</f>
        <v>1</v>
      </c>
      <c r="V326" t="str" cm="1">
        <f t="array" ref="V326">_xlfn.IFS(
  AND(S326&gt;0,U326&gt;0),"Expansion",
  AND(S326&lt;0,U326&gt;0),"Slowdown",
  AND(S326&lt;0,U326&lt;0),"Contraction",
  AND(S326&gt;0,U326&lt;0),"Recovery",
  TRUE,"Undefined"
)</f>
        <v>Expansion</v>
      </c>
      <c r="W326">
        <f t="shared" ref="W326:W389" si="53">IF(Q326="Contraction", 1, 0)</f>
        <v>0</v>
      </c>
      <c r="X326">
        <f t="shared" ref="X326:X389" si="54">IF(V326="Contraction", 1, 0)</f>
        <v>0</v>
      </c>
      <c r="Y326">
        <v>1</v>
      </c>
    </row>
    <row r="327" spans="1:25" x14ac:dyDescent="0.35">
      <c r="A327" s="1">
        <f>Data!A327</f>
        <v>27061</v>
      </c>
      <c r="B327" s="2">
        <f>IFERROR((Data!B327/Data!B326-1)*100,"")</f>
        <v>1.0683760683760646</v>
      </c>
      <c r="C327" s="2">
        <f>IFERROR((Data!C327/Data!C326-1)*100,"")</f>
        <v>-0.3167442635312101</v>
      </c>
      <c r="D327">
        <f t="shared" si="47"/>
        <v>-0.42097889853493314</v>
      </c>
      <c r="E327">
        <f t="shared" si="48"/>
        <v>1.0065831234255345</v>
      </c>
      <c r="P327" t="str" cm="1">
        <f t="array" ref="P327">_xlfn.IFS(
  AND(D327&gt;0,E327&gt;0),"Expansion",
  AND(D327&lt;0,E327&gt;0),"Slowdown",
  AND(D327&lt;0,E327&lt;0),"Contraction",
  AND(D327&gt;0,E327&lt;0),"Recovery",
  TRUE,"Undefined"
)</f>
        <v>Slowdown</v>
      </c>
      <c r="Q327" t="str">
        <f t="shared" si="46"/>
        <v>Expansion</v>
      </c>
      <c r="R327">
        <f t="shared" si="49"/>
        <v>-1</v>
      </c>
      <c r="S327">
        <f t="shared" si="50"/>
        <v>-1</v>
      </c>
      <c r="T327">
        <f t="shared" si="51"/>
        <v>1</v>
      </c>
      <c r="U327">
        <f t="shared" si="52"/>
        <v>1</v>
      </c>
      <c r="V327" t="str" cm="1">
        <f t="array" ref="V327">_xlfn.IFS(
  AND(S327&gt;0,U327&gt;0),"Expansion",
  AND(S327&lt;0,U327&gt;0),"Slowdown",
  AND(S327&lt;0,U327&lt;0),"Contraction",
  AND(S327&gt;0,U327&lt;0),"Recovery",
  TRUE,"Undefined"
)</f>
        <v>Slowdown</v>
      </c>
      <c r="W327">
        <f t="shared" si="53"/>
        <v>0</v>
      </c>
      <c r="X327">
        <f t="shared" si="54"/>
        <v>0</v>
      </c>
      <c r="Y327">
        <v>1</v>
      </c>
    </row>
    <row r="328" spans="1:25" x14ac:dyDescent="0.35">
      <c r="A328" s="1">
        <f>Data!A328</f>
        <v>27089</v>
      </c>
      <c r="B328" s="2">
        <f>IFERROR((Data!B328/Data!B327-1)*100,"")</f>
        <v>1.0570824524312794</v>
      </c>
      <c r="C328" s="2">
        <f>IFERROR((Data!C328/Data!C327-1)*100,"")</f>
        <v>3.9581404656097163E-3</v>
      </c>
      <c r="D328">
        <f t="shared" si="47"/>
        <v>-0.32390506666624502</v>
      </c>
      <c r="E328">
        <f t="shared" si="48"/>
        <v>1.0684573759062621</v>
      </c>
      <c r="P328" t="str" cm="1">
        <f t="array" ref="P328">_xlfn.IFS(
  AND(D328&gt;0,E328&gt;0),"Expansion",
  AND(D328&lt;0,E328&gt;0),"Slowdown",
  AND(D328&lt;0,E328&lt;0),"Contraction",
  AND(D328&gt;0,E328&lt;0),"Recovery",
  TRUE,"Undefined"
)</f>
        <v>Slowdown</v>
      </c>
      <c r="Q328" t="str">
        <f t="shared" ref="Q328:Q391" si="55">IF(AND(P328=P327, P327=P326), P328, Q327)</f>
        <v>Slowdown</v>
      </c>
      <c r="R328">
        <f t="shared" si="49"/>
        <v>-1</v>
      </c>
      <c r="S328">
        <f t="shared" si="50"/>
        <v>-1</v>
      </c>
      <c r="T328">
        <f t="shared" si="51"/>
        <v>1</v>
      </c>
      <c r="U328">
        <f t="shared" si="52"/>
        <v>1</v>
      </c>
      <c r="V328" t="str" cm="1">
        <f t="array" ref="V328">_xlfn.IFS(
  AND(S328&gt;0,U328&gt;0),"Expansion",
  AND(S328&lt;0,U328&gt;0),"Slowdown",
  AND(S328&lt;0,U328&lt;0),"Contraction",
  AND(S328&gt;0,U328&lt;0),"Recovery",
  TRUE,"Undefined"
)</f>
        <v>Slowdown</v>
      </c>
      <c r="W328">
        <f t="shared" si="53"/>
        <v>0</v>
      </c>
      <c r="X328">
        <f t="shared" si="54"/>
        <v>0</v>
      </c>
      <c r="Y328">
        <v>1</v>
      </c>
    </row>
    <row r="329" spans="1:25" x14ac:dyDescent="0.35">
      <c r="A329" s="1">
        <f>Data!A329</f>
        <v>27120</v>
      </c>
      <c r="B329" s="2">
        <f>IFERROR((Data!B329/Data!B328-1)*100,"")</f>
        <v>0.62761506276152179</v>
      </c>
      <c r="C329" s="2">
        <f>IFERROR((Data!C329/Data!C328-1)*100,"")</f>
        <v>-0.29157147349139212</v>
      </c>
      <c r="D329">
        <f t="shared" si="47"/>
        <v>-0.20145253218566417</v>
      </c>
      <c r="E329">
        <f t="shared" si="48"/>
        <v>0.91769119452295522</v>
      </c>
      <c r="P329" t="str" cm="1">
        <f t="array" ref="P329">_xlfn.IFS(
  AND(D329&gt;0,E329&gt;0),"Expansion",
  AND(D329&lt;0,E329&gt;0),"Slowdown",
  AND(D329&lt;0,E329&lt;0),"Contraction",
  AND(D329&gt;0,E329&lt;0),"Recovery",
  TRUE,"Undefined"
)</f>
        <v>Slowdown</v>
      </c>
      <c r="Q329" t="str">
        <f t="shared" si="55"/>
        <v>Slowdown</v>
      </c>
      <c r="R329">
        <f t="shared" si="49"/>
        <v>1</v>
      </c>
      <c r="S329">
        <f t="shared" si="50"/>
        <v>1</v>
      </c>
      <c r="T329">
        <f t="shared" si="51"/>
        <v>1</v>
      </c>
      <c r="U329">
        <f t="shared" si="52"/>
        <v>1</v>
      </c>
      <c r="V329" t="str" cm="1">
        <f t="array" ref="V329">_xlfn.IFS(
  AND(S329&gt;0,U329&gt;0),"Expansion",
  AND(S329&lt;0,U329&gt;0),"Slowdown",
  AND(S329&lt;0,U329&lt;0),"Contraction",
  AND(S329&gt;0,U329&lt;0),"Recovery",
  TRUE,"Undefined"
)</f>
        <v>Expansion</v>
      </c>
      <c r="W329">
        <f t="shared" si="53"/>
        <v>0</v>
      </c>
      <c r="X329">
        <f t="shared" si="54"/>
        <v>0</v>
      </c>
      <c r="Y329">
        <v>1</v>
      </c>
    </row>
    <row r="330" spans="1:25" x14ac:dyDescent="0.35">
      <c r="A330" s="1">
        <f>Data!A330</f>
        <v>27150</v>
      </c>
      <c r="B330" s="2">
        <f>IFERROR((Data!B330/Data!B329-1)*100,"")</f>
        <v>1.039501039501034</v>
      </c>
      <c r="C330" s="2">
        <f>IFERROR((Data!C330/Data!C329-1)*100,"")</f>
        <v>0.79236786334133669</v>
      </c>
      <c r="D330">
        <f t="shared" si="47"/>
        <v>0.16825151010518477</v>
      </c>
      <c r="E330">
        <f t="shared" si="48"/>
        <v>0.90806618489794511</v>
      </c>
      <c r="P330" t="str" cm="1">
        <f t="array" ref="P330">_xlfn.IFS(
  AND(D330&gt;0,E330&gt;0),"Expansion",
  AND(D330&lt;0,E330&gt;0),"Slowdown",
  AND(D330&lt;0,E330&lt;0),"Contraction",
  AND(D330&gt;0,E330&lt;0),"Recovery",
  TRUE,"Undefined"
)</f>
        <v>Expansion</v>
      </c>
      <c r="Q330" t="str">
        <f t="shared" si="55"/>
        <v>Slowdown</v>
      </c>
      <c r="R330">
        <f t="shared" si="49"/>
        <v>1</v>
      </c>
      <c r="S330">
        <f t="shared" si="50"/>
        <v>1</v>
      </c>
      <c r="T330">
        <f t="shared" si="51"/>
        <v>1</v>
      </c>
      <c r="U330">
        <f t="shared" si="52"/>
        <v>1</v>
      </c>
      <c r="V330" t="str" cm="1">
        <f t="array" ref="V330">_xlfn.IFS(
  AND(S330&gt;0,U330&gt;0),"Expansion",
  AND(S330&lt;0,U330&gt;0),"Slowdown",
  AND(S330&lt;0,U330&lt;0),"Contraction",
  AND(S330&gt;0,U330&lt;0),"Recovery",
  TRUE,"Undefined"
)</f>
        <v>Expansion</v>
      </c>
      <c r="W330">
        <f t="shared" si="53"/>
        <v>0</v>
      </c>
      <c r="X330">
        <f t="shared" si="54"/>
        <v>0</v>
      </c>
      <c r="Y330">
        <v>1</v>
      </c>
    </row>
    <row r="331" spans="1:25" x14ac:dyDescent="0.35">
      <c r="A331" s="1">
        <f>Data!A331</f>
        <v>27181</v>
      </c>
      <c r="B331" s="2">
        <f>IFERROR((Data!B331/Data!B330-1)*100,"")</f>
        <v>0.82304526748970819</v>
      </c>
      <c r="C331" s="2">
        <f>IFERROR((Data!C331/Data!C330-1)*100,"")</f>
        <v>-0.17635063582499555</v>
      </c>
      <c r="D331">
        <f t="shared" si="47"/>
        <v>0.10814858467498301</v>
      </c>
      <c r="E331">
        <f t="shared" si="48"/>
        <v>0.83005378991742129</v>
      </c>
      <c r="P331" t="str" cm="1">
        <f t="array" ref="P331">_xlfn.IFS(
  AND(D331&gt;0,E331&gt;0),"Expansion",
  AND(D331&lt;0,E331&gt;0),"Slowdown",
  AND(D331&lt;0,E331&lt;0),"Contraction",
  AND(D331&gt;0,E331&lt;0),"Recovery",
  TRUE,"Undefined"
)</f>
        <v>Expansion</v>
      </c>
      <c r="Q331" t="str">
        <f t="shared" si="55"/>
        <v>Slowdown</v>
      </c>
      <c r="R331">
        <f t="shared" si="49"/>
        <v>1</v>
      </c>
      <c r="S331">
        <f t="shared" si="50"/>
        <v>1</v>
      </c>
      <c r="T331">
        <f t="shared" si="51"/>
        <v>1</v>
      </c>
      <c r="U331">
        <f t="shared" si="52"/>
        <v>1</v>
      </c>
      <c r="V331" t="str" cm="1">
        <f t="array" ref="V331">_xlfn.IFS(
  AND(S331&gt;0,U331&gt;0),"Expansion",
  AND(S331&lt;0,U331&gt;0),"Slowdown",
  AND(S331&lt;0,U331&lt;0),"Contraction",
  AND(S331&gt;0,U331&lt;0),"Recovery",
  TRUE,"Undefined"
)</f>
        <v>Expansion</v>
      </c>
      <c r="W331">
        <f t="shared" si="53"/>
        <v>0</v>
      </c>
      <c r="X331">
        <f t="shared" si="54"/>
        <v>0</v>
      </c>
      <c r="Y331">
        <v>1</v>
      </c>
    </row>
    <row r="332" spans="1:25" x14ac:dyDescent="0.35">
      <c r="A332" s="1">
        <f>Data!A332</f>
        <v>27211</v>
      </c>
      <c r="B332" s="2">
        <f>IFERROR((Data!B332/Data!B331-1)*100,"")</f>
        <v>0.61224489795916881</v>
      </c>
      <c r="C332" s="2">
        <f>IFERROR((Data!C332/Data!C331-1)*100,"")</f>
        <v>0.21545772162774313</v>
      </c>
      <c r="D332">
        <f t="shared" si="47"/>
        <v>0.2771583163813614</v>
      </c>
      <c r="E332">
        <f t="shared" si="48"/>
        <v>0.82493040164997034</v>
      </c>
      <c r="P332" t="str" cm="1">
        <f t="array" ref="P332">_xlfn.IFS(
  AND(D332&gt;0,E332&gt;0),"Expansion",
  AND(D332&lt;0,E332&gt;0),"Slowdown",
  AND(D332&lt;0,E332&lt;0),"Contraction",
  AND(D332&gt;0,E332&lt;0),"Recovery",
  TRUE,"Undefined"
)</f>
        <v>Expansion</v>
      </c>
      <c r="Q332" t="str">
        <f t="shared" si="55"/>
        <v>Expansion</v>
      </c>
      <c r="R332">
        <f t="shared" si="49"/>
        <v>1</v>
      </c>
      <c r="S332">
        <f t="shared" si="50"/>
        <v>1</v>
      </c>
      <c r="T332">
        <f t="shared" si="51"/>
        <v>1</v>
      </c>
      <c r="U332">
        <f t="shared" si="52"/>
        <v>1</v>
      </c>
      <c r="V332" t="str" cm="1">
        <f t="array" ref="V332">_xlfn.IFS(
  AND(S332&gt;0,U332&gt;0),"Expansion",
  AND(S332&lt;0,U332&gt;0),"Slowdown",
  AND(S332&lt;0,U332&lt;0),"Contraction",
  AND(S332&gt;0,U332&lt;0),"Recovery",
  TRUE,"Undefined"
)</f>
        <v>Expansion</v>
      </c>
      <c r="W332">
        <f t="shared" si="53"/>
        <v>0</v>
      </c>
      <c r="X332">
        <f t="shared" si="54"/>
        <v>0</v>
      </c>
      <c r="Y332">
        <v>1</v>
      </c>
    </row>
    <row r="333" spans="1:25" x14ac:dyDescent="0.35">
      <c r="A333" s="1">
        <f>Data!A333</f>
        <v>27242</v>
      </c>
      <c r="B333" s="2">
        <f>IFERROR((Data!B333/Data!B332-1)*100,"")</f>
        <v>1.2170385395537497</v>
      </c>
      <c r="C333" s="2">
        <f>IFERROR((Data!C333/Data!C332-1)*100,"")</f>
        <v>-1.0618497400600502</v>
      </c>
      <c r="D333">
        <f t="shared" si="47"/>
        <v>-0.34091421808576755</v>
      </c>
      <c r="E333">
        <f t="shared" si="48"/>
        <v>0.88410956833420895</v>
      </c>
      <c r="P333" t="str" cm="1">
        <f t="array" ref="P333">_xlfn.IFS(
  AND(D333&gt;0,E333&gt;0),"Expansion",
  AND(D333&lt;0,E333&gt;0),"Slowdown",
  AND(D333&lt;0,E333&lt;0),"Contraction",
  AND(D333&gt;0,E333&lt;0),"Recovery",
  TRUE,"Undefined"
)</f>
        <v>Slowdown</v>
      </c>
      <c r="Q333" t="str">
        <f t="shared" si="55"/>
        <v>Expansion</v>
      </c>
      <c r="R333">
        <f t="shared" si="49"/>
        <v>-1</v>
      </c>
      <c r="S333">
        <f t="shared" si="50"/>
        <v>-1</v>
      </c>
      <c r="T333">
        <f t="shared" si="51"/>
        <v>1</v>
      </c>
      <c r="U333">
        <f t="shared" si="52"/>
        <v>1</v>
      </c>
      <c r="V333" t="str" cm="1">
        <f t="array" ref="V333">_xlfn.IFS(
  AND(S333&gt;0,U333&gt;0),"Expansion",
  AND(S333&lt;0,U333&gt;0),"Slowdown",
  AND(S333&lt;0,U333&lt;0),"Contraction",
  AND(S333&gt;0,U333&lt;0),"Recovery",
  TRUE,"Undefined"
)</f>
        <v>Slowdown</v>
      </c>
      <c r="W333">
        <f t="shared" si="53"/>
        <v>0</v>
      </c>
      <c r="X333">
        <f t="shared" si="54"/>
        <v>0</v>
      </c>
      <c r="Y333">
        <v>1</v>
      </c>
    </row>
    <row r="334" spans="1:25" x14ac:dyDescent="0.35">
      <c r="A334" s="1">
        <f>Data!A334</f>
        <v>27273</v>
      </c>
      <c r="B334" s="2">
        <f>IFERROR((Data!B334/Data!B333-1)*100,"")</f>
        <v>1.4028056112224574</v>
      </c>
      <c r="C334" s="2">
        <f>IFERROR((Data!C334/Data!C333-1)*100,"")</f>
        <v>-2.2105993819909742E-4</v>
      </c>
      <c r="D334">
        <f t="shared" si="47"/>
        <v>-0.28220435945683536</v>
      </c>
      <c r="E334">
        <f t="shared" si="48"/>
        <v>1.0773630162451253</v>
      </c>
      <c r="P334" t="str" cm="1">
        <f t="array" ref="P334">_xlfn.IFS(
  AND(D334&gt;0,E334&gt;0),"Expansion",
  AND(D334&lt;0,E334&gt;0),"Slowdown",
  AND(D334&lt;0,E334&lt;0),"Contraction",
  AND(D334&gt;0,E334&lt;0),"Recovery",
  TRUE,"Undefined"
)</f>
        <v>Slowdown</v>
      </c>
      <c r="Q334" t="str">
        <f t="shared" si="55"/>
        <v>Expansion</v>
      </c>
      <c r="R334">
        <f t="shared" si="49"/>
        <v>-1</v>
      </c>
      <c r="S334">
        <f t="shared" si="50"/>
        <v>-1</v>
      </c>
      <c r="T334">
        <f t="shared" si="51"/>
        <v>1</v>
      </c>
      <c r="U334">
        <f t="shared" si="52"/>
        <v>1</v>
      </c>
      <c r="V334" t="str" cm="1">
        <f t="array" ref="V334">_xlfn.IFS(
  AND(S334&gt;0,U334&gt;0),"Expansion",
  AND(S334&lt;0,U334&gt;0),"Slowdown",
  AND(S334&lt;0,U334&lt;0),"Contraction",
  AND(S334&gt;0,U334&lt;0),"Recovery",
  TRUE,"Undefined"
)</f>
        <v>Slowdown</v>
      </c>
      <c r="W334">
        <f t="shared" si="53"/>
        <v>0</v>
      </c>
      <c r="X334">
        <f t="shared" si="54"/>
        <v>0</v>
      </c>
      <c r="Y334">
        <v>1</v>
      </c>
    </row>
    <row r="335" spans="1:25" x14ac:dyDescent="0.35">
      <c r="A335" s="1">
        <f>Data!A335</f>
        <v>27303</v>
      </c>
      <c r="B335" s="2">
        <f>IFERROR((Data!B335/Data!B334-1)*100,"")</f>
        <v>0.7905138339920903</v>
      </c>
      <c r="C335" s="2">
        <f>IFERROR((Data!C335/Data!C334-1)*100,"")</f>
        <v>-0.27234644590098389</v>
      </c>
      <c r="D335">
        <f t="shared" si="47"/>
        <v>-0.4448057486330777</v>
      </c>
      <c r="E335">
        <f t="shared" si="48"/>
        <v>1.1367859949227659</v>
      </c>
      <c r="P335" t="str" cm="1">
        <f t="array" ref="P335">_xlfn.IFS(
  AND(D335&gt;0,E335&gt;0),"Expansion",
  AND(D335&lt;0,E335&gt;0),"Slowdown",
  AND(D335&lt;0,E335&lt;0),"Contraction",
  AND(D335&gt;0,E335&lt;0),"Recovery",
  TRUE,"Undefined"
)</f>
        <v>Slowdown</v>
      </c>
      <c r="Q335" t="str">
        <f t="shared" si="55"/>
        <v>Slowdown</v>
      </c>
      <c r="R335">
        <f t="shared" si="49"/>
        <v>-1</v>
      </c>
      <c r="S335">
        <f t="shared" si="50"/>
        <v>-1</v>
      </c>
      <c r="T335">
        <f t="shared" si="51"/>
        <v>1</v>
      </c>
      <c r="U335">
        <f t="shared" si="52"/>
        <v>1</v>
      </c>
      <c r="V335" t="str" cm="1">
        <f t="array" ref="V335">_xlfn.IFS(
  AND(S335&gt;0,U335&gt;0),"Expansion",
  AND(S335&lt;0,U335&gt;0),"Slowdown",
  AND(S335&lt;0,U335&lt;0),"Contraction",
  AND(S335&gt;0,U335&lt;0),"Recovery",
  TRUE,"Undefined"
)</f>
        <v>Slowdown</v>
      </c>
      <c r="W335">
        <f t="shared" si="53"/>
        <v>0</v>
      </c>
      <c r="X335">
        <f t="shared" si="54"/>
        <v>0</v>
      </c>
      <c r="Y335">
        <v>1</v>
      </c>
    </row>
    <row r="336" spans="1:25" x14ac:dyDescent="0.35">
      <c r="A336" s="1">
        <f>Data!A336</f>
        <v>27334</v>
      </c>
      <c r="B336" s="2">
        <f>IFERROR((Data!B336/Data!B335-1)*100,"")</f>
        <v>0.98039215686274161</v>
      </c>
      <c r="C336" s="2">
        <f>IFERROR((Data!C336/Data!C335-1)*100,"")</f>
        <v>-3.292820520777695</v>
      </c>
      <c r="D336">
        <f t="shared" si="47"/>
        <v>-1.1884626755389593</v>
      </c>
      <c r="E336">
        <f t="shared" si="48"/>
        <v>1.0579038673590964</v>
      </c>
      <c r="P336" t="str" cm="1">
        <f t="array" ref="P336">_xlfn.IFS(
  AND(D336&gt;0,E336&gt;0),"Expansion",
  AND(D336&lt;0,E336&gt;0),"Slowdown",
  AND(D336&lt;0,E336&lt;0),"Contraction",
  AND(D336&gt;0,E336&lt;0),"Recovery",
  TRUE,"Undefined"
)</f>
        <v>Slowdown</v>
      </c>
      <c r="Q336" t="str">
        <f t="shared" si="55"/>
        <v>Slowdown</v>
      </c>
      <c r="R336">
        <f t="shared" si="49"/>
        <v>-1</v>
      </c>
      <c r="S336">
        <f t="shared" si="50"/>
        <v>-1</v>
      </c>
      <c r="T336">
        <f t="shared" si="51"/>
        <v>1</v>
      </c>
      <c r="U336">
        <f t="shared" si="52"/>
        <v>1</v>
      </c>
      <c r="V336" t="str" cm="1">
        <f t="array" ref="V336">_xlfn.IFS(
  AND(S336&gt;0,U336&gt;0),"Expansion",
  AND(S336&lt;0,U336&gt;0),"Slowdown",
  AND(S336&lt;0,U336&lt;0),"Contraction",
  AND(S336&gt;0,U336&lt;0),"Recovery",
  TRUE,"Undefined"
)</f>
        <v>Slowdown</v>
      </c>
      <c r="W336">
        <f t="shared" si="53"/>
        <v>0</v>
      </c>
      <c r="X336">
        <f t="shared" si="54"/>
        <v>0</v>
      </c>
      <c r="Y336">
        <v>1</v>
      </c>
    </row>
    <row r="337" spans="1:25" x14ac:dyDescent="0.35">
      <c r="A337" s="1">
        <f>Data!A337</f>
        <v>27364</v>
      </c>
      <c r="B337" s="2">
        <f>IFERROR((Data!B337/Data!B336-1)*100,"")</f>
        <v>0.77669902912620437</v>
      </c>
      <c r="C337" s="2">
        <f>IFERROR((Data!C337/Data!C336-1)*100,"")</f>
        <v>-3.6089374206354718</v>
      </c>
      <c r="D337">
        <f t="shared" si="47"/>
        <v>-2.3913681291047166</v>
      </c>
      <c r="E337">
        <f t="shared" si="48"/>
        <v>0.84920167332701213</v>
      </c>
      <c r="P337" t="str" cm="1">
        <f t="array" ref="P337">_xlfn.IFS(
  AND(D337&gt;0,E337&gt;0),"Expansion",
  AND(D337&lt;0,E337&gt;0),"Slowdown",
  AND(D337&lt;0,E337&lt;0),"Contraction",
  AND(D337&gt;0,E337&lt;0),"Recovery",
  TRUE,"Undefined"
)</f>
        <v>Slowdown</v>
      </c>
      <c r="Q337" t="str">
        <f t="shared" si="55"/>
        <v>Slowdown</v>
      </c>
      <c r="R337">
        <f t="shared" si="49"/>
        <v>-1</v>
      </c>
      <c r="S337">
        <f t="shared" si="50"/>
        <v>-1</v>
      </c>
      <c r="T337">
        <f t="shared" si="51"/>
        <v>1</v>
      </c>
      <c r="U337">
        <f t="shared" si="52"/>
        <v>1</v>
      </c>
      <c r="V337" t="str" cm="1">
        <f t="array" ref="V337">_xlfn.IFS(
  AND(S337&gt;0,U337&gt;0),"Expansion",
  AND(S337&lt;0,U337&gt;0),"Slowdown",
  AND(S337&lt;0,U337&lt;0),"Contraction",
  AND(S337&gt;0,U337&lt;0),"Recovery",
  TRUE,"Undefined"
)</f>
        <v>Slowdown</v>
      </c>
      <c r="W337">
        <f t="shared" si="53"/>
        <v>0</v>
      </c>
      <c r="X337">
        <f t="shared" si="54"/>
        <v>0</v>
      </c>
      <c r="Y337">
        <v>1</v>
      </c>
    </row>
    <row r="338" spans="1:25" x14ac:dyDescent="0.35">
      <c r="A338" s="1">
        <f>Data!A338</f>
        <v>27395</v>
      </c>
      <c r="B338" s="2">
        <f>IFERROR((Data!B338/Data!B337-1)*100,"")</f>
        <v>0.77071290944124016</v>
      </c>
      <c r="C338" s="2">
        <f>IFERROR((Data!C338/Data!C337-1)*100,"")</f>
        <v>-1.3927563354124484</v>
      </c>
      <c r="D338">
        <f t="shared" si="47"/>
        <v>-2.7648380922752054</v>
      </c>
      <c r="E338">
        <f t="shared" si="48"/>
        <v>0.84260136514339534</v>
      </c>
      <c r="P338" t="str" cm="1">
        <f t="array" ref="P338">_xlfn.IFS(
  AND(D338&gt;0,E338&gt;0),"Expansion",
  AND(D338&lt;0,E338&gt;0),"Slowdown",
  AND(D338&lt;0,E338&lt;0),"Contraction",
  AND(D338&gt;0,E338&lt;0),"Recovery",
  TRUE,"Undefined"
)</f>
        <v>Slowdown</v>
      </c>
      <c r="Q338" t="str">
        <f t="shared" si="55"/>
        <v>Slowdown</v>
      </c>
      <c r="R338">
        <f t="shared" si="49"/>
        <v>-1</v>
      </c>
      <c r="S338">
        <f t="shared" si="50"/>
        <v>-1</v>
      </c>
      <c r="T338">
        <f t="shared" si="51"/>
        <v>1</v>
      </c>
      <c r="U338">
        <f t="shared" si="52"/>
        <v>1</v>
      </c>
      <c r="V338" t="str" cm="1">
        <f t="array" ref="V338">_xlfn.IFS(
  AND(S338&gt;0,U338&gt;0),"Expansion",
  AND(S338&lt;0,U338&gt;0),"Slowdown",
  AND(S338&lt;0,U338&lt;0),"Contraction",
  AND(S338&gt;0,U338&lt;0),"Recovery",
  TRUE,"Undefined"
)</f>
        <v>Slowdown</v>
      </c>
      <c r="W338">
        <f t="shared" si="53"/>
        <v>0</v>
      </c>
      <c r="X338">
        <f t="shared" si="54"/>
        <v>0</v>
      </c>
      <c r="Y338">
        <v>1</v>
      </c>
    </row>
    <row r="339" spans="1:25" x14ac:dyDescent="0.35">
      <c r="A339" s="1">
        <f>Data!A339</f>
        <v>27426</v>
      </c>
      <c r="B339" s="2">
        <f>IFERROR((Data!B339/Data!B338-1)*100,"")</f>
        <v>0.57361376673041864</v>
      </c>
      <c r="C339" s="2">
        <f>IFERROR((Data!C339/Data!C338-1)*100,"")</f>
        <v>-2.2935978932949963</v>
      </c>
      <c r="D339">
        <f t="shared" si="47"/>
        <v>-2.4317638831143058</v>
      </c>
      <c r="E339">
        <f t="shared" si="48"/>
        <v>0.70700856843262105</v>
      </c>
      <c r="P339" t="str" cm="1">
        <f t="array" ref="P339">_xlfn.IFS(
  AND(D339&gt;0,E339&gt;0),"Expansion",
  AND(D339&lt;0,E339&gt;0),"Slowdown",
  AND(D339&lt;0,E339&lt;0),"Contraction",
  AND(D339&gt;0,E339&lt;0),"Recovery",
  TRUE,"Undefined"
)</f>
        <v>Slowdown</v>
      </c>
      <c r="Q339" t="str">
        <f t="shared" si="55"/>
        <v>Slowdown</v>
      </c>
      <c r="R339">
        <f t="shared" si="49"/>
        <v>-1</v>
      </c>
      <c r="S339">
        <f t="shared" si="50"/>
        <v>-1</v>
      </c>
      <c r="T339">
        <f t="shared" si="51"/>
        <v>1</v>
      </c>
      <c r="U339">
        <f t="shared" si="52"/>
        <v>1</v>
      </c>
      <c r="V339" t="str" cm="1">
        <f t="array" ref="V339">_xlfn.IFS(
  AND(S339&gt;0,U339&gt;0),"Expansion",
  AND(S339&lt;0,U339&gt;0),"Slowdown",
  AND(S339&lt;0,U339&lt;0),"Contraction",
  AND(S339&gt;0,U339&lt;0),"Recovery",
  TRUE,"Undefined"
)</f>
        <v>Slowdown</v>
      </c>
      <c r="W339">
        <f t="shared" si="53"/>
        <v>0</v>
      </c>
      <c r="X339">
        <f t="shared" si="54"/>
        <v>0</v>
      </c>
      <c r="Y339">
        <v>1</v>
      </c>
    </row>
    <row r="340" spans="1:25" x14ac:dyDescent="0.35">
      <c r="A340" s="1">
        <f>Data!A340</f>
        <v>27454</v>
      </c>
      <c r="B340" s="2">
        <f>IFERROR((Data!B340/Data!B339-1)*100,"")</f>
        <v>0.38022813688212143</v>
      </c>
      <c r="C340" s="2">
        <f>IFERROR((Data!C340/Data!C339-1)*100,"")</f>
        <v>-1.1173225722853619</v>
      </c>
      <c r="D340">
        <f t="shared" si="47"/>
        <v>-1.6012256003309355</v>
      </c>
      <c r="E340">
        <f t="shared" si="48"/>
        <v>0.57485160435126004</v>
      </c>
      <c r="P340" t="str" cm="1">
        <f t="array" ref="P340">_xlfn.IFS(
  AND(D340&gt;0,E340&gt;0),"Expansion",
  AND(D340&lt;0,E340&gt;0),"Slowdown",
  AND(D340&lt;0,E340&lt;0),"Contraction",
  AND(D340&gt;0,E340&lt;0),"Recovery",
  TRUE,"Undefined"
)</f>
        <v>Slowdown</v>
      </c>
      <c r="Q340" t="str">
        <f t="shared" si="55"/>
        <v>Slowdown</v>
      </c>
      <c r="R340">
        <f t="shared" si="49"/>
        <v>-1</v>
      </c>
      <c r="S340">
        <f t="shared" si="50"/>
        <v>-1</v>
      </c>
      <c r="T340">
        <f t="shared" si="51"/>
        <v>1</v>
      </c>
      <c r="U340">
        <f t="shared" si="52"/>
        <v>1</v>
      </c>
      <c r="V340" t="str" cm="1">
        <f t="array" ref="V340">_xlfn.IFS(
  AND(S340&gt;0,U340&gt;0),"Expansion",
  AND(S340&lt;0,U340&gt;0),"Slowdown",
  AND(S340&lt;0,U340&lt;0),"Contraction",
  AND(S340&gt;0,U340&lt;0),"Recovery",
  TRUE,"Undefined"
)</f>
        <v>Slowdown</v>
      </c>
      <c r="W340">
        <f t="shared" si="53"/>
        <v>0</v>
      </c>
      <c r="X340">
        <f t="shared" si="54"/>
        <v>0</v>
      </c>
      <c r="Y340">
        <v>1</v>
      </c>
    </row>
    <row r="341" spans="1:25" x14ac:dyDescent="0.35">
      <c r="A341" s="1">
        <f>Data!A341</f>
        <v>27485</v>
      </c>
      <c r="B341" s="2">
        <f>IFERROR((Data!B341/Data!B340-1)*100,"")</f>
        <v>0.37878787878788955</v>
      </c>
      <c r="C341" s="2">
        <f>IFERROR((Data!C341/Data!C340-1)*100,"")</f>
        <v>0.233377762468856</v>
      </c>
      <c r="D341">
        <f t="shared" si="47"/>
        <v>-1.0591809010371673</v>
      </c>
      <c r="E341">
        <f t="shared" si="48"/>
        <v>0.44420992746680987</v>
      </c>
      <c r="P341" t="str" cm="1">
        <f t="array" ref="P341">_xlfn.IFS(
  AND(D341&gt;0,E341&gt;0),"Expansion",
  AND(D341&lt;0,E341&gt;0),"Slowdown",
  AND(D341&lt;0,E341&lt;0),"Contraction",
  AND(D341&gt;0,E341&lt;0),"Recovery",
  TRUE,"Undefined"
)</f>
        <v>Slowdown</v>
      </c>
      <c r="Q341" t="str">
        <f t="shared" si="55"/>
        <v>Slowdown</v>
      </c>
      <c r="R341">
        <f t="shared" si="49"/>
        <v>-1</v>
      </c>
      <c r="S341">
        <f t="shared" si="50"/>
        <v>-1</v>
      </c>
      <c r="T341">
        <f t="shared" si="51"/>
        <v>1</v>
      </c>
      <c r="U341">
        <f t="shared" si="52"/>
        <v>1</v>
      </c>
      <c r="V341" t="str" cm="1">
        <f t="array" ref="V341">_xlfn.IFS(
  AND(S341&gt;0,U341&gt;0),"Expansion",
  AND(S341&lt;0,U341&gt;0),"Slowdown",
  AND(S341&lt;0,U341&lt;0),"Contraction",
  AND(S341&gt;0,U341&lt;0),"Recovery",
  TRUE,"Undefined"
)</f>
        <v>Slowdown</v>
      </c>
      <c r="W341">
        <f t="shared" si="53"/>
        <v>0</v>
      </c>
      <c r="X341">
        <f t="shared" si="54"/>
        <v>0</v>
      </c>
      <c r="Y341">
        <v>0</v>
      </c>
    </row>
    <row r="342" spans="1:25" x14ac:dyDescent="0.35">
      <c r="A342" s="1">
        <f>Data!A342</f>
        <v>27515</v>
      </c>
      <c r="B342" s="2">
        <f>IFERROR((Data!B342/Data!B341-1)*100,"")</f>
        <v>0.18867924528302993</v>
      </c>
      <c r="C342" s="2">
        <f>IFERROR((Data!C342/Data!C341-1)*100,"")</f>
        <v>-0.32870735831342923</v>
      </c>
      <c r="D342">
        <f t="shared" si="47"/>
        <v>-0.40421738937664503</v>
      </c>
      <c r="E342">
        <f t="shared" si="48"/>
        <v>0.31589842031768028</v>
      </c>
      <c r="P342" t="str" cm="1">
        <f t="array" ref="P342">_xlfn.IFS(
  AND(D342&gt;0,E342&gt;0),"Expansion",
  AND(D342&lt;0,E342&gt;0),"Slowdown",
  AND(D342&lt;0,E342&lt;0),"Contraction",
  AND(D342&gt;0,E342&lt;0),"Recovery",
  TRUE,"Undefined"
)</f>
        <v>Slowdown</v>
      </c>
      <c r="Q342" t="str">
        <f t="shared" si="55"/>
        <v>Slowdown</v>
      </c>
      <c r="R342">
        <f t="shared" si="49"/>
        <v>-1</v>
      </c>
      <c r="S342">
        <f t="shared" si="50"/>
        <v>-1</v>
      </c>
      <c r="T342">
        <f t="shared" si="51"/>
        <v>1</v>
      </c>
      <c r="U342">
        <f t="shared" si="52"/>
        <v>1</v>
      </c>
      <c r="V342" t="str" cm="1">
        <f t="array" ref="V342">_xlfn.IFS(
  AND(S342&gt;0,U342&gt;0),"Expansion",
  AND(S342&lt;0,U342&gt;0),"Slowdown",
  AND(S342&lt;0,U342&lt;0),"Contraction",
  AND(S342&gt;0,U342&lt;0),"Recovery",
  TRUE,"Undefined"
)</f>
        <v>Slowdown</v>
      </c>
      <c r="W342">
        <f t="shared" si="53"/>
        <v>0</v>
      </c>
      <c r="X342">
        <f t="shared" si="54"/>
        <v>0</v>
      </c>
      <c r="Y342">
        <v>0</v>
      </c>
    </row>
    <row r="343" spans="1:25" x14ac:dyDescent="0.35">
      <c r="A343" s="1">
        <f>Data!A343</f>
        <v>27546</v>
      </c>
      <c r="B343" s="2">
        <f>IFERROR((Data!B343/Data!B342-1)*100,"")</f>
        <v>0.7532956685499137</v>
      </c>
      <c r="C343" s="2">
        <f>IFERROR((Data!C343/Data!C342-1)*100,"")</f>
        <v>0.62935193490116781</v>
      </c>
      <c r="D343">
        <f t="shared" si="47"/>
        <v>0.1780074463521982</v>
      </c>
      <c r="E343">
        <f t="shared" si="48"/>
        <v>0.44025426420694441</v>
      </c>
      <c r="P343" t="str" cm="1">
        <f t="array" ref="P343">_xlfn.IFS(
  AND(D343&gt;0,E343&gt;0),"Expansion",
  AND(D343&lt;0,E343&gt;0),"Slowdown",
  AND(D343&lt;0,E343&lt;0),"Contraction",
  AND(D343&gt;0,E343&lt;0),"Recovery",
  TRUE,"Undefined"
)</f>
        <v>Expansion</v>
      </c>
      <c r="Q343" t="str">
        <f t="shared" si="55"/>
        <v>Slowdown</v>
      </c>
      <c r="R343">
        <f t="shared" si="49"/>
        <v>1</v>
      </c>
      <c r="S343">
        <f t="shared" si="50"/>
        <v>1</v>
      </c>
      <c r="T343">
        <f t="shared" si="51"/>
        <v>1</v>
      </c>
      <c r="U343">
        <f t="shared" si="52"/>
        <v>1</v>
      </c>
      <c r="V343" t="str" cm="1">
        <f t="array" ref="V343">_xlfn.IFS(
  AND(S343&gt;0,U343&gt;0),"Expansion",
  AND(S343&lt;0,U343&gt;0),"Slowdown",
  AND(S343&lt;0,U343&lt;0),"Contraction",
  AND(S343&gt;0,U343&lt;0),"Recovery",
  TRUE,"Undefined"
)</f>
        <v>Expansion</v>
      </c>
      <c r="W343">
        <f t="shared" si="53"/>
        <v>0</v>
      </c>
      <c r="X343">
        <f t="shared" si="54"/>
        <v>0</v>
      </c>
      <c r="Y343">
        <v>0</v>
      </c>
    </row>
    <row r="344" spans="1:25" x14ac:dyDescent="0.35">
      <c r="A344" s="1">
        <f>Data!A344</f>
        <v>27576</v>
      </c>
      <c r="B344" s="2">
        <f>IFERROR((Data!B344/Data!B343-1)*100,"")</f>
        <v>0.93457943925232545</v>
      </c>
      <c r="C344" s="2">
        <f>IFERROR((Data!C344/Data!C343-1)*100,"")</f>
        <v>1.0482357264159248</v>
      </c>
      <c r="D344">
        <f t="shared" si="47"/>
        <v>0.44962676766788778</v>
      </c>
      <c r="E344">
        <f t="shared" si="48"/>
        <v>0.62551811769508969</v>
      </c>
      <c r="P344" t="str" cm="1">
        <f t="array" ref="P344">_xlfn.IFS(
  AND(D344&gt;0,E344&gt;0),"Expansion",
  AND(D344&lt;0,E344&gt;0),"Slowdown",
  AND(D344&lt;0,E344&lt;0),"Contraction",
  AND(D344&gt;0,E344&lt;0),"Recovery",
  TRUE,"Undefined"
)</f>
        <v>Expansion</v>
      </c>
      <c r="Q344" t="str">
        <f t="shared" si="55"/>
        <v>Slowdown</v>
      </c>
      <c r="R344">
        <f t="shared" si="49"/>
        <v>1</v>
      </c>
      <c r="S344">
        <f t="shared" si="50"/>
        <v>1</v>
      </c>
      <c r="T344">
        <f t="shared" si="51"/>
        <v>1</v>
      </c>
      <c r="U344">
        <f t="shared" si="52"/>
        <v>1</v>
      </c>
      <c r="V344" t="str" cm="1">
        <f t="array" ref="V344">_xlfn.IFS(
  AND(S344&gt;0,U344&gt;0),"Expansion",
  AND(S344&lt;0,U344&gt;0),"Slowdown",
  AND(S344&lt;0,U344&lt;0),"Contraction",
  AND(S344&gt;0,U344&lt;0),"Recovery",
  TRUE,"Undefined"
)</f>
        <v>Expansion</v>
      </c>
      <c r="W344">
        <f t="shared" si="53"/>
        <v>0</v>
      </c>
      <c r="X344">
        <f t="shared" si="54"/>
        <v>0</v>
      </c>
      <c r="Y344">
        <v>0</v>
      </c>
    </row>
    <row r="345" spans="1:25" x14ac:dyDescent="0.35">
      <c r="A345" s="1">
        <f>Data!A345</f>
        <v>27607</v>
      </c>
      <c r="B345" s="2">
        <f>IFERROR((Data!B345/Data!B344-1)*100,"")</f>
        <v>0.37037037037037646</v>
      </c>
      <c r="C345" s="2">
        <f>IFERROR((Data!C345/Data!C344-1)*100,"")</f>
        <v>0.98379828695265292</v>
      </c>
      <c r="D345">
        <f t="shared" si="47"/>
        <v>0.88712864942324854</v>
      </c>
      <c r="E345">
        <f t="shared" si="48"/>
        <v>0.68608182605753854</v>
      </c>
      <c r="P345" t="str" cm="1">
        <f t="array" ref="P345">_xlfn.IFS(
  AND(D345&gt;0,E345&gt;0),"Expansion",
  AND(D345&lt;0,E345&gt;0),"Slowdown",
  AND(D345&lt;0,E345&lt;0),"Contraction",
  AND(D345&gt;0,E345&lt;0),"Recovery",
  TRUE,"Undefined"
)</f>
        <v>Expansion</v>
      </c>
      <c r="Q345" t="str">
        <f t="shared" si="55"/>
        <v>Expansion</v>
      </c>
      <c r="R345">
        <f t="shared" si="49"/>
        <v>1</v>
      </c>
      <c r="S345">
        <f t="shared" si="50"/>
        <v>1</v>
      </c>
      <c r="T345">
        <f t="shared" si="51"/>
        <v>1</v>
      </c>
      <c r="U345">
        <f t="shared" si="52"/>
        <v>1</v>
      </c>
      <c r="V345" t="str" cm="1">
        <f t="array" ref="V345">_xlfn.IFS(
  AND(S345&gt;0,U345&gt;0),"Expansion",
  AND(S345&lt;0,U345&gt;0),"Slowdown",
  AND(S345&lt;0,U345&lt;0),"Contraction",
  AND(S345&gt;0,U345&lt;0),"Recovery",
  TRUE,"Undefined"
)</f>
        <v>Expansion</v>
      </c>
      <c r="W345">
        <f t="shared" si="53"/>
        <v>0</v>
      </c>
      <c r="X345">
        <f t="shared" si="54"/>
        <v>0</v>
      </c>
      <c r="Y345">
        <v>0</v>
      </c>
    </row>
    <row r="346" spans="1:25" x14ac:dyDescent="0.35">
      <c r="A346" s="1">
        <f>Data!A346</f>
        <v>27638</v>
      </c>
      <c r="B346" s="2">
        <f>IFERROR((Data!B346/Data!B345-1)*100,"")</f>
        <v>0.73800738007379074</v>
      </c>
      <c r="C346" s="2">
        <f>IFERROR((Data!C346/Data!C345-1)*100,"")</f>
        <v>1.2910038491671383</v>
      </c>
      <c r="D346">
        <f t="shared" si="47"/>
        <v>1.1076792875119053</v>
      </c>
      <c r="E346">
        <f t="shared" si="48"/>
        <v>0.68098572989883088</v>
      </c>
      <c r="P346" t="str" cm="1">
        <f t="array" ref="P346">_xlfn.IFS(
  AND(D346&gt;0,E346&gt;0),"Expansion",
  AND(D346&lt;0,E346&gt;0),"Slowdown",
  AND(D346&lt;0,E346&lt;0),"Contraction",
  AND(D346&gt;0,E346&lt;0),"Recovery",
  TRUE,"Undefined"
)</f>
        <v>Expansion</v>
      </c>
      <c r="Q346" t="str">
        <f t="shared" si="55"/>
        <v>Expansion</v>
      </c>
      <c r="R346">
        <f t="shared" si="49"/>
        <v>1</v>
      </c>
      <c r="S346">
        <f t="shared" si="50"/>
        <v>1</v>
      </c>
      <c r="T346">
        <f t="shared" si="51"/>
        <v>1</v>
      </c>
      <c r="U346">
        <f t="shared" si="52"/>
        <v>1</v>
      </c>
      <c r="V346" t="str" cm="1">
        <f t="array" ref="V346">_xlfn.IFS(
  AND(S346&gt;0,U346&gt;0),"Expansion",
  AND(S346&lt;0,U346&gt;0),"Slowdown",
  AND(S346&lt;0,U346&lt;0),"Contraction",
  AND(S346&gt;0,U346&lt;0),"Recovery",
  TRUE,"Undefined"
)</f>
        <v>Expansion</v>
      </c>
      <c r="W346">
        <f t="shared" si="53"/>
        <v>0</v>
      </c>
      <c r="X346">
        <f t="shared" si="54"/>
        <v>0</v>
      </c>
      <c r="Y346">
        <v>0</v>
      </c>
    </row>
    <row r="347" spans="1:25" x14ac:dyDescent="0.35">
      <c r="A347" s="1">
        <f>Data!A347</f>
        <v>27668</v>
      </c>
      <c r="B347" s="2">
        <f>IFERROR((Data!B347/Data!B346-1)*100,"")</f>
        <v>0.5494505494505475</v>
      </c>
      <c r="C347" s="2">
        <f>IFERROR((Data!C347/Data!C346-1)*100,"")</f>
        <v>0.43982282178407495</v>
      </c>
      <c r="D347">
        <f t="shared" si="47"/>
        <v>0.90487498596795535</v>
      </c>
      <c r="E347">
        <f t="shared" si="48"/>
        <v>0.5526094332982382</v>
      </c>
      <c r="P347" t="str" cm="1">
        <f t="array" ref="P347">_xlfn.IFS(
  AND(D347&gt;0,E347&gt;0),"Expansion",
  AND(D347&lt;0,E347&gt;0),"Slowdown",
  AND(D347&lt;0,E347&lt;0),"Contraction",
  AND(D347&gt;0,E347&lt;0),"Recovery",
  TRUE,"Undefined"
)</f>
        <v>Expansion</v>
      </c>
      <c r="Q347" t="str">
        <f t="shared" si="55"/>
        <v>Expansion</v>
      </c>
      <c r="R347">
        <f t="shared" si="49"/>
        <v>1</v>
      </c>
      <c r="S347">
        <f t="shared" si="50"/>
        <v>1</v>
      </c>
      <c r="T347">
        <f t="shared" si="51"/>
        <v>1</v>
      </c>
      <c r="U347">
        <f t="shared" si="52"/>
        <v>1</v>
      </c>
      <c r="V347" t="str" cm="1">
        <f t="array" ref="V347">_xlfn.IFS(
  AND(S347&gt;0,U347&gt;0),"Expansion",
  AND(S347&lt;0,U347&gt;0),"Slowdown",
  AND(S347&lt;0,U347&lt;0),"Contraction",
  AND(S347&gt;0,U347&lt;0),"Recovery",
  TRUE,"Undefined"
)</f>
        <v>Expansion</v>
      </c>
      <c r="W347">
        <f t="shared" si="53"/>
        <v>0</v>
      </c>
      <c r="X347">
        <f t="shared" si="54"/>
        <v>0</v>
      </c>
      <c r="Y347">
        <v>0</v>
      </c>
    </row>
    <row r="348" spans="1:25" x14ac:dyDescent="0.35">
      <c r="A348" s="1">
        <f>Data!A348</f>
        <v>27699</v>
      </c>
      <c r="B348" s="2">
        <f>IFERROR((Data!B348/Data!B347-1)*100,"")</f>
        <v>0.72859744990891873</v>
      </c>
      <c r="C348" s="2">
        <f>IFERROR((Data!C348/Data!C347-1)*100,"")</f>
        <v>0.13440635201551476</v>
      </c>
      <c r="D348">
        <f t="shared" si="47"/>
        <v>0.62174434098890929</v>
      </c>
      <c r="E348">
        <f t="shared" si="48"/>
        <v>0.67201845981108566</v>
      </c>
      <c r="P348" t="str" cm="1">
        <f t="array" ref="P348">_xlfn.IFS(
  AND(D348&gt;0,E348&gt;0),"Expansion",
  AND(D348&lt;0,E348&gt;0),"Slowdown",
  AND(D348&lt;0,E348&lt;0),"Contraction",
  AND(D348&gt;0,E348&lt;0),"Recovery",
  TRUE,"Undefined"
)</f>
        <v>Expansion</v>
      </c>
      <c r="Q348" t="str">
        <f t="shared" si="55"/>
        <v>Expansion</v>
      </c>
      <c r="R348">
        <f t="shared" si="49"/>
        <v>1</v>
      </c>
      <c r="S348">
        <f t="shared" si="50"/>
        <v>1</v>
      </c>
      <c r="T348">
        <f t="shared" si="51"/>
        <v>1</v>
      </c>
      <c r="U348">
        <f t="shared" si="52"/>
        <v>1</v>
      </c>
      <c r="V348" t="str" cm="1">
        <f t="array" ref="V348">_xlfn.IFS(
  AND(S348&gt;0,U348&gt;0),"Expansion",
  AND(S348&lt;0,U348&gt;0),"Slowdown",
  AND(S348&lt;0,U348&lt;0),"Contraction",
  AND(S348&gt;0,U348&lt;0),"Recovery",
  TRUE,"Undefined"
)</f>
        <v>Expansion</v>
      </c>
      <c r="W348">
        <f t="shared" si="53"/>
        <v>0</v>
      </c>
      <c r="X348">
        <f t="shared" si="54"/>
        <v>0</v>
      </c>
      <c r="Y348">
        <v>0</v>
      </c>
    </row>
    <row r="349" spans="1:25" x14ac:dyDescent="0.35">
      <c r="A349" s="1">
        <f>Data!A349</f>
        <v>27729</v>
      </c>
      <c r="B349" s="2">
        <f>IFERROR((Data!B349/Data!B348-1)*100,"")</f>
        <v>0.54249547920435237</v>
      </c>
      <c r="C349" s="2">
        <f>IFERROR((Data!C349/Data!C348-1)*100,"")</f>
        <v>1.3654265495095519</v>
      </c>
      <c r="D349">
        <f t="shared" si="47"/>
        <v>0.64655190776971383</v>
      </c>
      <c r="E349">
        <f t="shared" si="48"/>
        <v>0.60684782618793953</v>
      </c>
      <c r="P349" t="str" cm="1">
        <f t="array" ref="P349">_xlfn.IFS(
  AND(D349&gt;0,E349&gt;0),"Expansion",
  AND(D349&lt;0,E349&gt;0),"Slowdown",
  AND(D349&lt;0,E349&lt;0),"Contraction",
  AND(D349&gt;0,E349&lt;0),"Recovery",
  TRUE,"Undefined"
)</f>
        <v>Expansion</v>
      </c>
      <c r="Q349" t="str">
        <f t="shared" si="55"/>
        <v>Expansion</v>
      </c>
      <c r="R349">
        <f t="shared" si="49"/>
        <v>1</v>
      </c>
      <c r="S349">
        <f t="shared" si="50"/>
        <v>1</v>
      </c>
      <c r="T349">
        <f t="shared" si="51"/>
        <v>1</v>
      </c>
      <c r="U349">
        <f t="shared" si="52"/>
        <v>1</v>
      </c>
      <c r="V349" t="str" cm="1">
        <f t="array" ref="V349">_xlfn.IFS(
  AND(S349&gt;0,U349&gt;0),"Expansion",
  AND(S349&lt;0,U349&gt;0),"Slowdown",
  AND(S349&lt;0,U349&lt;0),"Contraction",
  AND(S349&gt;0,U349&lt;0),"Recovery",
  TRUE,"Undefined"
)</f>
        <v>Expansion</v>
      </c>
      <c r="W349">
        <f t="shared" si="53"/>
        <v>0</v>
      </c>
      <c r="X349">
        <f t="shared" si="54"/>
        <v>0</v>
      </c>
      <c r="Y349">
        <v>0</v>
      </c>
    </row>
    <row r="350" spans="1:25" x14ac:dyDescent="0.35">
      <c r="A350" s="1">
        <f>Data!A350</f>
        <v>27760</v>
      </c>
      <c r="B350" s="2">
        <f>IFERROR((Data!B350/Data!B349-1)*100,"")</f>
        <v>0.3597122302158251</v>
      </c>
      <c r="C350" s="2">
        <f>IFERROR((Data!C350/Data!C349-1)*100,"")</f>
        <v>1.3189951321115556</v>
      </c>
      <c r="D350">
        <f t="shared" si="47"/>
        <v>0.93960934454554079</v>
      </c>
      <c r="E350">
        <f t="shared" si="48"/>
        <v>0.5436017197763654</v>
      </c>
      <c r="P350" t="str" cm="1">
        <f t="array" ref="P350">_xlfn.IFS(
  AND(D350&gt;0,E350&gt;0),"Expansion",
  AND(D350&lt;0,E350&gt;0),"Slowdown",
  AND(D350&lt;0,E350&lt;0),"Contraction",
  AND(D350&gt;0,E350&lt;0),"Recovery",
  TRUE,"Undefined"
)</f>
        <v>Expansion</v>
      </c>
      <c r="Q350" t="str">
        <f t="shared" si="55"/>
        <v>Expansion</v>
      </c>
      <c r="R350">
        <f t="shared" si="49"/>
        <v>1</v>
      </c>
      <c r="S350">
        <f t="shared" si="50"/>
        <v>1</v>
      </c>
      <c r="T350">
        <f t="shared" si="51"/>
        <v>1</v>
      </c>
      <c r="U350">
        <f t="shared" si="52"/>
        <v>1</v>
      </c>
      <c r="V350" t="str" cm="1">
        <f t="array" ref="V350">_xlfn.IFS(
  AND(S350&gt;0,U350&gt;0),"Expansion",
  AND(S350&lt;0,U350&gt;0),"Slowdown",
  AND(S350&lt;0,U350&lt;0),"Contraction",
  AND(S350&gt;0,U350&lt;0),"Recovery",
  TRUE,"Undefined"
)</f>
        <v>Expansion</v>
      </c>
      <c r="W350">
        <f t="shared" si="53"/>
        <v>0</v>
      </c>
      <c r="X350">
        <f t="shared" si="54"/>
        <v>0</v>
      </c>
      <c r="Y350">
        <v>0</v>
      </c>
    </row>
    <row r="351" spans="1:25" x14ac:dyDescent="0.35">
      <c r="A351" s="1">
        <f>Data!A351</f>
        <v>27791</v>
      </c>
      <c r="B351" s="2">
        <f>IFERROR((Data!B351/Data!B350-1)*100,"")</f>
        <v>0.17921146953405742</v>
      </c>
      <c r="C351" s="2">
        <f>IFERROR((Data!C351/Data!C350-1)*100,"")</f>
        <v>0.98067030687516432</v>
      </c>
      <c r="D351">
        <f t="shared" si="47"/>
        <v>1.2216973294987572</v>
      </c>
      <c r="E351">
        <f t="shared" si="48"/>
        <v>0.36047305965141163</v>
      </c>
      <c r="P351" t="str" cm="1">
        <f t="array" ref="P351">_xlfn.IFS(
  AND(D351&gt;0,E351&gt;0),"Expansion",
  AND(D351&lt;0,E351&gt;0),"Slowdown",
  AND(D351&lt;0,E351&lt;0),"Contraction",
  AND(D351&gt;0,E351&lt;0),"Recovery",
  TRUE,"Undefined"
)</f>
        <v>Expansion</v>
      </c>
      <c r="Q351" t="str">
        <f t="shared" si="55"/>
        <v>Expansion</v>
      </c>
      <c r="R351">
        <f t="shared" si="49"/>
        <v>1</v>
      </c>
      <c r="S351">
        <f t="shared" si="50"/>
        <v>1</v>
      </c>
      <c r="T351">
        <f t="shared" si="51"/>
        <v>1</v>
      </c>
      <c r="U351">
        <f t="shared" si="52"/>
        <v>1</v>
      </c>
      <c r="V351" t="str" cm="1">
        <f t="array" ref="V351">_xlfn.IFS(
  AND(S351&gt;0,U351&gt;0),"Expansion",
  AND(S351&lt;0,U351&gt;0),"Slowdown",
  AND(S351&lt;0,U351&lt;0),"Contraction",
  AND(S351&gt;0,U351&lt;0),"Recovery",
  TRUE,"Undefined"
)</f>
        <v>Expansion</v>
      </c>
      <c r="W351">
        <f t="shared" si="53"/>
        <v>0</v>
      </c>
      <c r="X351">
        <f t="shared" si="54"/>
        <v>0</v>
      </c>
      <c r="Y351">
        <v>0</v>
      </c>
    </row>
    <row r="352" spans="1:25" x14ac:dyDescent="0.35">
      <c r="A352" s="1">
        <f>Data!A352</f>
        <v>27820</v>
      </c>
      <c r="B352" s="2">
        <f>IFERROR((Data!B352/Data!B351-1)*100,"")</f>
        <v>0.17889087656530744</v>
      </c>
      <c r="C352" s="2">
        <f>IFERROR((Data!C352/Data!C351-1)*100,"")</f>
        <v>0.21624534519806282</v>
      </c>
      <c r="D352">
        <f t="shared" si="47"/>
        <v>0.83863692806159429</v>
      </c>
      <c r="E352">
        <f t="shared" si="48"/>
        <v>0.23927152543839666</v>
      </c>
      <c r="P352" t="str" cm="1">
        <f t="array" ref="P352">_xlfn.IFS(
  AND(D352&gt;0,E352&gt;0),"Expansion",
  AND(D352&lt;0,E352&gt;0),"Slowdown",
  AND(D352&lt;0,E352&lt;0),"Contraction",
  AND(D352&gt;0,E352&lt;0),"Recovery",
  TRUE,"Undefined"
)</f>
        <v>Expansion</v>
      </c>
      <c r="Q352" t="str">
        <f t="shared" si="55"/>
        <v>Expansion</v>
      </c>
      <c r="R352">
        <f t="shared" si="49"/>
        <v>1</v>
      </c>
      <c r="S352">
        <f t="shared" si="50"/>
        <v>1</v>
      </c>
      <c r="T352">
        <f t="shared" si="51"/>
        <v>1</v>
      </c>
      <c r="U352">
        <f t="shared" si="52"/>
        <v>1</v>
      </c>
      <c r="V352" t="str" cm="1">
        <f t="array" ref="V352">_xlfn.IFS(
  AND(S352&gt;0,U352&gt;0),"Expansion",
  AND(S352&lt;0,U352&gt;0),"Slowdown",
  AND(S352&lt;0,U352&lt;0),"Contraction",
  AND(S352&gt;0,U352&lt;0),"Recovery",
  TRUE,"Undefined"
)</f>
        <v>Expansion</v>
      </c>
      <c r="W352">
        <f t="shared" si="53"/>
        <v>0</v>
      </c>
      <c r="X352">
        <f t="shared" si="54"/>
        <v>0</v>
      </c>
      <c r="Y352">
        <v>0</v>
      </c>
    </row>
    <row r="353" spans="1:25" x14ac:dyDescent="0.35">
      <c r="A353" s="1">
        <f>Data!A353</f>
        <v>27851</v>
      </c>
      <c r="B353" s="2">
        <f>IFERROR((Data!B353/Data!B352-1)*100,"")</f>
        <v>0.17857142857142794</v>
      </c>
      <c r="C353" s="2">
        <f>IFERROR((Data!C353/Data!C352-1)*100,"")</f>
        <v>0.4961302301639714</v>
      </c>
      <c r="D353">
        <f t="shared" si="47"/>
        <v>0.56434862741239955</v>
      </c>
      <c r="E353">
        <f t="shared" si="48"/>
        <v>0.17889125822359761</v>
      </c>
      <c r="P353" t="str" cm="1">
        <f t="array" ref="P353">_xlfn.IFS(
  AND(D353&gt;0,E353&gt;0),"Expansion",
  AND(D353&lt;0,E353&gt;0),"Slowdown",
  AND(D353&lt;0,E353&lt;0),"Contraction",
  AND(D353&gt;0,E353&lt;0),"Recovery",
  TRUE,"Undefined"
)</f>
        <v>Expansion</v>
      </c>
      <c r="Q353" t="str">
        <f t="shared" si="55"/>
        <v>Expansion</v>
      </c>
      <c r="R353">
        <f t="shared" si="49"/>
        <v>1</v>
      </c>
      <c r="S353">
        <f t="shared" si="50"/>
        <v>1</v>
      </c>
      <c r="T353">
        <f t="shared" si="51"/>
        <v>1</v>
      </c>
      <c r="U353">
        <f t="shared" si="52"/>
        <v>1</v>
      </c>
      <c r="V353" t="str" cm="1">
        <f t="array" ref="V353">_xlfn.IFS(
  AND(S353&gt;0,U353&gt;0),"Expansion",
  AND(S353&lt;0,U353&gt;0),"Slowdown",
  AND(S353&lt;0,U353&lt;0),"Contraction",
  AND(S353&gt;0,U353&lt;0),"Recovery",
  TRUE,"Undefined"
)</f>
        <v>Expansion</v>
      </c>
      <c r="W353">
        <f t="shared" si="53"/>
        <v>0</v>
      </c>
      <c r="X353">
        <f t="shared" si="54"/>
        <v>0</v>
      </c>
      <c r="Y353">
        <v>0</v>
      </c>
    </row>
    <row r="354" spans="1:25" x14ac:dyDescent="0.35">
      <c r="A354" s="1">
        <f>Data!A354</f>
        <v>27881</v>
      </c>
      <c r="B354" s="2">
        <f>IFERROR((Data!B354/Data!B353-1)*100,"")</f>
        <v>0.53475935828877219</v>
      </c>
      <c r="C354" s="2">
        <f>IFERROR((Data!C354/Data!C353-1)*100,"")</f>
        <v>0.4250823754307298</v>
      </c>
      <c r="D354">
        <f t="shared" si="47"/>
        <v>0.37915265026425465</v>
      </c>
      <c r="E354">
        <f t="shared" si="48"/>
        <v>0.29740722114183588</v>
      </c>
      <c r="P354" t="str" cm="1">
        <f t="array" ref="P354">_xlfn.IFS(
  AND(D354&gt;0,E354&gt;0),"Expansion",
  AND(D354&lt;0,E354&gt;0),"Slowdown",
  AND(D354&lt;0,E354&lt;0),"Contraction",
  AND(D354&gt;0,E354&lt;0),"Recovery",
  TRUE,"Undefined"
)</f>
        <v>Expansion</v>
      </c>
      <c r="Q354" t="str">
        <f t="shared" si="55"/>
        <v>Expansion</v>
      </c>
      <c r="R354">
        <f t="shared" si="49"/>
        <v>1</v>
      </c>
      <c r="S354">
        <f t="shared" si="50"/>
        <v>1</v>
      </c>
      <c r="T354">
        <f t="shared" si="51"/>
        <v>1</v>
      </c>
      <c r="U354">
        <f t="shared" si="52"/>
        <v>1</v>
      </c>
      <c r="V354" t="str" cm="1">
        <f t="array" ref="V354">_xlfn.IFS(
  AND(S354&gt;0,U354&gt;0),"Expansion",
  AND(S354&lt;0,U354&gt;0),"Slowdown",
  AND(S354&lt;0,U354&lt;0),"Contraction",
  AND(S354&gt;0,U354&lt;0),"Recovery",
  TRUE,"Undefined"
)</f>
        <v>Expansion</v>
      </c>
      <c r="W354">
        <f t="shared" si="53"/>
        <v>0</v>
      </c>
      <c r="X354">
        <f t="shared" si="54"/>
        <v>0</v>
      </c>
      <c r="Y354">
        <v>0</v>
      </c>
    </row>
    <row r="355" spans="1:25" x14ac:dyDescent="0.35">
      <c r="A355" s="1">
        <f>Data!A355</f>
        <v>27912</v>
      </c>
      <c r="B355" s="2">
        <f>IFERROR((Data!B355/Data!B354-1)*100,"")</f>
        <v>0.53191489361703592</v>
      </c>
      <c r="C355" s="2">
        <f>IFERROR((Data!C355/Data!C354-1)*100,"")</f>
        <v>0.10268997645646039</v>
      </c>
      <c r="D355">
        <f t="shared" si="47"/>
        <v>0.34130086068372051</v>
      </c>
      <c r="E355">
        <f t="shared" si="48"/>
        <v>0.41508189349241204</v>
      </c>
      <c r="P355" t="str" cm="1">
        <f t="array" ref="P355">_xlfn.IFS(
  AND(D355&gt;0,E355&gt;0),"Expansion",
  AND(D355&lt;0,E355&gt;0),"Slowdown",
  AND(D355&lt;0,E355&lt;0),"Contraction",
  AND(D355&gt;0,E355&lt;0),"Recovery",
  TRUE,"Undefined"
)</f>
        <v>Expansion</v>
      </c>
      <c r="Q355" t="str">
        <f t="shared" si="55"/>
        <v>Expansion</v>
      </c>
      <c r="R355">
        <f t="shared" si="49"/>
        <v>1</v>
      </c>
      <c r="S355">
        <f t="shared" si="50"/>
        <v>1</v>
      </c>
      <c r="T355">
        <f t="shared" si="51"/>
        <v>1</v>
      </c>
      <c r="U355">
        <f t="shared" si="52"/>
        <v>1</v>
      </c>
      <c r="V355" t="str" cm="1">
        <f t="array" ref="V355">_xlfn.IFS(
  AND(S355&gt;0,U355&gt;0),"Expansion",
  AND(S355&lt;0,U355&gt;0),"Slowdown",
  AND(S355&lt;0,U355&lt;0),"Contraction",
  AND(S355&gt;0,U355&lt;0),"Recovery",
  TRUE,"Undefined"
)</f>
        <v>Expansion</v>
      </c>
      <c r="W355">
        <f t="shared" si="53"/>
        <v>0</v>
      </c>
      <c r="X355">
        <f t="shared" si="54"/>
        <v>0</v>
      </c>
      <c r="Y355">
        <v>0</v>
      </c>
    </row>
    <row r="356" spans="1:25" x14ac:dyDescent="0.35">
      <c r="A356" s="1">
        <f>Data!A356</f>
        <v>27942</v>
      </c>
      <c r="B356" s="2">
        <f>IFERROR((Data!B356/Data!B355-1)*100,"")</f>
        <v>0.52910052910053462</v>
      </c>
      <c r="C356" s="2">
        <f>IFERROR((Data!C356/Data!C355-1)*100,"")</f>
        <v>0.56956079674821414</v>
      </c>
      <c r="D356">
        <f t="shared" si="47"/>
        <v>0.36577771621180144</v>
      </c>
      <c r="E356">
        <f t="shared" si="48"/>
        <v>0.53192492700211425</v>
      </c>
      <c r="P356" t="str" cm="1">
        <f t="array" ref="P356">_xlfn.IFS(
  AND(D356&gt;0,E356&gt;0),"Expansion",
  AND(D356&lt;0,E356&gt;0),"Slowdown",
  AND(D356&lt;0,E356&lt;0),"Contraction",
  AND(D356&gt;0,E356&lt;0),"Recovery",
  TRUE,"Undefined"
)</f>
        <v>Expansion</v>
      </c>
      <c r="Q356" t="str">
        <f t="shared" si="55"/>
        <v>Expansion</v>
      </c>
      <c r="R356">
        <f t="shared" si="49"/>
        <v>1</v>
      </c>
      <c r="S356">
        <f t="shared" si="50"/>
        <v>1</v>
      </c>
      <c r="T356">
        <f t="shared" si="51"/>
        <v>1</v>
      </c>
      <c r="U356">
        <f t="shared" si="52"/>
        <v>1</v>
      </c>
      <c r="V356" t="str" cm="1">
        <f t="array" ref="V356">_xlfn.IFS(
  AND(S356&gt;0,U356&gt;0),"Expansion",
  AND(S356&lt;0,U356&gt;0),"Slowdown",
  AND(S356&lt;0,U356&lt;0),"Contraction",
  AND(S356&gt;0,U356&lt;0),"Recovery",
  TRUE,"Undefined"
)</f>
        <v>Expansion</v>
      </c>
      <c r="W356">
        <f t="shared" si="53"/>
        <v>0</v>
      </c>
      <c r="X356">
        <f t="shared" si="54"/>
        <v>0</v>
      </c>
      <c r="Y356">
        <v>0</v>
      </c>
    </row>
    <row r="357" spans="1:25" x14ac:dyDescent="0.35">
      <c r="A357" s="1">
        <f>Data!A357</f>
        <v>27973</v>
      </c>
      <c r="B357" s="2">
        <f>IFERROR((Data!B357/Data!B356-1)*100,"")</f>
        <v>0.52631578947368585</v>
      </c>
      <c r="C357" s="2">
        <f>IFERROR((Data!C357/Data!C356-1)*100,"")</f>
        <v>0.68778964176585689</v>
      </c>
      <c r="D357">
        <f t="shared" si="47"/>
        <v>0.45334680499017715</v>
      </c>
      <c r="E357">
        <f t="shared" si="48"/>
        <v>0.52911040406375209</v>
      </c>
      <c r="P357" t="str" cm="1">
        <f t="array" ref="P357">_xlfn.IFS(
  AND(D357&gt;0,E357&gt;0),"Expansion",
  AND(D357&lt;0,E357&gt;0),"Slowdown",
  AND(D357&lt;0,E357&lt;0),"Contraction",
  AND(D357&gt;0,E357&lt;0),"Recovery",
  TRUE,"Undefined"
)</f>
        <v>Expansion</v>
      </c>
      <c r="Q357" t="str">
        <f t="shared" si="55"/>
        <v>Expansion</v>
      </c>
      <c r="R357">
        <f t="shared" si="49"/>
        <v>1</v>
      </c>
      <c r="S357">
        <f t="shared" si="50"/>
        <v>1</v>
      </c>
      <c r="T357">
        <f t="shared" si="51"/>
        <v>1</v>
      </c>
      <c r="U357">
        <f t="shared" si="52"/>
        <v>1</v>
      </c>
      <c r="V357" t="str" cm="1">
        <f t="array" ref="V357">_xlfn.IFS(
  AND(S357&gt;0,U357&gt;0),"Expansion",
  AND(S357&lt;0,U357&gt;0),"Slowdown",
  AND(S357&lt;0,U357&lt;0),"Contraction",
  AND(S357&gt;0,U357&lt;0),"Recovery",
  TRUE,"Undefined"
)</f>
        <v>Expansion</v>
      </c>
      <c r="W357">
        <f t="shared" si="53"/>
        <v>0</v>
      </c>
      <c r="X357">
        <f t="shared" si="54"/>
        <v>0</v>
      </c>
      <c r="Y357">
        <v>0</v>
      </c>
    </row>
    <row r="358" spans="1:25" x14ac:dyDescent="0.35">
      <c r="A358" s="1">
        <f>Data!A358</f>
        <v>28004</v>
      </c>
      <c r="B358" s="2">
        <f>IFERROR((Data!B358/Data!B357-1)*100,"")</f>
        <v>0.52356020942410098</v>
      </c>
      <c r="C358" s="2">
        <f>IFERROR((Data!C358/Data!C357-1)*100,"")</f>
        <v>0.34570130867825899</v>
      </c>
      <c r="D358">
        <f t="shared" si="47"/>
        <v>0.53435058239744337</v>
      </c>
      <c r="E358">
        <f t="shared" si="48"/>
        <v>0.52632550933277378</v>
      </c>
      <c r="P358" t="str" cm="1">
        <f t="array" ref="P358">_xlfn.IFS(
  AND(D358&gt;0,E358&gt;0),"Expansion",
  AND(D358&lt;0,E358&gt;0),"Slowdown",
  AND(D358&lt;0,E358&lt;0),"Contraction",
  AND(D358&gt;0,E358&lt;0),"Recovery",
  TRUE,"Undefined"
)</f>
        <v>Expansion</v>
      </c>
      <c r="Q358" t="str">
        <f t="shared" si="55"/>
        <v>Expansion</v>
      </c>
      <c r="R358">
        <f t="shared" si="49"/>
        <v>1</v>
      </c>
      <c r="S358">
        <f t="shared" si="50"/>
        <v>1</v>
      </c>
      <c r="T358">
        <f t="shared" si="51"/>
        <v>1</v>
      </c>
      <c r="U358">
        <f t="shared" si="52"/>
        <v>1</v>
      </c>
      <c r="V358" t="str" cm="1">
        <f t="array" ref="V358">_xlfn.IFS(
  AND(S358&gt;0,U358&gt;0),"Expansion",
  AND(S358&lt;0,U358&gt;0),"Slowdown",
  AND(S358&lt;0,U358&lt;0),"Contraction",
  AND(S358&gt;0,U358&lt;0),"Recovery",
  TRUE,"Undefined"
)</f>
        <v>Expansion</v>
      </c>
      <c r="W358">
        <f t="shared" si="53"/>
        <v>0</v>
      </c>
      <c r="X358">
        <f t="shared" si="54"/>
        <v>0</v>
      </c>
      <c r="Y358">
        <v>0</v>
      </c>
    </row>
    <row r="359" spans="1:25" x14ac:dyDescent="0.35">
      <c r="A359" s="1">
        <f>Data!A359</f>
        <v>28034</v>
      </c>
      <c r="B359" s="2">
        <f>IFERROR((Data!B359/Data!B358-1)*100,"")</f>
        <v>0.52083333333332593</v>
      </c>
      <c r="C359" s="2">
        <f>IFERROR((Data!C359/Data!C358-1)*100,"")</f>
        <v>-3.0444057924305934E-2</v>
      </c>
      <c r="D359">
        <f t="shared" si="47"/>
        <v>0.33434896417326998</v>
      </c>
      <c r="E359">
        <f t="shared" si="48"/>
        <v>0.52356977741037092</v>
      </c>
      <c r="P359" t="str" cm="1">
        <f t="array" ref="P359">_xlfn.IFS(
  AND(D359&gt;0,E359&gt;0),"Expansion",
  AND(D359&lt;0,E359&gt;0),"Slowdown",
  AND(D359&lt;0,E359&lt;0),"Contraction",
  AND(D359&gt;0,E359&lt;0),"Recovery",
  TRUE,"Undefined"
)</f>
        <v>Expansion</v>
      </c>
      <c r="Q359" t="str">
        <f t="shared" si="55"/>
        <v>Expansion</v>
      </c>
      <c r="R359">
        <f t="shared" si="49"/>
        <v>1</v>
      </c>
      <c r="S359">
        <f t="shared" si="50"/>
        <v>1</v>
      </c>
      <c r="T359">
        <f t="shared" si="51"/>
        <v>1</v>
      </c>
      <c r="U359">
        <f t="shared" si="52"/>
        <v>1</v>
      </c>
      <c r="V359" t="str" cm="1">
        <f t="array" ref="V359">_xlfn.IFS(
  AND(S359&gt;0,U359&gt;0),"Expansion",
  AND(S359&lt;0,U359&gt;0),"Slowdown",
  AND(S359&lt;0,U359&lt;0),"Contraction",
  AND(S359&gt;0,U359&lt;0),"Recovery",
  TRUE,"Undefined"
)</f>
        <v>Expansion</v>
      </c>
      <c r="W359">
        <f t="shared" si="53"/>
        <v>0</v>
      </c>
      <c r="X359">
        <f t="shared" si="54"/>
        <v>0</v>
      </c>
      <c r="Y359">
        <v>0</v>
      </c>
    </row>
    <row r="360" spans="1:25" x14ac:dyDescent="0.35">
      <c r="A360" s="1">
        <f>Data!A360</f>
        <v>28065</v>
      </c>
      <c r="B360" s="2">
        <f>IFERROR((Data!B360/Data!B359-1)*100,"")</f>
        <v>0.34542314335059832</v>
      </c>
      <c r="C360" s="2">
        <f>IFERROR((Data!C360/Data!C359-1)*100,"")</f>
        <v>1.5242339084384771</v>
      </c>
      <c r="D360">
        <f t="shared" si="47"/>
        <v>0.61316371973081008</v>
      </c>
      <c r="E360">
        <f t="shared" si="48"/>
        <v>0.46327222870267509</v>
      </c>
      <c r="P360" t="str" cm="1">
        <f t="array" ref="P360">_xlfn.IFS(
  AND(D360&gt;0,E360&gt;0),"Expansion",
  AND(D360&lt;0,E360&gt;0),"Slowdown",
  AND(D360&lt;0,E360&lt;0),"Contraction",
  AND(D360&gt;0,E360&lt;0),"Recovery",
  TRUE,"Undefined"
)</f>
        <v>Expansion</v>
      </c>
      <c r="Q360" t="str">
        <f t="shared" si="55"/>
        <v>Expansion</v>
      </c>
      <c r="R360">
        <f t="shared" si="49"/>
        <v>1</v>
      </c>
      <c r="S360">
        <f t="shared" si="50"/>
        <v>1</v>
      </c>
      <c r="T360">
        <f t="shared" si="51"/>
        <v>1</v>
      </c>
      <c r="U360">
        <f t="shared" si="52"/>
        <v>1</v>
      </c>
      <c r="V360" t="str" cm="1">
        <f t="array" ref="V360">_xlfn.IFS(
  AND(S360&gt;0,U360&gt;0),"Expansion",
  AND(S360&lt;0,U360&gt;0),"Slowdown",
  AND(S360&lt;0,U360&lt;0),"Contraction",
  AND(S360&gt;0,U360&lt;0),"Recovery",
  TRUE,"Undefined"
)</f>
        <v>Expansion</v>
      </c>
      <c r="W360">
        <f t="shared" si="53"/>
        <v>0</v>
      </c>
      <c r="X360">
        <f t="shared" si="54"/>
        <v>0</v>
      </c>
      <c r="Y360">
        <v>0</v>
      </c>
    </row>
    <row r="361" spans="1:25" x14ac:dyDescent="0.35">
      <c r="A361" s="1">
        <f>Data!A361</f>
        <v>28095</v>
      </c>
      <c r="B361" s="2">
        <f>IFERROR((Data!B361/Data!B360-1)*100,"")</f>
        <v>0.51635111876076056</v>
      </c>
      <c r="C361" s="2">
        <f>IFERROR((Data!C361/Data!C360-1)*100,"")</f>
        <v>1.0811836115326212</v>
      </c>
      <c r="D361">
        <f t="shared" si="47"/>
        <v>0.85832448734893074</v>
      </c>
      <c r="E361">
        <f t="shared" si="48"/>
        <v>0.4608691984815616</v>
      </c>
      <c r="P361" t="str" cm="1">
        <f t="array" ref="P361">_xlfn.IFS(
  AND(D361&gt;0,E361&gt;0),"Expansion",
  AND(D361&lt;0,E361&gt;0),"Slowdown",
  AND(D361&lt;0,E361&lt;0),"Contraction",
  AND(D361&gt;0,E361&lt;0),"Recovery",
  TRUE,"Undefined"
)</f>
        <v>Expansion</v>
      </c>
      <c r="Q361" t="str">
        <f t="shared" si="55"/>
        <v>Expansion</v>
      </c>
      <c r="R361">
        <f t="shared" si="49"/>
        <v>1</v>
      </c>
      <c r="S361">
        <f t="shared" si="50"/>
        <v>1</v>
      </c>
      <c r="T361">
        <f t="shared" si="51"/>
        <v>1</v>
      </c>
      <c r="U361">
        <f t="shared" si="52"/>
        <v>1</v>
      </c>
      <c r="V361" t="str" cm="1">
        <f t="array" ref="V361">_xlfn.IFS(
  AND(S361&gt;0,U361&gt;0),"Expansion",
  AND(S361&lt;0,U361&gt;0),"Slowdown",
  AND(S361&lt;0,U361&lt;0),"Contraction",
  AND(S361&gt;0,U361&lt;0),"Recovery",
  TRUE,"Undefined"
)</f>
        <v>Expansion</v>
      </c>
      <c r="W361">
        <f t="shared" si="53"/>
        <v>0</v>
      </c>
      <c r="X361">
        <f t="shared" si="54"/>
        <v>0</v>
      </c>
      <c r="Y361">
        <v>0</v>
      </c>
    </row>
    <row r="362" spans="1:25" x14ac:dyDescent="0.35">
      <c r="A362" s="1">
        <f>Data!A362</f>
        <v>28126</v>
      </c>
      <c r="B362" s="2">
        <f>IFERROR((Data!B362/Data!B361-1)*100,"")</f>
        <v>0.51369863013699391</v>
      </c>
      <c r="C362" s="2">
        <f>IFERROR((Data!C362/Data!C361-1)*100,"")</f>
        <v>-0.69976914382471334</v>
      </c>
      <c r="D362">
        <f t="shared" si="47"/>
        <v>0.63521612538212835</v>
      </c>
      <c r="E362">
        <f t="shared" si="48"/>
        <v>0.45849096408278428</v>
      </c>
      <c r="P362" t="str" cm="1">
        <f t="array" ref="P362">_xlfn.IFS(
  AND(D362&gt;0,E362&gt;0),"Expansion",
  AND(D362&lt;0,E362&gt;0),"Slowdown",
  AND(D362&lt;0,E362&lt;0),"Contraction",
  AND(D362&gt;0,E362&lt;0),"Recovery",
  TRUE,"Undefined"
)</f>
        <v>Expansion</v>
      </c>
      <c r="Q362" t="str">
        <f t="shared" si="55"/>
        <v>Expansion</v>
      </c>
      <c r="R362">
        <f t="shared" si="49"/>
        <v>1</v>
      </c>
      <c r="S362">
        <f t="shared" si="50"/>
        <v>1</v>
      </c>
      <c r="T362">
        <f t="shared" si="51"/>
        <v>1</v>
      </c>
      <c r="U362">
        <f t="shared" si="52"/>
        <v>1</v>
      </c>
      <c r="V362" t="str" cm="1">
        <f t="array" ref="V362">_xlfn.IFS(
  AND(S362&gt;0,U362&gt;0),"Expansion",
  AND(S362&lt;0,U362&gt;0),"Slowdown",
  AND(S362&lt;0,U362&lt;0),"Contraction",
  AND(S362&gt;0,U362&lt;0),"Recovery",
  TRUE,"Undefined"
)</f>
        <v>Expansion</v>
      </c>
      <c r="W362">
        <f t="shared" si="53"/>
        <v>0</v>
      </c>
      <c r="X362">
        <f t="shared" si="54"/>
        <v>0</v>
      </c>
      <c r="Y362">
        <v>0</v>
      </c>
    </row>
    <row r="363" spans="1:25" x14ac:dyDescent="0.35">
      <c r="A363" s="1">
        <f>Data!A363</f>
        <v>28157</v>
      </c>
      <c r="B363" s="2">
        <f>IFERROR((Data!B363/Data!B362-1)*100,"")</f>
        <v>1.0221465076660996</v>
      </c>
      <c r="C363" s="2">
        <f>IFERROR((Data!C363/Data!C362-1)*100,"")</f>
        <v>1.5799176860688213</v>
      </c>
      <c r="D363">
        <f t="shared" si="47"/>
        <v>0.6537773845922431</v>
      </c>
      <c r="E363">
        <f t="shared" si="48"/>
        <v>0.68406541885461802</v>
      </c>
      <c r="P363" t="str" cm="1">
        <f t="array" ref="P363">_xlfn.IFS(
  AND(D363&gt;0,E363&gt;0),"Expansion",
  AND(D363&lt;0,E363&gt;0),"Slowdown",
  AND(D363&lt;0,E363&lt;0),"Contraction",
  AND(D363&gt;0,E363&lt;0),"Recovery",
  TRUE,"Undefined"
)</f>
        <v>Expansion</v>
      </c>
      <c r="Q363" t="str">
        <f t="shared" si="55"/>
        <v>Expansion</v>
      </c>
      <c r="R363">
        <f t="shared" si="49"/>
        <v>1</v>
      </c>
      <c r="S363">
        <f t="shared" si="50"/>
        <v>1</v>
      </c>
      <c r="T363">
        <f t="shared" si="51"/>
        <v>1</v>
      </c>
      <c r="U363">
        <f t="shared" si="52"/>
        <v>1</v>
      </c>
      <c r="V363" t="str" cm="1">
        <f t="array" ref="V363">_xlfn.IFS(
  AND(S363&gt;0,U363&gt;0),"Expansion",
  AND(S363&lt;0,U363&gt;0),"Slowdown",
  AND(S363&lt;0,U363&lt;0),"Contraction",
  AND(S363&gt;0,U363&lt;0),"Recovery",
  TRUE,"Undefined"
)</f>
        <v>Expansion</v>
      </c>
      <c r="W363">
        <f t="shared" si="53"/>
        <v>0</v>
      </c>
      <c r="X363">
        <f t="shared" si="54"/>
        <v>0</v>
      </c>
      <c r="Y363">
        <v>0</v>
      </c>
    </row>
    <row r="364" spans="1:25" x14ac:dyDescent="0.35">
      <c r="A364" s="1">
        <f>Data!A364</f>
        <v>28185</v>
      </c>
      <c r="B364" s="2">
        <f>IFERROR((Data!B364/Data!B363-1)*100,"")</f>
        <v>0.50590219224284638</v>
      </c>
      <c r="C364" s="2">
        <f>IFERROR((Data!C364/Data!C363-1)*100,"")</f>
        <v>1.2780216190725557</v>
      </c>
      <c r="D364">
        <f t="shared" si="47"/>
        <v>0.71939005377222121</v>
      </c>
      <c r="E364">
        <f t="shared" si="48"/>
        <v>0.68058244334864659</v>
      </c>
      <c r="P364" t="str" cm="1">
        <f t="array" ref="P364">_xlfn.IFS(
  AND(D364&gt;0,E364&gt;0),"Expansion",
  AND(D364&lt;0,E364&gt;0),"Slowdown",
  AND(D364&lt;0,E364&lt;0),"Contraction",
  AND(D364&gt;0,E364&lt;0),"Recovery",
  TRUE,"Undefined"
)</f>
        <v>Expansion</v>
      </c>
      <c r="Q364" t="str">
        <f t="shared" si="55"/>
        <v>Expansion</v>
      </c>
      <c r="R364">
        <f t="shared" si="49"/>
        <v>1</v>
      </c>
      <c r="S364">
        <f t="shared" si="50"/>
        <v>1</v>
      </c>
      <c r="T364">
        <f t="shared" si="51"/>
        <v>1</v>
      </c>
      <c r="U364">
        <f t="shared" si="52"/>
        <v>1</v>
      </c>
      <c r="V364" t="str" cm="1">
        <f t="array" ref="V364">_xlfn.IFS(
  AND(S364&gt;0,U364&gt;0),"Expansion",
  AND(S364&lt;0,U364&gt;0),"Slowdown",
  AND(S364&lt;0,U364&lt;0),"Contraction",
  AND(S364&gt;0,U364&lt;0),"Recovery",
  TRUE,"Undefined"
)</f>
        <v>Expansion</v>
      </c>
      <c r="W364">
        <f t="shared" si="53"/>
        <v>0</v>
      </c>
      <c r="X364">
        <f t="shared" si="54"/>
        <v>0</v>
      </c>
      <c r="Y364">
        <v>0</v>
      </c>
    </row>
    <row r="365" spans="1:25" x14ac:dyDescent="0.35">
      <c r="A365" s="1">
        <f>Data!A365</f>
        <v>28216</v>
      </c>
      <c r="B365" s="2">
        <f>IFERROR((Data!B365/Data!B364-1)*100,"")</f>
        <v>0.67114093959730337</v>
      </c>
      <c r="C365" s="2">
        <f>IFERROR((Data!C365/Data!C364-1)*100,"")</f>
        <v>0.96094492561700218</v>
      </c>
      <c r="D365">
        <f t="shared" si="47"/>
        <v>1.2729614102527931</v>
      </c>
      <c r="E365">
        <f t="shared" si="48"/>
        <v>0.73306321316874978</v>
      </c>
      <c r="P365" t="str" cm="1">
        <f t="array" ref="P365">_xlfn.IFS(
  AND(D365&gt;0,E365&gt;0),"Expansion",
  AND(D365&lt;0,E365&gt;0),"Slowdown",
  AND(D365&lt;0,E365&lt;0),"Contraction",
  AND(D365&gt;0,E365&lt;0),"Recovery",
  TRUE,"Undefined"
)</f>
        <v>Expansion</v>
      </c>
      <c r="Q365" t="str">
        <f t="shared" si="55"/>
        <v>Expansion</v>
      </c>
      <c r="R365">
        <f t="shared" si="49"/>
        <v>1</v>
      </c>
      <c r="S365">
        <f t="shared" si="50"/>
        <v>1</v>
      </c>
      <c r="T365">
        <f t="shared" si="51"/>
        <v>1</v>
      </c>
      <c r="U365">
        <f t="shared" si="52"/>
        <v>1</v>
      </c>
      <c r="V365" t="str" cm="1">
        <f t="array" ref="V365">_xlfn.IFS(
  AND(S365&gt;0,U365&gt;0),"Expansion",
  AND(S365&lt;0,U365&gt;0),"Slowdown",
  AND(S365&lt;0,U365&lt;0),"Contraction",
  AND(S365&gt;0,U365&lt;0),"Recovery",
  TRUE,"Undefined"
)</f>
        <v>Expansion</v>
      </c>
      <c r="W365">
        <f t="shared" si="53"/>
        <v>0</v>
      </c>
      <c r="X365">
        <f t="shared" si="54"/>
        <v>0</v>
      </c>
      <c r="Y365">
        <v>0</v>
      </c>
    </row>
    <row r="366" spans="1:25" x14ac:dyDescent="0.35">
      <c r="A366" s="1">
        <f>Data!A366</f>
        <v>28246</v>
      </c>
      <c r="B366" s="2">
        <f>IFERROR((Data!B366/Data!B365-1)*100,"")</f>
        <v>0.33333333333334103</v>
      </c>
      <c r="C366" s="2">
        <f>IFERROR((Data!C366/Data!C365-1)*100,"")</f>
        <v>0.78847602203586664</v>
      </c>
      <c r="D366">
        <f t="shared" si="47"/>
        <v>1.0091475222418083</v>
      </c>
      <c r="E366">
        <f t="shared" si="48"/>
        <v>0.50345882172449696</v>
      </c>
      <c r="P366" t="str" cm="1">
        <f t="array" ref="P366">_xlfn.IFS(
  AND(D366&gt;0,E366&gt;0),"Expansion",
  AND(D366&lt;0,E366&gt;0),"Slowdown",
  AND(D366&lt;0,E366&lt;0),"Contraction",
  AND(D366&gt;0,E366&lt;0),"Recovery",
  TRUE,"Undefined"
)</f>
        <v>Expansion</v>
      </c>
      <c r="Q366" t="str">
        <f t="shared" si="55"/>
        <v>Expansion</v>
      </c>
      <c r="R366">
        <f t="shared" si="49"/>
        <v>1</v>
      </c>
      <c r="S366">
        <f t="shared" si="50"/>
        <v>1</v>
      </c>
      <c r="T366">
        <f t="shared" si="51"/>
        <v>1</v>
      </c>
      <c r="U366">
        <f t="shared" si="52"/>
        <v>1</v>
      </c>
      <c r="V366" t="str" cm="1">
        <f t="array" ref="V366">_xlfn.IFS(
  AND(S366&gt;0,U366&gt;0),"Expansion",
  AND(S366&lt;0,U366&gt;0),"Slowdown",
  AND(S366&lt;0,U366&lt;0),"Contraction",
  AND(S366&gt;0,U366&lt;0),"Recovery",
  TRUE,"Undefined"
)</f>
        <v>Expansion</v>
      </c>
      <c r="W366">
        <f t="shared" si="53"/>
        <v>0</v>
      </c>
      <c r="X366">
        <f t="shared" si="54"/>
        <v>0</v>
      </c>
      <c r="Y366">
        <v>0</v>
      </c>
    </row>
    <row r="367" spans="1:25" x14ac:dyDescent="0.35">
      <c r="A367" s="1">
        <f>Data!A367</f>
        <v>28277</v>
      </c>
      <c r="B367" s="2">
        <f>IFERROR((Data!B367/Data!B366-1)*100,"")</f>
        <v>0.4983388704318914</v>
      </c>
      <c r="C367" s="2">
        <f>IFERROR((Data!C367/Data!C366-1)*100,"")</f>
        <v>0.77768985182962158</v>
      </c>
      <c r="D367">
        <f t="shared" si="47"/>
        <v>0.84237026649416347</v>
      </c>
      <c r="E367">
        <f t="shared" si="48"/>
        <v>0.50093771445417856</v>
      </c>
      <c r="P367" t="str" cm="1">
        <f t="array" ref="P367">_xlfn.IFS(
  AND(D367&gt;0,E367&gt;0),"Expansion",
  AND(D367&lt;0,E367&gt;0),"Slowdown",
  AND(D367&lt;0,E367&lt;0),"Contraction",
  AND(D367&gt;0,E367&lt;0),"Recovery",
  TRUE,"Undefined"
)</f>
        <v>Expansion</v>
      </c>
      <c r="Q367" t="str">
        <f t="shared" si="55"/>
        <v>Expansion</v>
      </c>
      <c r="R367">
        <f t="shared" si="49"/>
        <v>1</v>
      </c>
      <c r="S367">
        <f t="shared" si="50"/>
        <v>1</v>
      </c>
      <c r="T367">
        <f t="shared" si="51"/>
        <v>1</v>
      </c>
      <c r="U367">
        <f t="shared" si="52"/>
        <v>1</v>
      </c>
      <c r="V367" t="str" cm="1">
        <f t="array" ref="V367">_xlfn.IFS(
  AND(S367&gt;0,U367&gt;0),"Expansion",
  AND(S367&lt;0,U367&gt;0),"Slowdown",
  AND(S367&lt;0,U367&lt;0),"Contraction",
  AND(S367&gt;0,U367&lt;0),"Recovery",
  TRUE,"Undefined"
)</f>
        <v>Expansion</v>
      </c>
      <c r="W367">
        <f t="shared" si="53"/>
        <v>0</v>
      </c>
      <c r="X367">
        <f t="shared" si="54"/>
        <v>0</v>
      </c>
      <c r="Y367">
        <v>0</v>
      </c>
    </row>
    <row r="368" spans="1:25" x14ac:dyDescent="0.35">
      <c r="A368" s="1">
        <f>Data!A368</f>
        <v>28307</v>
      </c>
      <c r="B368" s="2">
        <f>IFERROR((Data!B368/Data!B367-1)*100,"")</f>
        <v>0.49586776859502635</v>
      </c>
      <c r="C368" s="2">
        <f>IFERROR((Data!C368/Data!C367-1)*100,"")</f>
        <v>0.12788576094109327</v>
      </c>
      <c r="D368">
        <f t="shared" si="47"/>
        <v>0.56468387826886046</v>
      </c>
      <c r="E368">
        <f t="shared" si="48"/>
        <v>0.44251332412008626</v>
      </c>
      <c r="P368" t="str" cm="1">
        <f t="array" ref="P368">_xlfn.IFS(
  AND(D368&gt;0,E368&gt;0),"Expansion",
  AND(D368&lt;0,E368&gt;0),"Slowdown",
  AND(D368&lt;0,E368&lt;0),"Contraction",
  AND(D368&gt;0,E368&lt;0),"Recovery",
  TRUE,"Undefined"
)</f>
        <v>Expansion</v>
      </c>
      <c r="Q368" t="str">
        <f t="shared" si="55"/>
        <v>Expansion</v>
      </c>
      <c r="R368">
        <f t="shared" si="49"/>
        <v>1</v>
      </c>
      <c r="S368">
        <f t="shared" si="50"/>
        <v>1</v>
      </c>
      <c r="T368">
        <f t="shared" si="51"/>
        <v>1</v>
      </c>
      <c r="U368">
        <f t="shared" si="52"/>
        <v>1</v>
      </c>
      <c r="V368" t="str" cm="1">
        <f t="array" ref="V368">_xlfn.IFS(
  AND(S368&gt;0,U368&gt;0),"Expansion",
  AND(S368&lt;0,U368&gt;0),"Slowdown",
  AND(S368&lt;0,U368&lt;0),"Contraction",
  AND(S368&gt;0,U368&lt;0),"Recovery",
  TRUE,"Undefined"
)</f>
        <v>Expansion</v>
      </c>
      <c r="W368">
        <f t="shared" si="53"/>
        <v>0</v>
      </c>
      <c r="X368">
        <f t="shared" si="54"/>
        <v>0</v>
      </c>
      <c r="Y368">
        <v>0</v>
      </c>
    </row>
    <row r="369" spans="1:25" x14ac:dyDescent="0.35">
      <c r="A369" s="1">
        <f>Data!A369</f>
        <v>28338</v>
      </c>
      <c r="B369" s="2">
        <f>IFERROR((Data!B369/Data!B368-1)*100,"")</f>
        <v>0.49342105263159297</v>
      </c>
      <c r="C369" s="2">
        <f>IFERROR((Data!C369/Data!C368-1)*100,"")</f>
        <v>9.8808062737920643E-2</v>
      </c>
      <c r="D369">
        <f t="shared" si="47"/>
        <v>0.33479455850287848</v>
      </c>
      <c r="E369">
        <f t="shared" si="48"/>
        <v>0.49587589721950359</v>
      </c>
      <c r="P369" t="str" cm="1">
        <f t="array" ref="P369">_xlfn.IFS(
  AND(D369&gt;0,E369&gt;0),"Expansion",
  AND(D369&lt;0,E369&gt;0),"Slowdown",
  AND(D369&lt;0,E369&lt;0),"Contraction",
  AND(D369&gt;0,E369&lt;0),"Recovery",
  TRUE,"Undefined"
)</f>
        <v>Expansion</v>
      </c>
      <c r="Q369" t="str">
        <f t="shared" si="55"/>
        <v>Expansion</v>
      </c>
      <c r="R369">
        <f t="shared" si="49"/>
        <v>1</v>
      </c>
      <c r="S369">
        <f t="shared" si="50"/>
        <v>1</v>
      </c>
      <c r="T369">
        <f t="shared" si="51"/>
        <v>1</v>
      </c>
      <c r="U369">
        <f t="shared" si="52"/>
        <v>1</v>
      </c>
      <c r="V369" t="str" cm="1">
        <f t="array" ref="V369">_xlfn.IFS(
  AND(S369&gt;0,U369&gt;0),"Expansion",
  AND(S369&lt;0,U369&gt;0),"Slowdown",
  AND(S369&lt;0,U369&lt;0),"Contraction",
  AND(S369&gt;0,U369&lt;0),"Recovery",
  TRUE,"Undefined"
)</f>
        <v>Expansion</v>
      </c>
      <c r="W369">
        <f t="shared" si="53"/>
        <v>0</v>
      </c>
      <c r="X369">
        <f t="shared" si="54"/>
        <v>0</v>
      </c>
      <c r="Y369">
        <v>0</v>
      </c>
    </row>
    <row r="370" spans="1:25" x14ac:dyDescent="0.35">
      <c r="A370" s="1">
        <f>Data!A370</f>
        <v>28369</v>
      </c>
      <c r="B370" s="2">
        <f>IFERROR((Data!B370/Data!B369-1)*100,"")</f>
        <v>0.32733224222585289</v>
      </c>
      <c r="C370" s="2">
        <f>IFERROR((Data!C370/Data!C369-1)*100,"")</f>
        <v>0.41229829282738439</v>
      </c>
      <c r="D370">
        <f t="shared" si="47"/>
        <v>0.21299737216879944</v>
      </c>
      <c r="E370">
        <f t="shared" si="48"/>
        <v>0.43887368781749075</v>
      </c>
      <c r="P370" t="str" cm="1">
        <f t="array" ref="P370">_xlfn.IFS(
  AND(D370&gt;0,E370&gt;0),"Expansion",
  AND(D370&lt;0,E370&gt;0),"Slowdown",
  AND(D370&lt;0,E370&lt;0),"Contraction",
  AND(D370&gt;0,E370&lt;0),"Recovery",
  TRUE,"Undefined"
)</f>
        <v>Expansion</v>
      </c>
      <c r="Q370" t="str">
        <f t="shared" si="55"/>
        <v>Expansion</v>
      </c>
      <c r="R370">
        <f t="shared" si="49"/>
        <v>1</v>
      </c>
      <c r="S370">
        <f t="shared" si="50"/>
        <v>1</v>
      </c>
      <c r="T370">
        <f t="shared" si="51"/>
        <v>1</v>
      </c>
      <c r="U370">
        <f t="shared" si="52"/>
        <v>1</v>
      </c>
      <c r="V370" t="str" cm="1">
        <f t="array" ref="V370">_xlfn.IFS(
  AND(S370&gt;0,U370&gt;0),"Expansion",
  AND(S370&lt;0,U370&gt;0),"Slowdown",
  AND(S370&lt;0,U370&lt;0),"Contraction",
  AND(S370&gt;0,U370&lt;0),"Recovery",
  TRUE,"Undefined"
)</f>
        <v>Expansion</v>
      </c>
      <c r="W370">
        <f t="shared" si="53"/>
        <v>0</v>
      </c>
      <c r="X370">
        <f t="shared" si="54"/>
        <v>0</v>
      </c>
      <c r="Y370">
        <v>0</v>
      </c>
    </row>
    <row r="371" spans="1:25" x14ac:dyDescent="0.35">
      <c r="A371" s="1">
        <f>Data!A371</f>
        <v>28399</v>
      </c>
      <c r="B371" s="2">
        <f>IFERROR((Data!B371/Data!B370-1)*100,"")</f>
        <v>0.48939641109300158</v>
      </c>
      <c r="C371" s="2">
        <f>IFERROR((Data!C371/Data!C370-1)*100,"")</f>
        <v>0.14114559727145259</v>
      </c>
      <c r="D371">
        <f t="shared" si="47"/>
        <v>0.21741731761225255</v>
      </c>
      <c r="E371">
        <f t="shared" si="48"/>
        <v>0.43671656865014913</v>
      </c>
      <c r="P371" t="str" cm="1">
        <f t="array" ref="P371">_xlfn.IFS(
  AND(D371&gt;0,E371&gt;0),"Expansion",
  AND(D371&lt;0,E371&gt;0),"Slowdown",
  AND(D371&lt;0,E371&lt;0),"Contraction",
  AND(D371&gt;0,E371&lt;0),"Recovery",
  TRUE,"Undefined"
)</f>
        <v>Expansion</v>
      </c>
      <c r="Q371" t="str">
        <f t="shared" si="55"/>
        <v>Expansion</v>
      </c>
      <c r="R371">
        <f t="shared" si="49"/>
        <v>1</v>
      </c>
      <c r="S371">
        <f t="shared" si="50"/>
        <v>1</v>
      </c>
      <c r="T371">
        <f t="shared" si="51"/>
        <v>1</v>
      </c>
      <c r="U371">
        <f t="shared" si="52"/>
        <v>1</v>
      </c>
      <c r="V371" t="str" cm="1">
        <f t="array" ref="V371">_xlfn.IFS(
  AND(S371&gt;0,U371&gt;0),"Expansion",
  AND(S371&lt;0,U371&gt;0),"Slowdown",
  AND(S371&lt;0,U371&lt;0),"Contraction",
  AND(S371&gt;0,U371&lt;0),"Recovery",
  TRUE,"Undefined"
)</f>
        <v>Expansion</v>
      </c>
      <c r="W371">
        <f t="shared" si="53"/>
        <v>0</v>
      </c>
      <c r="X371">
        <f t="shared" si="54"/>
        <v>0</v>
      </c>
      <c r="Y371">
        <v>0</v>
      </c>
    </row>
    <row r="372" spans="1:25" x14ac:dyDescent="0.35">
      <c r="A372" s="1">
        <f>Data!A372</f>
        <v>28430</v>
      </c>
      <c r="B372" s="2">
        <f>IFERROR((Data!B372/Data!B371-1)*100,"")</f>
        <v>0.64935064935065512</v>
      </c>
      <c r="C372" s="2">
        <f>IFERROR((Data!C372/Data!C371-1)*100,"")</f>
        <v>0.18393332107111693</v>
      </c>
      <c r="D372">
        <f t="shared" si="47"/>
        <v>0.24579240372331798</v>
      </c>
      <c r="E372">
        <f t="shared" si="48"/>
        <v>0.48869310088983653</v>
      </c>
      <c r="P372" t="str" cm="1">
        <f t="array" ref="P372">_xlfn.IFS(
  AND(D372&gt;0,E372&gt;0),"Expansion",
  AND(D372&lt;0,E372&gt;0),"Slowdown",
  AND(D372&lt;0,E372&lt;0),"Contraction",
  AND(D372&gt;0,E372&lt;0),"Recovery",
  TRUE,"Undefined"
)</f>
        <v>Expansion</v>
      </c>
      <c r="Q372" t="str">
        <f t="shared" si="55"/>
        <v>Expansion</v>
      </c>
      <c r="R372">
        <f t="shared" si="49"/>
        <v>1</v>
      </c>
      <c r="S372">
        <f t="shared" si="50"/>
        <v>1</v>
      </c>
      <c r="T372">
        <f t="shared" si="51"/>
        <v>1</v>
      </c>
      <c r="U372">
        <f t="shared" si="52"/>
        <v>1</v>
      </c>
      <c r="V372" t="str" cm="1">
        <f t="array" ref="V372">_xlfn.IFS(
  AND(S372&gt;0,U372&gt;0),"Expansion",
  AND(S372&lt;0,U372&gt;0),"Slowdown",
  AND(S372&lt;0,U372&lt;0),"Contraction",
  AND(S372&gt;0,U372&lt;0),"Recovery",
  TRUE,"Undefined"
)</f>
        <v>Expansion</v>
      </c>
      <c r="W372">
        <f t="shared" si="53"/>
        <v>0</v>
      </c>
      <c r="X372">
        <f t="shared" si="54"/>
        <v>0</v>
      </c>
      <c r="Y372">
        <v>0</v>
      </c>
    </row>
    <row r="373" spans="1:25" x14ac:dyDescent="0.35">
      <c r="A373" s="1">
        <f>Data!A373</f>
        <v>28460</v>
      </c>
      <c r="B373" s="2">
        <f>IFERROR((Data!B373/Data!B372-1)*100,"")</f>
        <v>0.48387096774193949</v>
      </c>
      <c r="C373" s="2">
        <f>IFERROR((Data!C373/Data!C372-1)*100,"")</f>
        <v>0.17905730865312997</v>
      </c>
      <c r="D373">
        <f t="shared" si="47"/>
        <v>0.16804540899856649</v>
      </c>
      <c r="E373">
        <f t="shared" si="48"/>
        <v>0.5408726760618654</v>
      </c>
      <c r="P373" t="str" cm="1">
        <f t="array" ref="P373">_xlfn.IFS(
  AND(D373&gt;0,E373&gt;0),"Expansion",
  AND(D373&lt;0,E373&gt;0),"Slowdown",
  AND(D373&lt;0,E373&lt;0),"Contraction",
  AND(D373&gt;0,E373&lt;0),"Recovery",
  TRUE,"Undefined"
)</f>
        <v>Expansion</v>
      </c>
      <c r="Q373" t="str">
        <f t="shared" si="55"/>
        <v>Expansion</v>
      </c>
      <c r="R373">
        <f t="shared" si="49"/>
        <v>1</v>
      </c>
      <c r="S373">
        <f t="shared" si="50"/>
        <v>1</v>
      </c>
      <c r="T373">
        <f t="shared" si="51"/>
        <v>1</v>
      </c>
      <c r="U373">
        <f t="shared" si="52"/>
        <v>1</v>
      </c>
      <c r="V373" t="str" cm="1">
        <f t="array" ref="V373">_xlfn.IFS(
  AND(S373&gt;0,U373&gt;0),"Expansion",
  AND(S373&lt;0,U373&gt;0),"Slowdown",
  AND(S373&lt;0,U373&lt;0),"Contraction",
  AND(S373&gt;0,U373&lt;0),"Recovery",
  TRUE,"Undefined"
)</f>
        <v>Expansion</v>
      </c>
      <c r="W373">
        <f t="shared" si="53"/>
        <v>0</v>
      </c>
      <c r="X373">
        <f t="shared" si="54"/>
        <v>0</v>
      </c>
      <c r="Y373">
        <v>0</v>
      </c>
    </row>
    <row r="374" spans="1:25" x14ac:dyDescent="0.35">
      <c r="A374" s="1">
        <f>Data!A374</f>
        <v>28491</v>
      </c>
      <c r="B374" s="2">
        <f>IFERROR((Data!B374/Data!B373-1)*100,"")</f>
        <v>0.64205457463886173</v>
      </c>
      <c r="C374" s="2">
        <f>IFERROR((Data!C374/Data!C373-1)*100,"")</f>
        <v>-1.4719055081142129</v>
      </c>
      <c r="D374">
        <f t="shared" si="47"/>
        <v>-0.36963829279665533</v>
      </c>
      <c r="E374">
        <f t="shared" si="48"/>
        <v>0.59175873057715211</v>
      </c>
      <c r="P374" t="str" cm="1">
        <f t="array" ref="P374">_xlfn.IFS(
  AND(D374&gt;0,E374&gt;0),"Expansion",
  AND(D374&lt;0,E374&gt;0),"Slowdown",
  AND(D374&lt;0,E374&lt;0),"Contraction",
  AND(D374&gt;0,E374&lt;0),"Recovery",
  TRUE,"Undefined"
)</f>
        <v>Slowdown</v>
      </c>
      <c r="Q374" t="str">
        <f t="shared" si="55"/>
        <v>Expansion</v>
      </c>
      <c r="R374">
        <f t="shared" si="49"/>
        <v>-1</v>
      </c>
      <c r="S374">
        <f t="shared" si="50"/>
        <v>-1</v>
      </c>
      <c r="T374">
        <f t="shared" si="51"/>
        <v>1</v>
      </c>
      <c r="U374">
        <f t="shared" si="52"/>
        <v>1</v>
      </c>
      <c r="V374" t="str" cm="1">
        <f t="array" ref="V374">_xlfn.IFS(
  AND(S374&gt;0,U374&gt;0),"Expansion",
  AND(S374&lt;0,U374&gt;0),"Slowdown",
  AND(S374&lt;0,U374&lt;0),"Contraction",
  AND(S374&gt;0,U374&lt;0),"Recovery",
  TRUE,"Undefined"
)</f>
        <v>Slowdown</v>
      </c>
      <c r="W374">
        <f t="shared" si="53"/>
        <v>0</v>
      </c>
      <c r="X374">
        <f t="shared" si="54"/>
        <v>0</v>
      </c>
      <c r="Y374">
        <v>0</v>
      </c>
    </row>
    <row r="375" spans="1:25" x14ac:dyDescent="0.35">
      <c r="A375" s="1">
        <f>Data!A375</f>
        <v>28522</v>
      </c>
      <c r="B375" s="2">
        <f>IFERROR((Data!B375/Data!B374-1)*100,"")</f>
        <v>0.47846889952152249</v>
      </c>
      <c r="C375" s="2">
        <f>IFERROR((Data!C375/Data!C374-1)*100,"")</f>
        <v>0.53565345332415859</v>
      </c>
      <c r="D375">
        <f t="shared" si="47"/>
        <v>-0.25239824871230815</v>
      </c>
      <c r="E375">
        <f t="shared" si="48"/>
        <v>0.53479814730077457</v>
      </c>
      <c r="P375" t="str" cm="1">
        <f t="array" ref="P375">_xlfn.IFS(
  AND(D375&gt;0,E375&gt;0),"Expansion",
  AND(D375&lt;0,E375&gt;0),"Slowdown",
  AND(D375&lt;0,E375&lt;0),"Contraction",
  AND(D375&gt;0,E375&lt;0),"Recovery",
  TRUE,"Undefined"
)</f>
        <v>Slowdown</v>
      </c>
      <c r="Q375" t="str">
        <f t="shared" si="55"/>
        <v>Expansion</v>
      </c>
      <c r="R375">
        <f t="shared" si="49"/>
        <v>1</v>
      </c>
      <c r="S375">
        <f t="shared" si="50"/>
        <v>1</v>
      </c>
      <c r="T375">
        <f t="shared" si="51"/>
        <v>1</v>
      </c>
      <c r="U375">
        <f t="shared" si="52"/>
        <v>1</v>
      </c>
      <c r="V375" t="str" cm="1">
        <f t="array" ref="V375">_xlfn.IFS(
  AND(S375&gt;0,U375&gt;0),"Expansion",
  AND(S375&lt;0,U375&gt;0),"Slowdown",
  AND(S375&lt;0,U375&lt;0),"Contraction",
  AND(S375&gt;0,U375&lt;0),"Recovery",
  TRUE,"Undefined"
)</f>
        <v>Expansion</v>
      </c>
      <c r="W375">
        <f t="shared" si="53"/>
        <v>0</v>
      </c>
      <c r="X375">
        <f t="shared" si="54"/>
        <v>0</v>
      </c>
      <c r="Y375">
        <v>0</v>
      </c>
    </row>
    <row r="376" spans="1:25" x14ac:dyDescent="0.35">
      <c r="A376" s="1">
        <f>Data!A376</f>
        <v>28550</v>
      </c>
      <c r="B376" s="2">
        <f>IFERROR((Data!B376/Data!B375-1)*100,"")</f>
        <v>0.63492063492063266</v>
      </c>
      <c r="C376" s="2">
        <f>IFERROR((Data!C376/Data!C375-1)*100,"")</f>
        <v>1.9168724690464822</v>
      </c>
      <c r="D376">
        <f t="shared" si="47"/>
        <v>0.32687347141880929</v>
      </c>
      <c r="E376">
        <f t="shared" si="48"/>
        <v>0.58514803636033896</v>
      </c>
      <c r="P376" t="str" cm="1">
        <f t="array" ref="P376">_xlfn.IFS(
  AND(D376&gt;0,E376&gt;0),"Expansion",
  AND(D376&lt;0,E376&gt;0),"Slowdown",
  AND(D376&lt;0,E376&lt;0),"Contraction",
  AND(D376&gt;0,E376&lt;0),"Recovery",
  TRUE,"Undefined"
)</f>
        <v>Expansion</v>
      </c>
      <c r="Q376" t="str">
        <f t="shared" si="55"/>
        <v>Expansion</v>
      </c>
      <c r="R376">
        <f t="shared" si="49"/>
        <v>1</v>
      </c>
      <c r="S376">
        <f t="shared" si="50"/>
        <v>1</v>
      </c>
      <c r="T376">
        <f t="shared" si="51"/>
        <v>1</v>
      </c>
      <c r="U376">
        <f t="shared" si="52"/>
        <v>1</v>
      </c>
      <c r="V376" t="str" cm="1">
        <f t="array" ref="V376">_xlfn.IFS(
  AND(S376&gt;0,U376&gt;0),"Expansion",
  AND(S376&lt;0,U376&gt;0),"Slowdown",
  AND(S376&lt;0,U376&lt;0),"Contraction",
  AND(S376&gt;0,U376&lt;0),"Recovery",
  TRUE,"Undefined"
)</f>
        <v>Expansion</v>
      </c>
      <c r="W376">
        <f t="shared" si="53"/>
        <v>0</v>
      </c>
      <c r="X376">
        <f t="shared" si="54"/>
        <v>0</v>
      </c>
      <c r="Y376">
        <v>0</v>
      </c>
    </row>
    <row r="377" spans="1:25" x14ac:dyDescent="0.35">
      <c r="A377" s="1">
        <f>Data!A377</f>
        <v>28581</v>
      </c>
      <c r="B377" s="2">
        <f>IFERROR((Data!B377/Data!B376-1)*100,"")</f>
        <v>0.78864353312302349</v>
      </c>
      <c r="C377" s="2">
        <f>IFERROR((Data!C377/Data!C376-1)*100,"")</f>
        <v>2.0276789083454982</v>
      </c>
      <c r="D377">
        <f t="shared" si="47"/>
        <v>1.4934016102387131</v>
      </c>
      <c r="E377">
        <f t="shared" si="48"/>
        <v>0.63401102252172625</v>
      </c>
      <c r="P377" t="str" cm="1">
        <f t="array" ref="P377">_xlfn.IFS(
  AND(D377&gt;0,E377&gt;0),"Expansion",
  AND(D377&lt;0,E377&gt;0),"Slowdown",
  AND(D377&lt;0,E377&lt;0),"Contraction",
  AND(D377&gt;0,E377&lt;0),"Recovery",
  TRUE,"Undefined"
)</f>
        <v>Expansion</v>
      </c>
      <c r="Q377" t="str">
        <f t="shared" si="55"/>
        <v>Expansion</v>
      </c>
      <c r="R377">
        <f t="shared" si="49"/>
        <v>1</v>
      </c>
      <c r="S377">
        <f t="shared" si="50"/>
        <v>1</v>
      </c>
      <c r="T377">
        <f t="shared" si="51"/>
        <v>1</v>
      </c>
      <c r="U377">
        <f t="shared" si="52"/>
        <v>1</v>
      </c>
      <c r="V377" t="str" cm="1">
        <f t="array" ref="V377">_xlfn.IFS(
  AND(S377&gt;0,U377&gt;0),"Expansion",
  AND(S377&lt;0,U377&gt;0),"Slowdown",
  AND(S377&lt;0,U377&lt;0),"Contraction",
  AND(S377&gt;0,U377&lt;0),"Recovery",
  TRUE,"Undefined"
)</f>
        <v>Expansion</v>
      </c>
      <c r="W377">
        <f t="shared" si="53"/>
        <v>0</v>
      </c>
      <c r="X377">
        <f t="shared" si="54"/>
        <v>0</v>
      </c>
      <c r="Y377">
        <v>0</v>
      </c>
    </row>
    <row r="378" spans="1:25" x14ac:dyDescent="0.35">
      <c r="A378" s="1">
        <f>Data!A378</f>
        <v>28611</v>
      </c>
      <c r="B378" s="2">
        <f>IFERROR((Data!B378/Data!B377-1)*100,"")</f>
        <v>0.93896713615022609</v>
      </c>
      <c r="C378" s="2">
        <f>IFERROR((Data!C378/Data!C377-1)*100,"")</f>
        <v>0.46660775760385409</v>
      </c>
      <c r="D378">
        <f t="shared" si="47"/>
        <v>1.4703863783319449</v>
      </c>
      <c r="E378">
        <f t="shared" si="48"/>
        <v>0.78751043473129412</v>
      </c>
      <c r="P378" t="str" cm="1">
        <f t="array" ref="P378">_xlfn.IFS(
  AND(D378&gt;0,E378&gt;0),"Expansion",
  AND(D378&lt;0,E378&gt;0),"Slowdown",
  AND(D378&lt;0,E378&lt;0),"Contraction",
  AND(D378&gt;0,E378&lt;0),"Recovery",
  TRUE,"Undefined"
)</f>
        <v>Expansion</v>
      </c>
      <c r="Q378" t="str">
        <f t="shared" si="55"/>
        <v>Expansion</v>
      </c>
      <c r="R378">
        <f t="shared" si="49"/>
        <v>1</v>
      </c>
      <c r="S378">
        <f t="shared" si="50"/>
        <v>1</v>
      </c>
      <c r="T378">
        <f t="shared" si="51"/>
        <v>1</v>
      </c>
      <c r="U378">
        <f t="shared" si="52"/>
        <v>1</v>
      </c>
      <c r="V378" t="str" cm="1">
        <f t="array" ref="V378">_xlfn.IFS(
  AND(S378&gt;0,U378&gt;0),"Expansion",
  AND(S378&lt;0,U378&gt;0),"Slowdown",
  AND(S378&lt;0,U378&lt;0),"Contraction",
  AND(S378&gt;0,U378&lt;0),"Recovery",
  TRUE,"Undefined"
)</f>
        <v>Expansion</v>
      </c>
      <c r="W378">
        <f t="shared" si="53"/>
        <v>0</v>
      </c>
      <c r="X378">
        <f t="shared" si="54"/>
        <v>0</v>
      </c>
      <c r="Y378">
        <v>0</v>
      </c>
    </row>
    <row r="379" spans="1:25" x14ac:dyDescent="0.35">
      <c r="A379" s="1">
        <f>Data!A379</f>
        <v>28642</v>
      </c>
      <c r="B379" s="2">
        <f>IFERROR((Data!B379/Data!B378-1)*100,"")</f>
        <v>0.77519379844961378</v>
      </c>
      <c r="C379" s="2">
        <f>IFERROR((Data!C379/Data!C378-1)*100,"")</f>
        <v>0.64890356986508912</v>
      </c>
      <c r="D379">
        <f t="shared" si="47"/>
        <v>1.0477300786048138</v>
      </c>
      <c r="E379">
        <f t="shared" si="48"/>
        <v>0.83426815590762116</v>
      </c>
      <c r="P379" t="str" cm="1">
        <f t="array" ref="P379">_xlfn.IFS(
  AND(D379&gt;0,E379&gt;0),"Expansion",
  AND(D379&lt;0,E379&gt;0),"Slowdown",
  AND(D379&lt;0,E379&lt;0),"Contraction",
  AND(D379&gt;0,E379&lt;0),"Recovery",
  TRUE,"Undefined"
)</f>
        <v>Expansion</v>
      </c>
      <c r="Q379" t="str">
        <f t="shared" si="55"/>
        <v>Expansion</v>
      </c>
      <c r="R379">
        <f t="shared" si="49"/>
        <v>1</v>
      </c>
      <c r="S379">
        <f t="shared" si="50"/>
        <v>1</v>
      </c>
      <c r="T379">
        <f t="shared" si="51"/>
        <v>1</v>
      </c>
      <c r="U379">
        <f t="shared" si="52"/>
        <v>1</v>
      </c>
      <c r="V379" t="str" cm="1">
        <f t="array" ref="V379">_xlfn.IFS(
  AND(S379&gt;0,U379&gt;0),"Expansion",
  AND(S379&lt;0,U379&gt;0),"Slowdown",
  AND(S379&lt;0,U379&lt;0),"Contraction",
  AND(S379&gt;0,U379&lt;0),"Recovery",
  TRUE,"Undefined"
)</f>
        <v>Expansion</v>
      </c>
      <c r="W379">
        <f t="shared" si="53"/>
        <v>0</v>
      </c>
      <c r="X379">
        <f t="shared" si="54"/>
        <v>0</v>
      </c>
      <c r="Y379">
        <v>0</v>
      </c>
    </row>
    <row r="380" spans="1:25" x14ac:dyDescent="0.35">
      <c r="A380" s="1">
        <f>Data!A380</f>
        <v>28672</v>
      </c>
      <c r="B380" s="2">
        <f>IFERROR((Data!B380/Data!B379-1)*100,"")</f>
        <v>0.7692307692307665</v>
      </c>
      <c r="C380" s="2">
        <f>IFERROR((Data!C380/Data!C379-1)*100,"")</f>
        <v>-8.2443490621808557E-2</v>
      </c>
      <c r="D380">
        <f t="shared" si="47"/>
        <v>0.34435594561571153</v>
      </c>
      <c r="E380">
        <f t="shared" si="48"/>
        <v>0.82779723461020216</v>
      </c>
      <c r="P380" t="str" cm="1">
        <f t="array" ref="P380">_xlfn.IFS(
  AND(D380&gt;0,E380&gt;0),"Expansion",
  AND(D380&lt;0,E380&gt;0),"Slowdown",
  AND(D380&lt;0,E380&lt;0),"Contraction",
  AND(D380&gt;0,E380&lt;0),"Recovery",
  TRUE,"Undefined"
)</f>
        <v>Expansion</v>
      </c>
      <c r="Q380" t="str">
        <f t="shared" si="55"/>
        <v>Expansion</v>
      </c>
      <c r="R380">
        <f t="shared" si="49"/>
        <v>1</v>
      </c>
      <c r="S380">
        <f t="shared" si="50"/>
        <v>1</v>
      </c>
      <c r="T380">
        <f t="shared" si="51"/>
        <v>1</v>
      </c>
      <c r="U380">
        <f t="shared" si="52"/>
        <v>1</v>
      </c>
      <c r="V380" t="str" cm="1">
        <f t="array" ref="V380">_xlfn.IFS(
  AND(S380&gt;0,U380&gt;0),"Expansion",
  AND(S380&lt;0,U380&gt;0),"Slowdown",
  AND(S380&lt;0,U380&lt;0),"Contraction",
  AND(S380&gt;0,U380&lt;0),"Recovery",
  TRUE,"Undefined"
)</f>
        <v>Expansion</v>
      </c>
      <c r="W380">
        <f t="shared" si="53"/>
        <v>0</v>
      </c>
      <c r="X380">
        <f t="shared" si="54"/>
        <v>0</v>
      </c>
      <c r="Y380">
        <v>0</v>
      </c>
    </row>
    <row r="381" spans="1:25" x14ac:dyDescent="0.35">
      <c r="A381" s="1">
        <f>Data!A381</f>
        <v>28703</v>
      </c>
      <c r="B381" s="2">
        <f>IFERROR((Data!B381/Data!B380-1)*100,"")</f>
        <v>0.61068702290076882</v>
      </c>
      <c r="C381" s="2">
        <f>IFERROR((Data!C381/Data!C380-1)*100,"")</f>
        <v>0.41038101720671794</v>
      </c>
      <c r="D381">
        <f t="shared" si="47"/>
        <v>0.32561369881666619</v>
      </c>
      <c r="E381">
        <f t="shared" si="48"/>
        <v>0.71837053019371633</v>
      </c>
      <c r="P381" t="str" cm="1">
        <f t="array" ref="P381">_xlfn.IFS(
  AND(D381&gt;0,E381&gt;0),"Expansion",
  AND(D381&lt;0,E381&gt;0),"Slowdown",
  AND(D381&lt;0,E381&lt;0),"Contraction",
  AND(D381&gt;0,E381&lt;0),"Recovery",
  TRUE,"Undefined"
)</f>
        <v>Expansion</v>
      </c>
      <c r="Q381" t="str">
        <f t="shared" si="55"/>
        <v>Expansion</v>
      </c>
      <c r="R381">
        <f t="shared" si="49"/>
        <v>1</v>
      </c>
      <c r="S381">
        <f t="shared" si="50"/>
        <v>1</v>
      </c>
      <c r="T381">
        <f t="shared" si="51"/>
        <v>1</v>
      </c>
      <c r="U381">
        <f t="shared" si="52"/>
        <v>1</v>
      </c>
      <c r="V381" t="str" cm="1">
        <f t="array" ref="V381">_xlfn.IFS(
  AND(S381&gt;0,U381&gt;0),"Expansion",
  AND(S381&lt;0,U381&gt;0),"Slowdown",
  AND(S381&lt;0,U381&lt;0),"Contraction",
  AND(S381&gt;0,U381&lt;0),"Recovery",
  TRUE,"Undefined"
)</f>
        <v>Expansion</v>
      </c>
      <c r="W381">
        <f t="shared" si="53"/>
        <v>0</v>
      </c>
      <c r="X381">
        <f t="shared" si="54"/>
        <v>0</v>
      </c>
      <c r="Y381">
        <v>0</v>
      </c>
    </row>
    <row r="382" spans="1:25" x14ac:dyDescent="0.35">
      <c r="A382" s="1">
        <f>Data!A382</f>
        <v>28734</v>
      </c>
      <c r="B382" s="2">
        <f>IFERROR((Data!B382/Data!B381-1)*100,"")</f>
        <v>0.91047040971168336</v>
      </c>
      <c r="C382" s="2">
        <f>IFERROR((Data!C382/Data!C381-1)*100,"")</f>
        <v>0.25341998746692962</v>
      </c>
      <c r="D382">
        <f t="shared" si="47"/>
        <v>0.19378583801727967</v>
      </c>
      <c r="E382">
        <f t="shared" si="48"/>
        <v>0.76346273394773956</v>
      </c>
      <c r="P382" t="str" cm="1">
        <f t="array" ref="P382">_xlfn.IFS(
  AND(D382&gt;0,E382&gt;0),"Expansion",
  AND(D382&lt;0,E382&gt;0),"Slowdown",
  AND(D382&lt;0,E382&lt;0),"Contraction",
  AND(D382&gt;0,E382&lt;0),"Recovery",
  TRUE,"Undefined"
)</f>
        <v>Expansion</v>
      </c>
      <c r="Q382" t="str">
        <f t="shared" si="55"/>
        <v>Expansion</v>
      </c>
      <c r="R382">
        <f t="shared" si="49"/>
        <v>1</v>
      </c>
      <c r="S382">
        <f t="shared" si="50"/>
        <v>1</v>
      </c>
      <c r="T382">
        <f t="shared" si="51"/>
        <v>1</v>
      </c>
      <c r="U382">
        <f t="shared" si="52"/>
        <v>1</v>
      </c>
      <c r="V382" t="str" cm="1">
        <f t="array" ref="V382">_xlfn.IFS(
  AND(S382&gt;0,U382&gt;0),"Expansion",
  AND(S382&lt;0,U382&gt;0),"Slowdown",
  AND(S382&lt;0,U382&lt;0),"Contraction",
  AND(S382&gt;0,U382&lt;0),"Recovery",
  TRUE,"Undefined"
)</f>
        <v>Expansion</v>
      </c>
      <c r="W382">
        <f t="shared" si="53"/>
        <v>0</v>
      </c>
      <c r="X382">
        <f t="shared" si="54"/>
        <v>0</v>
      </c>
      <c r="Y382">
        <v>0</v>
      </c>
    </row>
    <row r="383" spans="1:25" x14ac:dyDescent="0.35">
      <c r="A383" s="1">
        <f>Data!A383</f>
        <v>28764</v>
      </c>
      <c r="B383" s="2">
        <f>IFERROR((Data!B383/Data!B382-1)*100,"")</f>
        <v>0.90225563909773765</v>
      </c>
      <c r="C383" s="2">
        <f>IFERROR((Data!C383/Data!C382-1)*100,"")</f>
        <v>0.74988599374143927</v>
      </c>
      <c r="D383">
        <f t="shared" si="47"/>
        <v>0.47122899947169561</v>
      </c>
      <c r="E383">
        <f t="shared" si="48"/>
        <v>0.80780435723672994</v>
      </c>
      <c r="P383" t="str" cm="1">
        <f t="array" ref="P383">_xlfn.IFS(
  AND(D383&gt;0,E383&gt;0),"Expansion",
  AND(D383&lt;0,E383&gt;0),"Slowdown",
  AND(D383&lt;0,E383&lt;0),"Contraction",
  AND(D383&gt;0,E383&lt;0),"Recovery",
  TRUE,"Undefined"
)</f>
        <v>Expansion</v>
      </c>
      <c r="Q383" t="str">
        <f t="shared" si="55"/>
        <v>Expansion</v>
      </c>
      <c r="R383">
        <f t="shared" si="49"/>
        <v>1</v>
      </c>
      <c r="S383">
        <f t="shared" si="50"/>
        <v>1</v>
      </c>
      <c r="T383">
        <f t="shared" si="51"/>
        <v>1</v>
      </c>
      <c r="U383">
        <f t="shared" si="52"/>
        <v>1</v>
      </c>
      <c r="V383" t="str" cm="1">
        <f t="array" ref="V383">_xlfn.IFS(
  AND(S383&gt;0,U383&gt;0),"Expansion",
  AND(S383&lt;0,U383&gt;0),"Slowdown",
  AND(S383&lt;0,U383&lt;0),"Contraction",
  AND(S383&gt;0,U383&lt;0),"Recovery",
  TRUE,"Undefined"
)</f>
        <v>Expansion</v>
      </c>
      <c r="W383">
        <f t="shared" si="53"/>
        <v>0</v>
      </c>
      <c r="X383">
        <f t="shared" si="54"/>
        <v>0</v>
      </c>
      <c r="Y383">
        <v>0</v>
      </c>
    </row>
    <row r="384" spans="1:25" x14ac:dyDescent="0.35">
      <c r="A384" s="1">
        <f>Data!A384</f>
        <v>28795</v>
      </c>
      <c r="B384" s="2">
        <f>IFERROR((Data!B384/Data!B383-1)*100,"")</f>
        <v>0.59612518628913147</v>
      </c>
      <c r="C384" s="2">
        <f>IFERROR((Data!C384/Data!C383-1)*100,"")</f>
        <v>0.77161848684736967</v>
      </c>
      <c r="D384">
        <f t="shared" si="47"/>
        <v>0.59164148935191285</v>
      </c>
      <c r="E384">
        <f t="shared" si="48"/>
        <v>0.80295041169951753</v>
      </c>
      <c r="P384" t="str" cm="1">
        <f t="array" ref="P384">_xlfn.IFS(
  AND(D384&gt;0,E384&gt;0),"Expansion",
  AND(D384&lt;0,E384&gt;0),"Slowdown",
  AND(D384&lt;0,E384&lt;0),"Contraction",
  AND(D384&gt;0,E384&lt;0),"Recovery",
  TRUE,"Undefined"
)</f>
        <v>Expansion</v>
      </c>
      <c r="Q384" t="str">
        <f t="shared" si="55"/>
        <v>Expansion</v>
      </c>
      <c r="R384">
        <f t="shared" si="49"/>
        <v>1</v>
      </c>
      <c r="S384">
        <f t="shared" si="50"/>
        <v>1</v>
      </c>
      <c r="T384">
        <f t="shared" si="51"/>
        <v>1</v>
      </c>
      <c r="U384">
        <f t="shared" si="52"/>
        <v>1</v>
      </c>
      <c r="V384" t="str" cm="1">
        <f t="array" ref="V384">_xlfn.IFS(
  AND(S384&gt;0,U384&gt;0),"Expansion",
  AND(S384&lt;0,U384&gt;0),"Slowdown",
  AND(S384&lt;0,U384&lt;0),"Contraction",
  AND(S384&gt;0,U384&lt;0),"Recovery",
  TRUE,"Undefined"
)</f>
        <v>Expansion</v>
      </c>
      <c r="W384">
        <f t="shared" si="53"/>
        <v>0</v>
      </c>
      <c r="X384">
        <f t="shared" si="54"/>
        <v>0</v>
      </c>
      <c r="Y384">
        <v>0</v>
      </c>
    </row>
    <row r="385" spans="1:25" x14ac:dyDescent="0.35">
      <c r="A385" s="1">
        <f>Data!A385</f>
        <v>28825</v>
      </c>
      <c r="B385" s="2">
        <f>IFERROR((Data!B385/Data!B384-1)*100,"")</f>
        <v>0.59259259259261121</v>
      </c>
      <c r="C385" s="2">
        <f>IFERROR((Data!C385/Data!C384-1)*100,"")</f>
        <v>0.49872801124459798</v>
      </c>
      <c r="D385">
        <f t="shared" si="47"/>
        <v>0.6734108306111356</v>
      </c>
      <c r="E385">
        <f t="shared" si="48"/>
        <v>0.69699113932649348</v>
      </c>
      <c r="P385" t="str" cm="1">
        <f t="array" ref="P385">_xlfn.IFS(
  AND(D385&gt;0,E385&gt;0),"Expansion",
  AND(D385&lt;0,E385&gt;0),"Slowdown",
  AND(D385&lt;0,E385&lt;0),"Contraction",
  AND(D385&gt;0,E385&lt;0),"Recovery",
  TRUE,"Undefined"
)</f>
        <v>Expansion</v>
      </c>
      <c r="Q385" t="str">
        <f t="shared" si="55"/>
        <v>Expansion</v>
      </c>
      <c r="R385">
        <f t="shared" si="49"/>
        <v>1</v>
      </c>
      <c r="S385">
        <f t="shared" si="50"/>
        <v>1</v>
      </c>
      <c r="T385">
        <f t="shared" si="51"/>
        <v>1</v>
      </c>
      <c r="U385">
        <f t="shared" si="52"/>
        <v>1</v>
      </c>
      <c r="V385" t="str" cm="1">
        <f t="array" ref="V385">_xlfn.IFS(
  AND(S385&gt;0,U385&gt;0),"Expansion",
  AND(S385&lt;0,U385&gt;0),"Slowdown",
  AND(S385&lt;0,U385&lt;0),"Contraction",
  AND(S385&gt;0,U385&lt;0),"Recovery",
  TRUE,"Undefined"
)</f>
        <v>Expansion</v>
      </c>
      <c r="W385">
        <f t="shared" si="53"/>
        <v>0</v>
      </c>
      <c r="X385">
        <f t="shared" si="54"/>
        <v>0</v>
      </c>
      <c r="Y385">
        <v>0</v>
      </c>
    </row>
    <row r="386" spans="1:25" x14ac:dyDescent="0.35">
      <c r="A386" s="1">
        <f>Data!A386</f>
        <v>28856</v>
      </c>
      <c r="B386" s="2">
        <f>IFERROR((Data!B386/Data!B385-1)*100,"")</f>
        <v>0.88365243004417948</v>
      </c>
      <c r="C386" s="2">
        <f>IFERROR((Data!C386/Data!C385-1)*100,"")</f>
        <v>-0.5417172359321043</v>
      </c>
      <c r="D386">
        <f t="shared" si="47"/>
        <v>0.24287642071995444</v>
      </c>
      <c r="E386">
        <f t="shared" si="48"/>
        <v>0.69079006964197409</v>
      </c>
      <c r="P386" t="str" cm="1">
        <f t="array" ref="P386">_xlfn.IFS(
  AND(D386&gt;0,E386&gt;0),"Expansion",
  AND(D386&lt;0,E386&gt;0),"Slowdown",
  AND(D386&lt;0,E386&lt;0),"Contraction",
  AND(D386&gt;0,E386&lt;0),"Recovery",
  TRUE,"Undefined"
)</f>
        <v>Expansion</v>
      </c>
      <c r="Q386" t="str">
        <f t="shared" si="55"/>
        <v>Expansion</v>
      </c>
      <c r="R386">
        <f t="shared" si="49"/>
        <v>1</v>
      </c>
      <c r="S386">
        <f t="shared" si="50"/>
        <v>1</v>
      </c>
      <c r="T386">
        <f t="shared" si="51"/>
        <v>1</v>
      </c>
      <c r="U386">
        <f t="shared" si="52"/>
        <v>1</v>
      </c>
      <c r="V386" t="str" cm="1">
        <f t="array" ref="V386">_xlfn.IFS(
  AND(S386&gt;0,U386&gt;0),"Expansion",
  AND(S386&lt;0,U386&gt;0),"Slowdown",
  AND(S386&lt;0,U386&lt;0),"Contraction",
  AND(S386&gt;0,U386&lt;0),"Recovery",
  TRUE,"Undefined"
)</f>
        <v>Expansion</v>
      </c>
      <c r="W386">
        <f t="shared" si="53"/>
        <v>0</v>
      </c>
      <c r="X386">
        <f t="shared" si="54"/>
        <v>0</v>
      </c>
      <c r="Y386">
        <v>0</v>
      </c>
    </row>
    <row r="387" spans="1:25" x14ac:dyDescent="0.35">
      <c r="A387" s="1">
        <f>Data!A387</f>
        <v>28887</v>
      </c>
      <c r="B387" s="2">
        <f>IFERROR((Data!B387/Data!B386-1)*100,"")</f>
        <v>1.0218978102189746</v>
      </c>
      <c r="C387" s="2">
        <f>IFERROR((Data!C387/Data!C386-1)*100,"")</f>
        <v>0.47919919113346143</v>
      </c>
      <c r="D387">
        <f t="shared" si="47"/>
        <v>0.1454033221486517</v>
      </c>
      <c r="E387">
        <f t="shared" si="48"/>
        <v>0.83271427761858841</v>
      </c>
      <c r="P387" t="str" cm="1">
        <f t="array" ref="P387">_xlfn.IFS(
  AND(D387&gt;0,E387&gt;0),"Expansion",
  AND(D387&lt;0,E387&gt;0),"Slowdown",
  AND(D387&lt;0,E387&lt;0),"Contraction",
  AND(D387&gt;0,E387&lt;0),"Recovery",
  TRUE,"Undefined"
)</f>
        <v>Expansion</v>
      </c>
      <c r="Q387" t="str">
        <f t="shared" si="55"/>
        <v>Expansion</v>
      </c>
      <c r="R387">
        <f t="shared" si="49"/>
        <v>1</v>
      </c>
      <c r="S387">
        <f t="shared" si="50"/>
        <v>1</v>
      </c>
      <c r="T387">
        <f t="shared" si="51"/>
        <v>1</v>
      </c>
      <c r="U387">
        <f t="shared" si="52"/>
        <v>1</v>
      </c>
      <c r="V387" t="str" cm="1">
        <f t="array" ref="V387">_xlfn.IFS(
  AND(S387&gt;0,U387&gt;0),"Expansion",
  AND(S387&lt;0,U387&gt;0),"Slowdown",
  AND(S387&lt;0,U387&lt;0),"Contraction",
  AND(S387&gt;0,U387&lt;0),"Recovery",
  TRUE,"Undefined"
)</f>
        <v>Expansion</v>
      </c>
      <c r="W387">
        <f t="shared" si="53"/>
        <v>0</v>
      </c>
      <c r="X387">
        <f t="shared" si="54"/>
        <v>0</v>
      </c>
      <c r="Y387">
        <v>0</v>
      </c>
    </row>
    <row r="388" spans="1:25" x14ac:dyDescent="0.35">
      <c r="A388" s="1">
        <f>Data!A388</f>
        <v>28915</v>
      </c>
      <c r="B388" s="2">
        <f>IFERROR((Data!B388/Data!B387-1)*100,"")</f>
        <v>1.0115606936416333</v>
      </c>
      <c r="C388" s="2">
        <f>IFERROR((Data!C388/Data!C387-1)*100,"")</f>
        <v>0.32655295786812033</v>
      </c>
      <c r="D388">
        <f t="shared" si="47"/>
        <v>8.8011637689825825E-2</v>
      </c>
      <c r="E388">
        <f t="shared" si="48"/>
        <v>0.97237031130159579</v>
      </c>
      <c r="P388" t="str" cm="1">
        <f t="array" ref="P388">_xlfn.IFS(
  AND(D388&gt;0,E388&gt;0),"Expansion",
  AND(D388&lt;0,E388&gt;0),"Slowdown",
  AND(D388&lt;0,E388&lt;0),"Contraction",
  AND(D388&gt;0,E388&lt;0),"Recovery",
  TRUE,"Undefined"
)</f>
        <v>Expansion</v>
      </c>
      <c r="Q388" t="str">
        <f t="shared" si="55"/>
        <v>Expansion</v>
      </c>
      <c r="R388">
        <f t="shared" si="49"/>
        <v>1</v>
      </c>
      <c r="S388">
        <f t="shared" si="50"/>
        <v>1</v>
      </c>
      <c r="T388">
        <f t="shared" si="51"/>
        <v>1</v>
      </c>
      <c r="U388">
        <f t="shared" si="52"/>
        <v>1</v>
      </c>
      <c r="V388" t="str" cm="1">
        <f t="array" ref="V388">_xlfn.IFS(
  AND(S388&gt;0,U388&gt;0),"Expansion",
  AND(S388&lt;0,U388&gt;0),"Slowdown",
  AND(S388&lt;0,U388&lt;0),"Contraction",
  AND(S388&gt;0,U388&lt;0),"Recovery",
  TRUE,"Undefined"
)</f>
        <v>Expansion</v>
      </c>
      <c r="W388">
        <f t="shared" si="53"/>
        <v>0</v>
      </c>
      <c r="X388">
        <f t="shared" si="54"/>
        <v>0</v>
      </c>
      <c r="Y388">
        <v>0</v>
      </c>
    </row>
    <row r="389" spans="1:25" x14ac:dyDescent="0.35">
      <c r="A389" s="1">
        <f>Data!A389</f>
        <v>28946</v>
      </c>
      <c r="B389" s="2">
        <f>IFERROR((Data!B389/Data!B388-1)*100,"")</f>
        <v>1.0014306151645114</v>
      </c>
      <c r="C389" s="2">
        <f>IFERROR((Data!C389/Data!C388-1)*100,"")</f>
        <v>-1.2014695088443439</v>
      </c>
      <c r="D389">
        <f t="shared" ref="D389:D452" si="56">SUM(C387:C389)/3</f>
        <v>-0.13190578661425403</v>
      </c>
      <c r="E389">
        <f t="shared" ref="E389:E452" si="57">SUM(B387:B389)/3</f>
        <v>1.0116297063417063</v>
      </c>
      <c r="P389" t="str" cm="1">
        <f t="array" ref="P389">_xlfn.IFS(
  AND(D389&gt;0,E389&gt;0),"Expansion",
  AND(D389&lt;0,E389&gt;0),"Slowdown",
  AND(D389&lt;0,E389&lt;0),"Contraction",
  AND(D389&gt;0,E389&lt;0),"Recovery",
  TRUE,"Undefined"
)</f>
        <v>Slowdown</v>
      </c>
      <c r="Q389" t="str">
        <f t="shared" si="55"/>
        <v>Expansion</v>
      </c>
      <c r="R389">
        <f t="shared" si="49"/>
        <v>1</v>
      </c>
      <c r="S389">
        <f t="shared" si="50"/>
        <v>1</v>
      </c>
      <c r="T389">
        <f t="shared" si="51"/>
        <v>1</v>
      </c>
      <c r="U389">
        <f t="shared" si="52"/>
        <v>1</v>
      </c>
      <c r="V389" t="str" cm="1">
        <f t="array" ref="V389">_xlfn.IFS(
  AND(S389&gt;0,U389&gt;0),"Expansion",
  AND(S389&lt;0,U389&gt;0),"Slowdown",
  AND(S389&lt;0,U389&lt;0),"Contraction",
  AND(S389&gt;0,U389&lt;0),"Recovery",
  TRUE,"Undefined"
)</f>
        <v>Expansion</v>
      </c>
      <c r="W389">
        <f t="shared" si="53"/>
        <v>0</v>
      </c>
      <c r="X389">
        <f t="shared" si="54"/>
        <v>0</v>
      </c>
      <c r="Y389">
        <v>0</v>
      </c>
    </row>
    <row r="390" spans="1:25" x14ac:dyDescent="0.35">
      <c r="A390" s="1">
        <f>Data!A390</f>
        <v>28976</v>
      </c>
      <c r="B390" s="2">
        <f>IFERROR((Data!B390/Data!B389-1)*100,"")</f>
        <v>1.1331444759206999</v>
      </c>
      <c r="C390" s="2">
        <f>IFERROR((Data!C390/Data!C389-1)*100,"")</f>
        <v>0.90685793077696086</v>
      </c>
      <c r="D390">
        <f t="shared" si="56"/>
        <v>1.0647126600245768E-2</v>
      </c>
      <c r="E390">
        <f t="shared" si="57"/>
        <v>1.0487119282422814</v>
      </c>
      <c r="P390" t="str" cm="1">
        <f t="array" ref="P390">_xlfn.IFS(
  AND(D390&gt;0,E390&gt;0),"Expansion",
  AND(D390&lt;0,E390&gt;0),"Slowdown",
  AND(D390&lt;0,E390&lt;0),"Contraction",
  AND(D390&gt;0,E390&lt;0),"Recovery",
  TRUE,"Undefined"
)</f>
        <v>Expansion</v>
      </c>
      <c r="Q390" t="str">
        <f t="shared" si="55"/>
        <v>Expansion</v>
      </c>
      <c r="R390">
        <f t="shared" ref="R390:R453" si="58">IF(D390&gt;-0.26, 1, -1)</f>
        <v>1</v>
      </c>
      <c r="S390">
        <f t="shared" ref="S390:S453" si="59">IF(R390=1, IF(D390 &lt; -$L$5, -1, 1), IF(D390 &gt; $L$5, 1, -1))</f>
        <v>1</v>
      </c>
      <c r="T390">
        <f t="shared" ref="T390:T453" si="60">IF(E390&gt;0, 1, -1)</f>
        <v>1</v>
      </c>
      <c r="U390">
        <f t="shared" ref="U390:U453" si="61">IF(T390=1, IF(E390 &lt; -$M$5, -1, 1), IF(E390 &gt; $M$5, 1, -1))</f>
        <v>1</v>
      </c>
      <c r="V390" t="str" cm="1">
        <f t="array" ref="V390">_xlfn.IFS(
  AND(S390&gt;0,U390&gt;0),"Expansion",
  AND(S390&lt;0,U390&gt;0),"Slowdown",
  AND(S390&lt;0,U390&lt;0),"Contraction",
  AND(S390&gt;0,U390&lt;0),"Recovery",
  TRUE,"Undefined"
)</f>
        <v>Expansion</v>
      </c>
      <c r="W390">
        <f t="shared" ref="W390:W453" si="62">IF(Q390="Contraction", 1, 0)</f>
        <v>0</v>
      </c>
      <c r="X390">
        <f t="shared" ref="X390:X453" si="63">IF(V390="Contraction", 1, 0)</f>
        <v>0</v>
      </c>
      <c r="Y390">
        <v>0</v>
      </c>
    </row>
    <row r="391" spans="1:25" x14ac:dyDescent="0.35">
      <c r="A391" s="1">
        <f>Data!A391</f>
        <v>29007</v>
      </c>
      <c r="B391" s="2">
        <f>IFERROR((Data!B391/Data!B390-1)*100,"")</f>
        <v>1.1204481792717047</v>
      </c>
      <c r="C391" s="2">
        <f>IFERROR((Data!C391/Data!C390-1)*100,"")</f>
        <v>2.1007755523694271E-2</v>
      </c>
      <c r="D391">
        <f t="shared" si="56"/>
        <v>-9.1201274181229586E-2</v>
      </c>
      <c r="E391">
        <f t="shared" si="57"/>
        <v>1.0850077567856387</v>
      </c>
      <c r="P391" t="str" cm="1">
        <f t="array" ref="P391">_xlfn.IFS(
  AND(D391&gt;0,E391&gt;0),"Expansion",
  AND(D391&lt;0,E391&gt;0),"Slowdown",
  AND(D391&lt;0,E391&lt;0),"Contraction",
  AND(D391&gt;0,E391&lt;0),"Recovery",
  TRUE,"Undefined"
)</f>
        <v>Slowdown</v>
      </c>
      <c r="Q391" t="str">
        <f t="shared" si="55"/>
        <v>Expansion</v>
      </c>
      <c r="R391">
        <f t="shared" si="58"/>
        <v>1</v>
      </c>
      <c r="S391">
        <f t="shared" si="59"/>
        <v>1</v>
      </c>
      <c r="T391">
        <f t="shared" si="60"/>
        <v>1</v>
      </c>
      <c r="U391">
        <f t="shared" si="61"/>
        <v>1</v>
      </c>
      <c r="V391" t="str" cm="1">
        <f t="array" ref="V391">_xlfn.IFS(
  AND(S391&gt;0,U391&gt;0),"Expansion",
  AND(S391&lt;0,U391&gt;0),"Slowdown",
  AND(S391&lt;0,U391&lt;0),"Contraction",
  AND(S391&gt;0,U391&lt;0),"Recovery",
  TRUE,"Undefined"
)</f>
        <v>Expansion</v>
      </c>
      <c r="W391">
        <f t="shared" si="62"/>
        <v>0</v>
      </c>
      <c r="X391">
        <f t="shared" si="63"/>
        <v>0</v>
      </c>
      <c r="Y391">
        <v>0</v>
      </c>
    </row>
    <row r="392" spans="1:25" x14ac:dyDescent="0.35">
      <c r="A392" s="1">
        <f>Data!A392</f>
        <v>29037</v>
      </c>
      <c r="B392" s="2">
        <f>IFERROR((Data!B392/Data!B391-1)*100,"")</f>
        <v>1.1080332409972193</v>
      </c>
      <c r="C392" s="2">
        <f>IFERROR((Data!C392/Data!C391-1)*100,"")</f>
        <v>-0.1672559806538132</v>
      </c>
      <c r="D392">
        <f t="shared" si="56"/>
        <v>0.25353656854894729</v>
      </c>
      <c r="E392">
        <f t="shared" si="57"/>
        <v>1.1205419653965414</v>
      </c>
      <c r="P392" t="str" cm="1">
        <f t="array" ref="P392">_xlfn.IFS(
  AND(D392&gt;0,E392&gt;0),"Expansion",
  AND(D392&lt;0,E392&gt;0),"Slowdown",
  AND(D392&lt;0,E392&lt;0),"Contraction",
  AND(D392&gt;0,E392&lt;0),"Recovery",
  TRUE,"Undefined"
)</f>
        <v>Expansion</v>
      </c>
      <c r="Q392" t="str">
        <f t="shared" ref="Q392:Q455" si="64">IF(AND(P392=P391, P391=P390), P392, Q391)</f>
        <v>Expansion</v>
      </c>
      <c r="R392">
        <f t="shared" si="58"/>
        <v>1</v>
      </c>
      <c r="S392">
        <f t="shared" si="59"/>
        <v>1</v>
      </c>
      <c r="T392">
        <f t="shared" si="60"/>
        <v>1</v>
      </c>
      <c r="U392">
        <f t="shared" si="61"/>
        <v>1</v>
      </c>
      <c r="V392" t="str" cm="1">
        <f t="array" ref="V392">_xlfn.IFS(
  AND(S392&gt;0,U392&gt;0),"Expansion",
  AND(S392&lt;0,U392&gt;0),"Slowdown",
  AND(S392&lt;0,U392&lt;0),"Contraction",
  AND(S392&gt;0,U392&lt;0),"Recovery",
  TRUE,"Undefined"
)</f>
        <v>Expansion</v>
      </c>
      <c r="W392">
        <f t="shared" si="62"/>
        <v>0</v>
      </c>
      <c r="X392">
        <f t="shared" si="63"/>
        <v>0</v>
      </c>
      <c r="Y392">
        <v>0</v>
      </c>
    </row>
    <row r="393" spans="1:25" x14ac:dyDescent="0.35">
      <c r="A393" s="1">
        <f>Data!A393</f>
        <v>29068</v>
      </c>
      <c r="B393" s="2">
        <f>IFERROR((Data!B393/Data!B392-1)*100,"")</f>
        <v>0.95890410958905381</v>
      </c>
      <c r="C393" s="2">
        <f>IFERROR((Data!C393/Data!C392-1)*100,"")</f>
        <v>-0.65875695091844877</v>
      </c>
      <c r="D393">
        <f t="shared" si="56"/>
        <v>-0.2683350586828559</v>
      </c>
      <c r="E393">
        <f t="shared" si="57"/>
        <v>1.0624618432859927</v>
      </c>
      <c r="P393" t="str" cm="1">
        <f t="array" ref="P393">_xlfn.IFS(
  AND(D393&gt;0,E393&gt;0),"Expansion",
  AND(D393&lt;0,E393&gt;0),"Slowdown",
  AND(D393&lt;0,E393&lt;0),"Contraction",
  AND(D393&gt;0,E393&lt;0),"Recovery",
  TRUE,"Undefined"
)</f>
        <v>Slowdown</v>
      </c>
      <c r="Q393" t="str">
        <f t="shared" si="64"/>
        <v>Expansion</v>
      </c>
      <c r="R393">
        <f t="shared" si="58"/>
        <v>-1</v>
      </c>
      <c r="S393">
        <f t="shared" si="59"/>
        <v>-1</v>
      </c>
      <c r="T393">
        <f t="shared" si="60"/>
        <v>1</v>
      </c>
      <c r="U393">
        <f t="shared" si="61"/>
        <v>1</v>
      </c>
      <c r="V393" t="str" cm="1">
        <f t="array" ref="V393">_xlfn.IFS(
  AND(S393&gt;0,U393&gt;0),"Expansion",
  AND(S393&lt;0,U393&gt;0),"Slowdown",
  AND(S393&lt;0,U393&lt;0),"Contraction",
  AND(S393&gt;0,U393&lt;0),"Recovery",
  TRUE,"Undefined"
)</f>
        <v>Slowdown</v>
      </c>
      <c r="W393">
        <f t="shared" si="62"/>
        <v>0</v>
      </c>
      <c r="X393">
        <f t="shared" si="63"/>
        <v>0</v>
      </c>
      <c r="Y393">
        <v>0</v>
      </c>
    </row>
    <row r="394" spans="1:25" x14ac:dyDescent="0.35">
      <c r="A394" s="1">
        <f>Data!A394</f>
        <v>29099</v>
      </c>
      <c r="B394" s="2">
        <f>IFERROR((Data!B394/Data!B393-1)*100,"")</f>
        <v>0.94979647218453866</v>
      </c>
      <c r="C394" s="2">
        <f>IFERROR((Data!C394/Data!C393-1)*100,"")</f>
        <v>-1.6903575786320069E-2</v>
      </c>
      <c r="D394">
        <f t="shared" si="56"/>
        <v>-0.28097216911952733</v>
      </c>
      <c r="E394">
        <f t="shared" si="57"/>
        <v>1.0055779409236039</v>
      </c>
      <c r="P394" t="str" cm="1">
        <f t="array" ref="P394">_xlfn.IFS(
  AND(D394&gt;0,E394&gt;0),"Expansion",
  AND(D394&lt;0,E394&gt;0),"Slowdown",
  AND(D394&lt;0,E394&lt;0),"Contraction",
  AND(D394&gt;0,E394&lt;0),"Recovery",
  TRUE,"Undefined"
)</f>
        <v>Slowdown</v>
      </c>
      <c r="Q394" t="str">
        <f t="shared" si="64"/>
        <v>Expansion</v>
      </c>
      <c r="R394">
        <f t="shared" si="58"/>
        <v>-1</v>
      </c>
      <c r="S394">
        <f t="shared" si="59"/>
        <v>-1</v>
      </c>
      <c r="T394">
        <f t="shared" si="60"/>
        <v>1</v>
      </c>
      <c r="U394">
        <f t="shared" si="61"/>
        <v>1</v>
      </c>
      <c r="V394" t="str" cm="1">
        <f t="array" ref="V394">_xlfn.IFS(
  AND(S394&gt;0,U394&gt;0),"Expansion",
  AND(S394&lt;0,U394&gt;0),"Slowdown",
  AND(S394&lt;0,U394&lt;0),"Contraction",
  AND(S394&gt;0,U394&lt;0),"Recovery",
  TRUE,"Undefined"
)</f>
        <v>Slowdown</v>
      </c>
      <c r="W394">
        <f t="shared" si="62"/>
        <v>0</v>
      </c>
      <c r="X394">
        <f t="shared" si="63"/>
        <v>0</v>
      </c>
      <c r="Y394">
        <v>0</v>
      </c>
    </row>
    <row r="395" spans="1:25" x14ac:dyDescent="0.35">
      <c r="A395" s="1">
        <f>Data!A395</f>
        <v>29129</v>
      </c>
      <c r="B395" s="2">
        <f>IFERROR((Data!B395/Data!B394-1)*100,"")</f>
        <v>1.0752688172043001</v>
      </c>
      <c r="C395" s="2">
        <f>IFERROR((Data!C395/Data!C394-1)*100,"")</f>
        <v>0.72619933656823399</v>
      </c>
      <c r="D395">
        <f t="shared" si="56"/>
        <v>1.6846269954488385E-2</v>
      </c>
      <c r="E395">
        <f t="shared" si="57"/>
        <v>0.99465646632596416</v>
      </c>
      <c r="P395" t="str" cm="1">
        <f t="array" ref="P395">_xlfn.IFS(
  AND(D395&gt;0,E395&gt;0),"Expansion",
  AND(D395&lt;0,E395&gt;0),"Slowdown",
  AND(D395&lt;0,E395&lt;0),"Contraction",
  AND(D395&gt;0,E395&lt;0),"Recovery",
  TRUE,"Undefined"
)</f>
        <v>Expansion</v>
      </c>
      <c r="Q395" t="str">
        <f t="shared" si="64"/>
        <v>Expansion</v>
      </c>
      <c r="R395">
        <f t="shared" si="58"/>
        <v>1</v>
      </c>
      <c r="S395">
        <f t="shared" si="59"/>
        <v>1</v>
      </c>
      <c r="T395">
        <f t="shared" si="60"/>
        <v>1</v>
      </c>
      <c r="U395">
        <f t="shared" si="61"/>
        <v>1</v>
      </c>
      <c r="V395" t="str" cm="1">
        <f t="array" ref="V395">_xlfn.IFS(
  AND(S395&gt;0,U395&gt;0),"Expansion",
  AND(S395&lt;0,U395&gt;0),"Slowdown",
  AND(S395&lt;0,U395&lt;0),"Contraction",
  AND(S395&gt;0,U395&lt;0),"Recovery",
  TRUE,"Undefined"
)</f>
        <v>Expansion</v>
      </c>
      <c r="W395">
        <f t="shared" si="62"/>
        <v>0</v>
      </c>
      <c r="X395">
        <f t="shared" si="63"/>
        <v>0</v>
      </c>
      <c r="Y395">
        <v>0</v>
      </c>
    </row>
    <row r="396" spans="1:25" x14ac:dyDescent="0.35">
      <c r="A396" s="1">
        <f>Data!A396</f>
        <v>29160</v>
      </c>
      <c r="B396" s="2">
        <f>IFERROR((Data!B396/Data!B395-1)*100,"")</f>
        <v>1.0638297872340496</v>
      </c>
      <c r="C396" s="2">
        <f>IFERROR((Data!C396/Data!C395-1)*100,"")</f>
        <v>-0.15491941489462757</v>
      </c>
      <c r="D396">
        <f t="shared" si="56"/>
        <v>0.18479211529576212</v>
      </c>
      <c r="E396">
        <f t="shared" si="57"/>
        <v>1.0296316922076294</v>
      </c>
      <c r="P396" t="str" cm="1">
        <f t="array" ref="P396">_xlfn.IFS(
  AND(D396&gt;0,E396&gt;0),"Expansion",
  AND(D396&lt;0,E396&gt;0),"Slowdown",
  AND(D396&lt;0,E396&lt;0),"Contraction",
  AND(D396&gt;0,E396&lt;0),"Recovery",
  TRUE,"Undefined"
)</f>
        <v>Expansion</v>
      </c>
      <c r="Q396" t="str">
        <f t="shared" si="64"/>
        <v>Expansion</v>
      </c>
      <c r="R396">
        <f t="shared" si="58"/>
        <v>1</v>
      </c>
      <c r="S396">
        <f t="shared" si="59"/>
        <v>1</v>
      </c>
      <c r="T396">
        <f t="shared" si="60"/>
        <v>1</v>
      </c>
      <c r="U396">
        <f t="shared" si="61"/>
        <v>1</v>
      </c>
      <c r="V396" t="str" cm="1">
        <f t="array" ref="V396">_xlfn.IFS(
  AND(S396&gt;0,U396&gt;0),"Expansion",
  AND(S396&lt;0,U396&gt;0),"Slowdown",
  AND(S396&lt;0,U396&lt;0),"Contraction",
  AND(S396&gt;0,U396&lt;0),"Recovery",
  TRUE,"Undefined"
)</f>
        <v>Expansion</v>
      </c>
      <c r="W396">
        <f t="shared" si="62"/>
        <v>0</v>
      </c>
      <c r="X396">
        <f t="shared" si="63"/>
        <v>0</v>
      </c>
      <c r="Y396">
        <v>0</v>
      </c>
    </row>
    <row r="397" spans="1:25" x14ac:dyDescent="0.35">
      <c r="A397" s="1">
        <f>Data!A397</f>
        <v>29190</v>
      </c>
      <c r="B397" s="2">
        <f>IFERROR((Data!B397/Data!B396-1)*100,"")</f>
        <v>1.1842105263157876</v>
      </c>
      <c r="C397" s="2">
        <f>IFERROR((Data!C397/Data!C396-1)*100,"")</f>
        <v>6.7049123627360707E-2</v>
      </c>
      <c r="D397">
        <f t="shared" si="56"/>
        <v>0.2127763484336557</v>
      </c>
      <c r="E397">
        <f t="shared" si="57"/>
        <v>1.107769710251379</v>
      </c>
      <c r="P397" t="str" cm="1">
        <f t="array" ref="P397">_xlfn.IFS(
  AND(D397&gt;0,E397&gt;0),"Expansion",
  AND(D397&lt;0,E397&gt;0),"Slowdown",
  AND(D397&lt;0,E397&lt;0),"Contraction",
  AND(D397&gt;0,E397&lt;0),"Recovery",
  TRUE,"Undefined"
)</f>
        <v>Expansion</v>
      </c>
      <c r="Q397" t="str">
        <f t="shared" si="64"/>
        <v>Expansion</v>
      </c>
      <c r="R397">
        <f t="shared" si="58"/>
        <v>1</v>
      </c>
      <c r="S397">
        <f t="shared" si="59"/>
        <v>1</v>
      </c>
      <c r="T397">
        <f t="shared" si="60"/>
        <v>1</v>
      </c>
      <c r="U397">
        <f t="shared" si="61"/>
        <v>1</v>
      </c>
      <c r="V397" t="str" cm="1">
        <f t="array" ref="V397">_xlfn.IFS(
  AND(S397&gt;0,U397&gt;0),"Expansion",
  AND(S397&lt;0,U397&gt;0),"Slowdown",
  AND(S397&lt;0,U397&lt;0),"Contraction",
  AND(S397&gt;0,U397&lt;0),"Recovery",
  TRUE,"Undefined"
)</f>
        <v>Expansion</v>
      </c>
      <c r="W397">
        <f t="shared" si="62"/>
        <v>0</v>
      </c>
      <c r="X397">
        <f t="shared" si="63"/>
        <v>0</v>
      </c>
      <c r="Y397">
        <v>0</v>
      </c>
    </row>
    <row r="398" spans="1:25" x14ac:dyDescent="0.35">
      <c r="A398" s="1">
        <f>Data!A398</f>
        <v>29221</v>
      </c>
      <c r="B398" s="2">
        <f>IFERROR((Data!B398/Data!B397-1)*100,"")</f>
        <v>1.4304291287386084</v>
      </c>
      <c r="C398" s="2">
        <f>IFERROR((Data!C398/Data!C397-1)*100,"")</f>
        <v>0.54086097497867414</v>
      </c>
      <c r="D398">
        <f t="shared" si="56"/>
        <v>0.15099689457046908</v>
      </c>
      <c r="E398">
        <f t="shared" si="57"/>
        <v>1.2261564807628151</v>
      </c>
      <c r="P398" t="str" cm="1">
        <f t="array" ref="P398">_xlfn.IFS(
  AND(D398&gt;0,E398&gt;0),"Expansion",
  AND(D398&lt;0,E398&gt;0),"Slowdown",
  AND(D398&lt;0,E398&lt;0),"Contraction",
  AND(D398&gt;0,E398&lt;0),"Recovery",
  TRUE,"Undefined"
)</f>
        <v>Expansion</v>
      </c>
      <c r="Q398" t="str">
        <f t="shared" si="64"/>
        <v>Expansion</v>
      </c>
      <c r="R398">
        <f t="shared" si="58"/>
        <v>1</v>
      </c>
      <c r="S398">
        <f t="shared" si="59"/>
        <v>1</v>
      </c>
      <c r="T398">
        <f t="shared" si="60"/>
        <v>1</v>
      </c>
      <c r="U398">
        <f t="shared" si="61"/>
        <v>1</v>
      </c>
      <c r="V398" t="str" cm="1">
        <f t="array" ref="V398">_xlfn.IFS(
  AND(S398&gt;0,U398&gt;0),"Expansion",
  AND(S398&lt;0,U398&gt;0),"Slowdown",
  AND(S398&lt;0,U398&lt;0),"Contraction",
  AND(S398&gt;0,U398&lt;0),"Recovery",
  TRUE,"Undefined"
)</f>
        <v>Expansion</v>
      </c>
      <c r="W398">
        <f t="shared" si="62"/>
        <v>0</v>
      </c>
      <c r="X398">
        <f t="shared" si="63"/>
        <v>0</v>
      </c>
      <c r="Y398">
        <v>0</v>
      </c>
    </row>
    <row r="399" spans="1:25" x14ac:dyDescent="0.35">
      <c r="A399" s="1">
        <f>Data!A399</f>
        <v>29252</v>
      </c>
      <c r="B399" s="2">
        <f>IFERROR((Data!B399/Data!B398-1)*100,"")</f>
        <v>1.2820512820512775</v>
      </c>
      <c r="C399" s="2">
        <f>IFERROR((Data!C399/Data!C398-1)*100,"")</f>
        <v>2.7080024352810206E-2</v>
      </c>
      <c r="D399">
        <f t="shared" si="56"/>
        <v>0.21166337431961502</v>
      </c>
      <c r="E399">
        <f t="shared" si="57"/>
        <v>1.2988969790352245</v>
      </c>
      <c r="P399" t="str" cm="1">
        <f t="array" ref="P399">_xlfn.IFS(
  AND(D399&gt;0,E399&gt;0),"Expansion",
  AND(D399&lt;0,E399&gt;0),"Slowdown",
  AND(D399&lt;0,E399&lt;0),"Contraction",
  AND(D399&gt;0,E399&lt;0),"Recovery",
  TRUE,"Undefined"
)</f>
        <v>Expansion</v>
      </c>
      <c r="Q399" t="str">
        <f t="shared" si="64"/>
        <v>Expansion</v>
      </c>
      <c r="R399">
        <f t="shared" si="58"/>
        <v>1</v>
      </c>
      <c r="S399">
        <f t="shared" si="59"/>
        <v>1</v>
      </c>
      <c r="T399">
        <f t="shared" si="60"/>
        <v>1</v>
      </c>
      <c r="U399">
        <f t="shared" si="61"/>
        <v>1</v>
      </c>
      <c r="V399" t="str" cm="1">
        <f t="array" ref="V399">_xlfn.IFS(
  AND(S399&gt;0,U399&gt;0),"Expansion",
  AND(S399&lt;0,U399&gt;0),"Slowdown",
  AND(S399&lt;0,U399&lt;0),"Contraction",
  AND(S399&gt;0,U399&lt;0),"Recovery",
  TRUE,"Undefined"
)</f>
        <v>Expansion</v>
      </c>
      <c r="W399">
        <f t="shared" si="62"/>
        <v>0</v>
      </c>
      <c r="X399">
        <f t="shared" si="63"/>
        <v>0</v>
      </c>
      <c r="Y399">
        <v>1</v>
      </c>
    </row>
    <row r="400" spans="1:25" x14ac:dyDescent="0.35">
      <c r="A400" s="1">
        <f>Data!A400</f>
        <v>29281</v>
      </c>
      <c r="B400" s="2">
        <f>IFERROR((Data!B400/Data!B399-1)*100,"")</f>
        <v>1.3924050632911245</v>
      </c>
      <c r="C400" s="2">
        <f>IFERROR((Data!C400/Data!C399-1)*100,"")</f>
        <v>-0.40705042049077322</v>
      </c>
      <c r="D400">
        <f t="shared" si="56"/>
        <v>5.3630192946903708E-2</v>
      </c>
      <c r="E400">
        <f t="shared" si="57"/>
        <v>1.3682951580270035</v>
      </c>
      <c r="P400" t="str" cm="1">
        <f t="array" ref="P400">_xlfn.IFS(
  AND(D400&gt;0,E400&gt;0),"Expansion",
  AND(D400&lt;0,E400&gt;0),"Slowdown",
  AND(D400&lt;0,E400&lt;0),"Contraction",
  AND(D400&gt;0,E400&lt;0),"Recovery",
  TRUE,"Undefined"
)</f>
        <v>Expansion</v>
      </c>
      <c r="Q400" t="str">
        <f t="shared" si="64"/>
        <v>Expansion</v>
      </c>
      <c r="R400">
        <f t="shared" si="58"/>
        <v>1</v>
      </c>
      <c r="S400">
        <f t="shared" si="59"/>
        <v>1</v>
      </c>
      <c r="T400">
        <f t="shared" si="60"/>
        <v>1</v>
      </c>
      <c r="U400">
        <f t="shared" si="61"/>
        <v>1</v>
      </c>
      <c r="V400" t="str" cm="1">
        <f t="array" ref="V400">_xlfn.IFS(
  AND(S400&gt;0,U400&gt;0),"Expansion",
  AND(S400&lt;0,U400&gt;0),"Slowdown",
  AND(S400&lt;0,U400&lt;0),"Contraction",
  AND(S400&gt;0,U400&lt;0),"Recovery",
  TRUE,"Undefined"
)</f>
        <v>Expansion</v>
      </c>
      <c r="W400">
        <f t="shared" si="62"/>
        <v>0</v>
      </c>
      <c r="X400">
        <f t="shared" si="63"/>
        <v>0</v>
      </c>
      <c r="Y400">
        <v>1</v>
      </c>
    </row>
    <row r="401" spans="1:25" x14ac:dyDescent="0.35">
      <c r="A401" s="1">
        <f>Data!A401</f>
        <v>29312</v>
      </c>
      <c r="B401" s="2">
        <f>IFERROR((Data!B401/Data!B400-1)*100,"")</f>
        <v>0.998751560549338</v>
      </c>
      <c r="C401" s="2">
        <f>IFERROR((Data!C401/Data!C400-1)*100,"")</f>
        <v>-1.9863119336803514</v>
      </c>
      <c r="D401">
        <f t="shared" si="56"/>
        <v>-0.78876077660610477</v>
      </c>
      <c r="E401">
        <f t="shared" si="57"/>
        <v>1.2244026352972466</v>
      </c>
      <c r="P401" t="str" cm="1">
        <f t="array" ref="P401">_xlfn.IFS(
  AND(D401&gt;0,E401&gt;0),"Expansion",
  AND(D401&lt;0,E401&gt;0),"Slowdown",
  AND(D401&lt;0,E401&lt;0),"Contraction",
  AND(D401&gt;0,E401&lt;0),"Recovery",
  TRUE,"Undefined"
)</f>
        <v>Slowdown</v>
      </c>
      <c r="Q401" t="str">
        <f t="shared" si="64"/>
        <v>Expansion</v>
      </c>
      <c r="R401">
        <f t="shared" si="58"/>
        <v>-1</v>
      </c>
      <c r="S401">
        <f t="shared" si="59"/>
        <v>-1</v>
      </c>
      <c r="T401">
        <f t="shared" si="60"/>
        <v>1</v>
      </c>
      <c r="U401">
        <f t="shared" si="61"/>
        <v>1</v>
      </c>
      <c r="V401" t="str" cm="1">
        <f t="array" ref="V401">_xlfn.IFS(
  AND(S401&gt;0,U401&gt;0),"Expansion",
  AND(S401&lt;0,U401&gt;0),"Slowdown",
  AND(S401&lt;0,U401&lt;0),"Contraction",
  AND(S401&gt;0,U401&lt;0),"Recovery",
  TRUE,"Undefined"
)</f>
        <v>Slowdown</v>
      </c>
      <c r="W401">
        <f t="shared" si="62"/>
        <v>0</v>
      </c>
      <c r="X401">
        <f t="shared" si="63"/>
        <v>0</v>
      </c>
      <c r="Y401">
        <v>1</v>
      </c>
    </row>
    <row r="402" spans="1:25" x14ac:dyDescent="0.35">
      <c r="A402" s="1">
        <f>Data!A402</f>
        <v>29342</v>
      </c>
      <c r="B402" s="2">
        <f>IFERROR((Data!B402/Data!B401-1)*100,"")</f>
        <v>0.98887515451173691</v>
      </c>
      <c r="C402" s="2">
        <f>IFERROR((Data!C402/Data!C401-1)*100,"")</f>
        <v>-2.4600853270180578</v>
      </c>
      <c r="D402">
        <f t="shared" si="56"/>
        <v>-1.6178158937297276</v>
      </c>
      <c r="E402">
        <f t="shared" si="57"/>
        <v>1.126677259450733</v>
      </c>
      <c r="P402" t="str" cm="1">
        <f t="array" ref="P402">_xlfn.IFS(
  AND(D402&gt;0,E402&gt;0),"Expansion",
  AND(D402&lt;0,E402&gt;0),"Slowdown",
  AND(D402&lt;0,E402&lt;0),"Contraction",
  AND(D402&gt;0,E402&lt;0),"Recovery",
  TRUE,"Undefined"
)</f>
        <v>Slowdown</v>
      </c>
      <c r="Q402" t="str">
        <f t="shared" si="64"/>
        <v>Expansion</v>
      </c>
      <c r="R402">
        <f t="shared" si="58"/>
        <v>-1</v>
      </c>
      <c r="S402">
        <f t="shared" si="59"/>
        <v>-1</v>
      </c>
      <c r="T402">
        <f t="shared" si="60"/>
        <v>1</v>
      </c>
      <c r="U402">
        <f t="shared" si="61"/>
        <v>1</v>
      </c>
      <c r="V402" t="str" cm="1">
        <f t="array" ref="V402">_xlfn.IFS(
  AND(S402&gt;0,U402&gt;0),"Expansion",
  AND(S402&lt;0,U402&gt;0),"Slowdown",
  AND(S402&lt;0,U402&lt;0),"Contraction",
  AND(S402&gt;0,U402&lt;0),"Recovery",
  TRUE,"Undefined"
)</f>
        <v>Slowdown</v>
      </c>
      <c r="W402">
        <f t="shared" si="62"/>
        <v>0</v>
      </c>
      <c r="X402">
        <f t="shared" si="63"/>
        <v>0</v>
      </c>
      <c r="Y402">
        <v>1</v>
      </c>
    </row>
    <row r="403" spans="1:25" x14ac:dyDescent="0.35">
      <c r="A403" s="1">
        <f>Data!A403</f>
        <v>29373</v>
      </c>
      <c r="B403" s="2">
        <f>IFERROR((Data!B403/Data!B402-1)*100,"")</f>
        <v>0.97919216646267238</v>
      </c>
      <c r="C403" s="2">
        <f>IFERROR((Data!C403/Data!C402-1)*100,"")</f>
        <v>-1.2922220653774019</v>
      </c>
      <c r="D403">
        <f t="shared" si="56"/>
        <v>-1.9128731086919373</v>
      </c>
      <c r="E403">
        <f t="shared" si="57"/>
        <v>0.98893962717458239</v>
      </c>
      <c r="P403" t="str" cm="1">
        <f t="array" ref="P403">_xlfn.IFS(
  AND(D403&gt;0,E403&gt;0),"Expansion",
  AND(D403&lt;0,E403&gt;0),"Slowdown",
  AND(D403&lt;0,E403&lt;0),"Contraction",
  AND(D403&gt;0,E403&lt;0),"Recovery",
  TRUE,"Undefined"
)</f>
        <v>Slowdown</v>
      </c>
      <c r="Q403" t="str">
        <f t="shared" si="64"/>
        <v>Slowdown</v>
      </c>
      <c r="R403">
        <f t="shared" si="58"/>
        <v>-1</v>
      </c>
      <c r="S403">
        <f t="shared" si="59"/>
        <v>-1</v>
      </c>
      <c r="T403">
        <f t="shared" si="60"/>
        <v>1</v>
      </c>
      <c r="U403">
        <f t="shared" si="61"/>
        <v>1</v>
      </c>
      <c r="V403" t="str" cm="1">
        <f t="array" ref="V403">_xlfn.IFS(
  AND(S403&gt;0,U403&gt;0),"Expansion",
  AND(S403&lt;0,U403&gt;0),"Slowdown",
  AND(S403&lt;0,U403&lt;0),"Contraction",
  AND(S403&gt;0,U403&lt;0),"Recovery",
  TRUE,"Undefined"
)</f>
        <v>Slowdown</v>
      </c>
      <c r="W403">
        <f t="shared" si="62"/>
        <v>0</v>
      </c>
      <c r="X403">
        <f t="shared" si="63"/>
        <v>0</v>
      </c>
      <c r="Y403">
        <v>1</v>
      </c>
    </row>
    <row r="404" spans="1:25" x14ac:dyDescent="0.35">
      <c r="A404" s="1">
        <f>Data!A404</f>
        <v>29403</v>
      </c>
      <c r="B404" s="2">
        <f>IFERROR((Data!B404/Data!B403-1)*100,"")</f>
        <v>0.12121212121212199</v>
      </c>
      <c r="C404" s="2">
        <f>IFERROR((Data!C404/Data!C403-1)*100,"")</f>
        <v>-0.70339665197085566</v>
      </c>
      <c r="D404">
        <f t="shared" si="56"/>
        <v>-1.4852346814554387</v>
      </c>
      <c r="E404">
        <f t="shared" si="57"/>
        <v>0.69642648072884372</v>
      </c>
      <c r="P404" t="str" cm="1">
        <f t="array" ref="P404">_xlfn.IFS(
  AND(D404&gt;0,E404&gt;0),"Expansion",
  AND(D404&lt;0,E404&gt;0),"Slowdown",
  AND(D404&lt;0,E404&lt;0),"Contraction",
  AND(D404&gt;0,E404&lt;0),"Recovery",
  TRUE,"Undefined"
)</f>
        <v>Slowdown</v>
      </c>
      <c r="Q404" t="str">
        <f t="shared" si="64"/>
        <v>Slowdown</v>
      </c>
      <c r="R404">
        <f t="shared" si="58"/>
        <v>-1</v>
      </c>
      <c r="S404">
        <f t="shared" si="59"/>
        <v>-1</v>
      </c>
      <c r="T404">
        <f t="shared" si="60"/>
        <v>1</v>
      </c>
      <c r="U404">
        <f t="shared" si="61"/>
        <v>1</v>
      </c>
      <c r="V404" t="str" cm="1">
        <f t="array" ref="V404">_xlfn.IFS(
  AND(S404&gt;0,U404&gt;0),"Expansion",
  AND(S404&lt;0,U404&gt;0),"Slowdown",
  AND(S404&lt;0,U404&lt;0),"Contraction",
  AND(S404&gt;0,U404&lt;0),"Recovery",
  TRUE,"Undefined"
)</f>
        <v>Slowdown</v>
      </c>
      <c r="W404">
        <f t="shared" si="62"/>
        <v>0</v>
      </c>
      <c r="X404">
        <f t="shared" si="63"/>
        <v>0</v>
      </c>
      <c r="Y404">
        <v>1</v>
      </c>
    </row>
    <row r="405" spans="1:25" x14ac:dyDescent="0.35">
      <c r="A405" s="1">
        <f>Data!A405</f>
        <v>29434</v>
      </c>
      <c r="B405" s="2">
        <f>IFERROR((Data!B405/Data!B404-1)*100,"")</f>
        <v>0.72639225181598821</v>
      </c>
      <c r="C405" s="2">
        <f>IFERROR((Data!C405/Data!C404-1)*100,"")</f>
        <v>0.31355508508577046</v>
      </c>
      <c r="D405">
        <f t="shared" si="56"/>
        <v>-0.56068787742082904</v>
      </c>
      <c r="E405">
        <f t="shared" si="57"/>
        <v>0.60893217983026082</v>
      </c>
      <c r="P405" t="str" cm="1">
        <f t="array" ref="P405">_xlfn.IFS(
  AND(D405&gt;0,E405&gt;0),"Expansion",
  AND(D405&lt;0,E405&gt;0),"Slowdown",
  AND(D405&lt;0,E405&lt;0),"Contraction",
  AND(D405&gt;0,E405&lt;0),"Recovery",
  TRUE,"Undefined"
)</f>
        <v>Slowdown</v>
      </c>
      <c r="Q405" t="str">
        <f t="shared" si="64"/>
        <v>Slowdown</v>
      </c>
      <c r="R405">
        <f t="shared" si="58"/>
        <v>-1</v>
      </c>
      <c r="S405">
        <f t="shared" si="59"/>
        <v>-1</v>
      </c>
      <c r="T405">
        <f t="shared" si="60"/>
        <v>1</v>
      </c>
      <c r="U405">
        <f t="shared" si="61"/>
        <v>1</v>
      </c>
      <c r="V405" t="str" cm="1">
        <f t="array" ref="V405">_xlfn.IFS(
  AND(S405&gt;0,U405&gt;0),"Expansion",
  AND(S405&lt;0,U405&gt;0),"Slowdown",
  AND(S405&lt;0,U405&lt;0),"Contraction",
  AND(S405&gt;0,U405&lt;0),"Recovery",
  TRUE,"Undefined"
)</f>
        <v>Slowdown</v>
      </c>
      <c r="W405">
        <f t="shared" si="62"/>
        <v>0</v>
      </c>
      <c r="X405">
        <f t="shared" si="63"/>
        <v>0</v>
      </c>
      <c r="Y405">
        <v>0</v>
      </c>
    </row>
    <row r="406" spans="1:25" x14ac:dyDescent="0.35">
      <c r="A406" s="1">
        <f>Data!A406</f>
        <v>29465</v>
      </c>
      <c r="B406" s="2">
        <f>IFERROR((Data!B406/Data!B405-1)*100,"")</f>
        <v>0.84134615384616751</v>
      </c>
      <c r="C406" s="2">
        <f>IFERROR((Data!C406/Data!C405-1)*100,"")</f>
        <v>1.6500431739077781</v>
      </c>
      <c r="D406">
        <f t="shared" si="56"/>
        <v>0.42006720234089762</v>
      </c>
      <c r="E406">
        <f t="shared" si="57"/>
        <v>0.56298350895809257</v>
      </c>
      <c r="P406" t="str" cm="1">
        <f t="array" ref="P406">_xlfn.IFS(
  AND(D406&gt;0,E406&gt;0),"Expansion",
  AND(D406&lt;0,E406&gt;0),"Slowdown",
  AND(D406&lt;0,E406&lt;0),"Contraction",
  AND(D406&gt;0,E406&lt;0),"Recovery",
  TRUE,"Undefined"
)</f>
        <v>Expansion</v>
      </c>
      <c r="Q406" t="str">
        <f t="shared" si="64"/>
        <v>Slowdown</v>
      </c>
      <c r="R406">
        <f t="shared" si="58"/>
        <v>1</v>
      </c>
      <c r="S406">
        <f t="shared" si="59"/>
        <v>1</v>
      </c>
      <c r="T406">
        <f t="shared" si="60"/>
        <v>1</v>
      </c>
      <c r="U406">
        <f t="shared" si="61"/>
        <v>1</v>
      </c>
      <c r="V406" t="str" cm="1">
        <f t="array" ref="V406">_xlfn.IFS(
  AND(S406&gt;0,U406&gt;0),"Expansion",
  AND(S406&lt;0,U406&gt;0),"Slowdown",
  AND(S406&lt;0,U406&lt;0),"Contraction",
  AND(S406&gt;0,U406&lt;0),"Recovery",
  TRUE,"Undefined"
)</f>
        <v>Expansion</v>
      </c>
      <c r="W406">
        <f t="shared" si="62"/>
        <v>0</v>
      </c>
      <c r="X406">
        <f t="shared" si="63"/>
        <v>0</v>
      </c>
      <c r="Y406">
        <v>0</v>
      </c>
    </row>
    <row r="407" spans="1:25" x14ac:dyDescent="0.35">
      <c r="A407" s="1">
        <f>Data!A407</f>
        <v>29495</v>
      </c>
      <c r="B407" s="2">
        <f>IFERROR((Data!B407/Data!B406-1)*100,"")</f>
        <v>0.95351609058402786</v>
      </c>
      <c r="C407" s="2">
        <f>IFERROR((Data!C407/Data!C406-1)*100,"")</f>
        <v>1.2711659214540649</v>
      </c>
      <c r="D407">
        <f t="shared" si="56"/>
        <v>1.0782547268158711</v>
      </c>
      <c r="E407">
        <f t="shared" si="57"/>
        <v>0.84041816541539449</v>
      </c>
      <c r="P407" t="str" cm="1">
        <f t="array" ref="P407">_xlfn.IFS(
  AND(D407&gt;0,E407&gt;0),"Expansion",
  AND(D407&lt;0,E407&gt;0),"Slowdown",
  AND(D407&lt;0,E407&lt;0),"Contraction",
  AND(D407&gt;0,E407&lt;0),"Recovery",
  TRUE,"Undefined"
)</f>
        <v>Expansion</v>
      </c>
      <c r="Q407" t="str">
        <f t="shared" si="64"/>
        <v>Slowdown</v>
      </c>
      <c r="R407">
        <f t="shared" si="58"/>
        <v>1</v>
      </c>
      <c r="S407">
        <f t="shared" si="59"/>
        <v>1</v>
      </c>
      <c r="T407">
        <f t="shared" si="60"/>
        <v>1</v>
      </c>
      <c r="U407">
        <f t="shared" si="61"/>
        <v>1</v>
      </c>
      <c r="V407" t="str" cm="1">
        <f t="array" ref="V407">_xlfn.IFS(
  AND(S407&gt;0,U407&gt;0),"Expansion",
  AND(S407&lt;0,U407&gt;0),"Slowdown",
  AND(S407&lt;0,U407&lt;0),"Contraction",
  AND(S407&gt;0,U407&lt;0),"Recovery",
  TRUE,"Undefined"
)</f>
        <v>Expansion</v>
      </c>
      <c r="W407">
        <f t="shared" si="62"/>
        <v>0</v>
      </c>
      <c r="X407">
        <f t="shared" si="63"/>
        <v>0</v>
      </c>
      <c r="Y407">
        <v>0</v>
      </c>
    </row>
    <row r="408" spans="1:25" x14ac:dyDescent="0.35">
      <c r="A408" s="1">
        <f>Data!A408</f>
        <v>29526</v>
      </c>
      <c r="B408" s="2">
        <f>IFERROR((Data!B408/Data!B407-1)*100,"")</f>
        <v>1.0625737898465104</v>
      </c>
      <c r="C408" s="2">
        <f>IFERROR((Data!C408/Data!C407-1)*100,"")</f>
        <v>1.6742112100225581</v>
      </c>
      <c r="D408">
        <f t="shared" si="56"/>
        <v>1.5318067684614671</v>
      </c>
      <c r="E408">
        <f t="shared" si="57"/>
        <v>0.9524786780922353</v>
      </c>
      <c r="P408" t="str" cm="1">
        <f t="array" ref="P408">_xlfn.IFS(
  AND(D408&gt;0,E408&gt;0),"Expansion",
  AND(D408&lt;0,E408&gt;0),"Slowdown",
  AND(D408&lt;0,E408&lt;0),"Contraction",
  AND(D408&gt;0,E408&lt;0),"Recovery",
  TRUE,"Undefined"
)</f>
        <v>Expansion</v>
      </c>
      <c r="Q408" t="str">
        <f t="shared" si="64"/>
        <v>Expansion</v>
      </c>
      <c r="R408">
        <f t="shared" si="58"/>
        <v>1</v>
      </c>
      <c r="S408">
        <f t="shared" si="59"/>
        <v>1</v>
      </c>
      <c r="T408">
        <f t="shared" si="60"/>
        <v>1</v>
      </c>
      <c r="U408">
        <f t="shared" si="61"/>
        <v>1</v>
      </c>
      <c r="V408" t="str" cm="1">
        <f t="array" ref="V408">_xlfn.IFS(
  AND(S408&gt;0,U408&gt;0),"Expansion",
  AND(S408&lt;0,U408&gt;0),"Slowdown",
  AND(S408&lt;0,U408&lt;0),"Contraction",
  AND(S408&gt;0,U408&lt;0),"Recovery",
  TRUE,"Undefined"
)</f>
        <v>Expansion</v>
      </c>
      <c r="W408">
        <f t="shared" si="62"/>
        <v>0</v>
      </c>
      <c r="X408">
        <f t="shared" si="63"/>
        <v>0</v>
      </c>
      <c r="Y408">
        <v>0</v>
      </c>
    </row>
    <row r="409" spans="1:25" x14ac:dyDescent="0.35">
      <c r="A409" s="1">
        <f>Data!A409</f>
        <v>29556</v>
      </c>
      <c r="B409" s="2">
        <f>IFERROR((Data!B409/Data!B408-1)*100,"")</f>
        <v>0.93457943925234765</v>
      </c>
      <c r="C409" s="2">
        <f>IFERROR((Data!C409/Data!C408-1)*100,"")</f>
        <v>0.66567250167055558</v>
      </c>
      <c r="D409">
        <f t="shared" si="56"/>
        <v>1.2036832110490596</v>
      </c>
      <c r="E409">
        <f t="shared" si="57"/>
        <v>0.98355643989429531</v>
      </c>
      <c r="P409" t="str" cm="1">
        <f t="array" ref="P409">_xlfn.IFS(
  AND(D409&gt;0,E409&gt;0),"Expansion",
  AND(D409&lt;0,E409&gt;0),"Slowdown",
  AND(D409&lt;0,E409&lt;0),"Contraction",
  AND(D409&gt;0,E409&lt;0),"Recovery",
  TRUE,"Undefined"
)</f>
        <v>Expansion</v>
      </c>
      <c r="Q409" t="str">
        <f t="shared" si="64"/>
        <v>Expansion</v>
      </c>
      <c r="R409">
        <f t="shared" si="58"/>
        <v>1</v>
      </c>
      <c r="S409">
        <f t="shared" si="59"/>
        <v>1</v>
      </c>
      <c r="T409">
        <f t="shared" si="60"/>
        <v>1</v>
      </c>
      <c r="U409">
        <f t="shared" si="61"/>
        <v>1</v>
      </c>
      <c r="V409" t="str" cm="1">
        <f t="array" ref="V409">_xlfn.IFS(
  AND(S409&gt;0,U409&gt;0),"Expansion",
  AND(S409&lt;0,U409&gt;0),"Slowdown",
  AND(S409&lt;0,U409&lt;0),"Contraction",
  AND(S409&gt;0,U409&lt;0),"Recovery",
  TRUE,"Undefined"
)</f>
        <v>Expansion</v>
      </c>
      <c r="W409">
        <f t="shared" si="62"/>
        <v>0</v>
      </c>
      <c r="X409">
        <f t="shared" si="63"/>
        <v>0</v>
      </c>
      <c r="Y409">
        <v>0</v>
      </c>
    </row>
    <row r="410" spans="1:25" x14ac:dyDescent="0.35">
      <c r="A410" s="1">
        <f>Data!A410</f>
        <v>29587</v>
      </c>
      <c r="B410" s="2">
        <f>IFERROR((Data!B410/Data!B409-1)*100,"")</f>
        <v>0.92592592592593004</v>
      </c>
      <c r="C410" s="2">
        <f>IFERROR((Data!C410/Data!C409-1)*100,"")</f>
        <v>-0.64102564102564985</v>
      </c>
      <c r="D410">
        <f t="shared" si="56"/>
        <v>0.56628602355582125</v>
      </c>
      <c r="E410">
        <f t="shared" si="57"/>
        <v>0.97435971834159607</v>
      </c>
      <c r="P410" t="str" cm="1">
        <f t="array" ref="P410">_xlfn.IFS(
  AND(D410&gt;0,E410&gt;0),"Expansion",
  AND(D410&lt;0,E410&gt;0),"Slowdown",
  AND(D410&lt;0,E410&lt;0),"Contraction",
  AND(D410&gt;0,E410&lt;0),"Recovery",
  TRUE,"Undefined"
)</f>
        <v>Expansion</v>
      </c>
      <c r="Q410" t="str">
        <f t="shared" si="64"/>
        <v>Expansion</v>
      </c>
      <c r="R410">
        <f t="shared" si="58"/>
        <v>1</v>
      </c>
      <c r="S410">
        <f t="shared" si="59"/>
        <v>1</v>
      </c>
      <c r="T410">
        <f t="shared" si="60"/>
        <v>1</v>
      </c>
      <c r="U410">
        <f t="shared" si="61"/>
        <v>1</v>
      </c>
      <c r="V410" t="str" cm="1">
        <f t="array" ref="V410">_xlfn.IFS(
  AND(S410&gt;0,U410&gt;0),"Expansion",
  AND(S410&lt;0,U410&gt;0),"Slowdown",
  AND(S410&lt;0,U410&lt;0),"Contraction",
  AND(S410&gt;0,U410&lt;0),"Recovery",
  TRUE,"Undefined"
)</f>
        <v>Expansion</v>
      </c>
      <c r="W410">
        <f t="shared" si="62"/>
        <v>0</v>
      </c>
      <c r="X410">
        <f t="shared" si="63"/>
        <v>0</v>
      </c>
      <c r="Y410">
        <v>0</v>
      </c>
    </row>
    <row r="411" spans="1:25" x14ac:dyDescent="0.35">
      <c r="A411" s="1">
        <f>Data!A411</f>
        <v>29618</v>
      </c>
      <c r="B411" s="2">
        <f>IFERROR((Data!B411/Data!B410-1)*100,"")</f>
        <v>0.91743119266054496</v>
      </c>
      <c r="C411" s="2">
        <f>IFERROR((Data!C411/Data!C410-1)*100,"")</f>
        <v>-0.42612384040437989</v>
      </c>
      <c r="D411">
        <f t="shared" si="56"/>
        <v>-0.13382565991982473</v>
      </c>
      <c r="E411">
        <f t="shared" si="57"/>
        <v>0.92597885261294088</v>
      </c>
      <c r="P411" t="str" cm="1">
        <f t="array" ref="P411">_xlfn.IFS(
  AND(D411&gt;0,E411&gt;0),"Expansion",
  AND(D411&lt;0,E411&gt;0),"Slowdown",
  AND(D411&lt;0,E411&lt;0),"Contraction",
  AND(D411&gt;0,E411&lt;0),"Recovery",
  TRUE,"Undefined"
)</f>
        <v>Slowdown</v>
      </c>
      <c r="Q411" t="str">
        <f t="shared" si="64"/>
        <v>Expansion</v>
      </c>
      <c r="R411">
        <f t="shared" si="58"/>
        <v>1</v>
      </c>
      <c r="S411">
        <f t="shared" si="59"/>
        <v>1</v>
      </c>
      <c r="T411">
        <f t="shared" si="60"/>
        <v>1</v>
      </c>
      <c r="U411">
        <f t="shared" si="61"/>
        <v>1</v>
      </c>
      <c r="V411" t="str" cm="1">
        <f t="array" ref="V411">_xlfn.IFS(
  AND(S411&gt;0,U411&gt;0),"Expansion",
  AND(S411&lt;0,U411&gt;0),"Slowdown",
  AND(S411&lt;0,U411&lt;0),"Contraction",
  AND(S411&gt;0,U411&lt;0),"Recovery",
  TRUE,"Undefined"
)</f>
        <v>Expansion</v>
      </c>
      <c r="W411">
        <f t="shared" si="62"/>
        <v>0</v>
      </c>
      <c r="X411">
        <f t="shared" si="63"/>
        <v>0</v>
      </c>
      <c r="Y411">
        <v>0</v>
      </c>
    </row>
    <row r="412" spans="1:25" x14ac:dyDescent="0.35">
      <c r="A412" s="1">
        <f>Data!A412</f>
        <v>29646</v>
      </c>
      <c r="B412" s="2">
        <f>IFERROR((Data!B412/Data!B411-1)*100,"")</f>
        <v>0.68181818181818343</v>
      </c>
      <c r="C412" s="2">
        <f>IFERROR((Data!C412/Data!C411-1)*100,"")</f>
        <v>0.50881473319692727</v>
      </c>
      <c r="D412">
        <f t="shared" si="56"/>
        <v>-0.18611158274436748</v>
      </c>
      <c r="E412">
        <f t="shared" si="57"/>
        <v>0.84172510013488611</v>
      </c>
      <c r="P412" t="str" cm="1">
        <f t="array" ref="P412">_xlfn.IFS(
  AND(D412&gt;0,E412&gt;0),"Expansion",
  AND(D412&lt;0,E412&gt;0),"Slowdown",
  AND(D412&lt;0,E412&lt;0),"Contraction",
  AND(D412&gt;0,E412&lt;0),"Recovery",
  TRUE,"Undefined"
)</f>
        <v>Slowdown</v>
      </c>
      <c r="Q412" t="str">
        <f t="shared" si="64"/>
        <v>Expansion</v>
      </c>
      <c r="R412">
        <f t="shared" si="58"/>
        <v>1</v>
      </c>
      <c r="S412">
        <f t="shared" si="59"/>
        <v>1</v>
      </c>
      <c r="T412">
        <f t="shared" si="60"/>
        <v>1</v>
      </c>
      <c r="U412">
        <f t="shared" si="61"/>
        <v>1</v>
      </c>
      <c r="V412" t="str" cm="1">
        <f t="array" ref="V412">_xlfn.IFS(
  AND(S412&gt;0,U412&gt;0),"Expansion",
  AND(S412&lt;0,U412&gt;0),"Slowdown",
  AND(S412&lt;0,U412&lt;0),"Contraction",
  AND(S412&gt;0,U412&lt;0),"Recovery",
  TRUE,"Undefined"
)</f>
        <v>Expansion</v>
      </c>
      <c r="W412">
        <f t="shared" si="62"/>
        <v>0</v>
      </c>
      <c r="X412">
        <f t="shared" si="63"/>
        <v>0</v>
      </c>
      <c r="Y412">
        <v>0</v>
      </c>
    </row>
    <row r="413" spans="1:25" x14ac:dyDescent="0.35">
      <c r="A413" s="1">
        <f>Data!A413</f>
        <v>29677</v>
      </c>
      <c r="B413" s="2">
        <f>IFERROR((Data!B413/Data!B412-1)*100,"")</f>
        <v>0.56433408577878375</v>
      </c>
      <c r="C413" s="2">
        <f>IFERROR((Data!C413/Data!C412-1)*100,"")</f>
        <v>-0.43968004760917001</v>
      </c>
      <c r="D413">
        <f t="shared" si="56"/>
        <v>-0.11899638493887421</v>
      </c>
      <c r="E413">
        <f t="shared" si="57"/>
        <v>0.72119448675250408</v>
      </c>
      <c r="P413" t="str" cm="1">
        <f t="array" ref="P413">_xlfn.IFS(
  AND(D413&gt;0,E413&gt;0),"Expansion",
  AND(D413&lt;0,E413&gt;0),"Slowdown",
  AND(D413&lt;0,E413&lt;0),"Contraction",
  AND(D413&gt;0,E413&lt;0),"Recovery",
  TRUE,"Undefined"
)</f>
        <v>Slowdown</v>
      </c>
      <c r="Q413" t="str">
        <f t="shared" si="64"/>
        <v>Slowdown</v>
      </c>
      <c r="R413">
        <f t="shared" si="58"/>
        <v>1</v>
      </c>
      <c r="S413">
        <f t="shared" si="59"/>
        <v>1</v>
      </c>
      <c r="T413">
        <f t="shared" si="60"/>
        <v>1</v>
      </c>
      <c r="U413">
        <f t="shared" si="61"/>
        <v>1</v>
      </c>
      <c r="V413" t="str" cm="1">
        <f t="array" ref="V413">_xlfn.IFS(
  AND(S413&gt;0,U413&gt;0),"Expansion",
  AND(S413&lt;0,U413&gt;0),"Slowdown",
  AND(S413&lt;0,U413&lt;0),"Contraction",
  AND(S413&gt;0,U413&lt;0),"Recovery",
  TRUE,"Undefined"
)</f>
        <v>Expansion</v>
      </c>
      <c r="W413">
        <f t="shared" si="62"/>
        <v>0</v>
      </c>
      <c r="X413">
        <f t="shared" si="63"/>
        <v>0</v>
      </c>
      <c r="Y413">
        <v>0</v>
      </c>
    </row>
    <row r="414" spans="1:25" x14ac:dyDescent="0.35">
      <c r="A414" s="1">
        <f>Data!A414</f>
        <v>29707</v>
      </c>
      <c r="B414" s="2">
        <f>IFERROR((Data!B414/Data!B413-1)*100,"")</f>
        <v>0.67340067340069254</v>
      </c>
      <c r="C414" s="2">
        <f>IFERROR((Data!C414/Data!C413-1)*100,"")</f>
        <v>0.57316449722759621</v>
      </c>
      <c r="D414">
        <f t="shared" si="56"/>
        <v>0.21409972760511783</v>
      </c>
      <c r="E414">
        <f t="shared" si="57"/>
        <v>0.63985098033255328</v>
      </c>
      <c r="P414" t="str" cm="1">
        <f t="array" ref="P414">_xlfn.IFS(
  AND(D414&gt;0,E414&gt;0),"Expansion",
  AND(D414&lt;0,E414&gt;0),"Slowdown",
  AND(D414&lt;0,E414&lt;0),"Contraction",
  AND(D414&gt;0,E414&lt;0),"Recovery",
  TRUE,"Undefined"
)</f>
        <v>Expansion</v>
      </c>
      <c r="Q414" t="str">
        <f t="shared" si="64"/>
        <v>Slowdown</v>
      </c>
      <c r="R414">
        <f t="shared" si="58"/>
        <v>1</v>
      </c>
      <c r="S414">
        <f t="shared" si="59"/>
        <v>1</v>
      </c>
      <c r="T414">
        <f t="shared" si="60"/>
        <v>1</v>
      </c>
      <c r="U414">
        <f t="shared" si="61"/>
        <v>1</v>
      </c>
      <c r="V414" t="str" cm="1">
        <f t="array" ref="V414">_xlfn.IFS(
  AND(S414&gt;0,U414&gt;0),"Expansion",
  AND(S414&lt;0,U414&gt;0),"Slowdown",
  AND(S414&lt;0,U414&lt;0),"Contraction",
  AND(S414&gt;0,U414&lt;0),"Recovery",
  TRUE,"Undefined"
)</f>
        <v>Expansion</v>
      </c>
      <c r="W414">
        <f t="shared" si="62"/>
        <v>0</v>
      </c>
      <c r="X414">
        <f t="shared" si="63"/>
        <v>0</v>
      </c>
      <c r="Y414">
        <v>0</v>
      </c>
    </row>
    <row r="415" spans="1:25" x14ac:dyDescent="0.35">
      <c r="A415" s="1">
        <f>Data!A415</f>
        <v>29738</v>
      </c>
      <c r="B415" s="2">
        <f>IFERROR((Data!B415/Data!B414-1)*100,"")</f>
        <v>0.89186176142697082</v>
      </c>
      <c r="C415" s="2">
        <f>IFERROR((Data!C415/Data!C414-1)*100,"")</f>
        <v>0.5094868962550958</v>
      </c>
      <c r="D415">
        <f t="shared" si="56"/>
        <v>0.21432378195784066</v>
      </c>
      <c r="E415">
        <f t="shared" si="57"/>
        <v>0.70986550686881567</v>
      </c>
      <c r="P415" t="str" cm="1">
        <f t="array" ref="P415">_xlfn.IFS(
  AND(D415&gt;0,E415&gt;0),"Expansion",
  AND(D415&lt;0,E415&gt;0),"Slowdown",
  AND(D415&lt;0,E415&lt;0),"Contraction",
  AND(D415&gt;0,E415&lt;0),"Recovery",
  TRUE,"Undefined"
)</f>
        <v>Expansion</v>
      </c>
      <c r="Q415" t="str">
        <f t="shared" si="64"/>
        <v>Slowdown</v>
      </c>
      <c r="R415">
        <f t="shared" si="58"/>
        <v>1</v>
      </c>
      <c r="S415">
        <f t="shared" si="59"/>
        <v>1</v>
      </c>
      <c r="T415">
        <f t="shared" si="60"/>
        <v>1</v>
      </c>
      <c r="U415">
        <f t="shared" si="61"/>
        <v>1</v>
      </c>
      <c r="V415" t="str" cm="1">
        <f t="array" ref="V415">_xlfn.IFS(
  AND(S415&gt;0,U415&gt;0),"Expansion",
  AND(S415&lt;0,U415&gt;0),"Slowdown",
  AND(S415&lt;0,U415&lt;0),"Contraction",
  AND(S415&gt;0,U415&lt;0),"Recovery",
  TRUE,"Undefined"
)</f>
        <v>Expansion</v>
      </c>
      <c r="W415">
        <f t="shared" si="62"/>
        <v>0</v>
      </c>
      <c r="X415">
        <f t="shared" si="63"/>
        <v>0</v>
      </c>
      <c r="Y415">
        <v>0</v>
      </c>
    </row>
    <row r="416" spans="1:25" x14ac:dyDescent="0.35">
      <c r="A416" s="1">
        <f>Data!A416</f>
        <v>29768</v>
      </c>
      <c r="B416" s="2">
        <f>IFERROR((Data!B416/Data!B415-1)*100,"")</f>
        <v>1.1049723756906049</v>
      </c>
      <c r="C416" s="2">
        <f>IFERROR((Data!C416/Data!C415-1)*100,"")</f>
        <v>0.6555132162746391</v>
      </c>
      <c r="D416">
        <f t="shared" si="56"/>
        <v>0.57938820325244367</v>
      </c>
      <c r="E416">
        <f t="shared" si="57"/>
        <v>0.89007827017275609</v>
      </c>
      <c r="P416" t="str" cm="1">
        <f t="array" ref="P416">_xlfn.IFS(
  AND(D416&gt;0,E416&gt;0),"Expansion",
  AND(D416&lt;0,E416&gt;0),"Slowdown",
  AND(D416&lt;0,E416&lt;0),"Contraction",
  AND(D416&gt;0,E416&lt;0),"Recovery",
  TRUE,"Undefined"
)</f>
        <v>Expansion</v>
      </c>
      <c r="Q416" t="str">
        <f t="shared" si="64"/>
        <v>Expansion</v>
      </c>
      <c r="R416">
        <f t="shared" si="58"/>
        <v>1</v>
      </c>
      <c r="S416">
        <f t="shared" si="59"/>
        <v>1</v>
      </c>
      <c r="T416">
        <f t="shared" si="60"/>
        <v>1</v>
      </c>
      <c r="U416">
        <f t="shared" si="61"/>
        <v>1</v>
      </c>
      <c r="V416" t="str" cm="1">
        <f t="array" ref="V416">_xlfn.IFS(
  AND(S416&gt;0,U416&gt;0),"Expansion",
  AND(S416&lt;0,U416&gt;0),"Slowdown",
  AND(S416&lt;0,U416&lt;0),"Contraction",
  AND(S416&gt;0,U416&lt;0),"Recovery",
  TRUE,"Undefined"
)</f>
        <v>Expansion</v>
      </c>
      <c r="W416">
        <f t="shared" si="62"/>
        <v>0</v>
      </c>
      <c r="X416">
        <f t="shared" si="63"/>
        <v>0</v>
      </c>
      <c r="Y416">
        <v>0</v>
      </c>
    </row>
    <row r="417" spans="1:25" x14ac:dyDescent="0.35">
      <c r="A417" s="1">
        <f>Data!A417</f>
        <v>29799</v>
      </c>
      <c r="B417" s="2">
        <f>IFERROR((Data!B417/Data!B416-1)*100,"")</f>
        <v>0.76502732240437687</v>
      </c>
      <c r="C417" s="2">
        <f>IFERROR((Data!C417/Data!C416-1)*100,"")</f>
        <v>-0.12464466607791103</v>
      </c>
      <c r="D417">
        <f t="shared" si="56"/>
        <v>0.34678514881727462</v>
      </c>
      <c r="E417">
        <f t="shared" si="57"/>
        <v>0.92062048650731754</v>
      </c>
      <c r="P417" t="str" cm="1">
        <f t="array" ref="P417">_xlfn.IFS(
  AND(D417&gt;0,E417&gt;0),"Expansion",
  AND(D417&lt;0,E417&gt;0),"Slowdown",
  AND(D417&lt;0,E417&lt;0),"Contraction",
  AND(D417&gt;0,E417&lt;0),"Recovery",
  TRUE,"Undefined"
)</f>
        <v>Expansion</v>
      </c>
      <c r="Q417" t="str">
        <f t="shared" si="64"/>
        <v>Expansion</v>
      </c>
      <c r="R417">
        <f t="shared" si="58"/>
        <v>1</v>
      </c>
      <c r="S417">
        <f t="shared" si="59"/>
        <v>1</v>
      </c>
      <c r="T417">
        <f t="shared" si="60"/>
        <v>1</v>
      </c>
      <c r="U417">
        <f t="shared" si="61"/>
        <v>1</v>
      </c>
      <c r="V417" t="str" cm="1">
        <f t="array" ref="V417">_xlfn.IFS(
  AND(S417&gt;0,U417&gt;0),"Expansion",
  AND(S417&lt;0,U417&gt;0),"Slowdown",
  AND(S417&lt;0,U417&lt;0),"Contraction",
  AND(S417&gt;0,U417&lt;0),"Recovery",
  TRUE,"Undefined"
)</f>
        <v>Expansion</v>
      </c>
      <c r="W417">
        <f t="shared" si="62"/>
        <v>0</v>
      </c>
      <c r="X417">
        <f t="shared" si="63"/>
        <v>0</v>
      </c>
      <c r="Y417">
        <v>1</v>
      </c>
    </row>
    <row r="418" spans="1:25" x14ac:dyDescent="0.35">
      <c r="A418" s="1">
        <f>Data!A418</f>
        <v>29830</v>
      </c>
      <c r="B418" s="2">
        <f>IFERROR((Data!B418/Data!B417-1)*100,"")</f>
        <v>0.9761388286333883</v>
      </c>
      <c r="C418" s="2">
        <f>IFERROR((Data!C418/Data!C417-1)*100,"")</f>
        <v>-0.48159341828777347</v>
      </c>
      <c r="D418">
        <f t="shared" si="56"/>
        <v>1.6425043969651536E-2</v>
      </c>
      <c r="E418">
        <f t="shared" si="57"/>
        <v>0.94871284224279007</v>
      </c>
      <c r="P418" t="str" cm="1">
        <f t="array" ref="P418">_xlfn.IFS(
  AND(D418&gt;0,E418&gt;0),"Expansion",
  AND(D418&lt;0,E418&gt;0),"Slowdown",
  AND(D418&lt;0,E418&lt;0),"Contraction",
  AND(D418&gt;0,E418&lt;0),"Recovery",
  TRUE,"Undefined"
)</f>
        <v>Expansion</v>
      </c>
      <c r="Q418" t="str">
        <f t="shared" si="64"/>
        <v>Expansion</v>
      </c>
      <c r="R418">
        <f t="shared" si="58"/>
        <v>1</v>
      </c>
      <c r="S418">
        <f t="shared" si="59"/>
        <v>1</v>
      </c>
      <c r="T418">
        <f t="shared" si="60"/>
        <v>1</v>
      </c>
      <c r="U418">
        <f t="shared" si="61"/>
        <v>1</v>
      </c>
      <c r="V418" t="str" cm="1">
        <f t="array" ref="V418">_xlfn.IFS(
  AND(S418&gt;0,U418&gt;0),"Expansion",
  AND(S418&lt;0,U418&gt;0),"Slowdown",
  AND(S418&lt;0,U418&lt;0),"Contraction",
  AND(S418&gt;0,U418&lt;0),"Recovery",
  TRUE,"Undefined"
)</f>
        <v>Expansion</v>
      </c>
      <c r="W418">
        <f t="shared" si="62"/>
        <v>0</v>
      </c>
      <c r="X418">
        <f t="shared" si="63"/>
        <v>0</v>
      </c>
      <c r="Y418">
        <v>1</v>
      </c>
    </row>
    <row r="419" spans="1:25" x14ac:dyDescent="0.35">
      <c r="A419" s="1">
        <f>Data!A419</f>
        <v>29860</v>
      </c>
      <c r="B419" s="2">
        <f>IFERROR((Data!B419/Data!B418-1)*100,"")</f>
        <v>0.32223415682064438</v>
      </c>
      <c r="C419" s="2">
        <f>IFERROR((Data!C419/Data!C418-1)*100,"")</f>
        <v>-0.78858802691620378</v>
      </c>
      <c r="D419">
        <f t="shared" si="56"/>
        <v>-0.46494203709396276</v>
      </c>
      <c r="E419">
        <f t="shared" si="57"/>
        <v>0.68780010261946989</v>
      </c>
      <c r="P419" t="str" cm="1">
        <f t="array" ref="P419">_xlfn.IFS(
  AND(D419&gt;0,E419&gt;0),"Expansion",
  AND(D419&lt;0,E419&gt;0),"Slowdown",
  AND(D419&lt;0,E419&lt;0),"Contraction",
  AND(D419&gt;0,E419&lt;0),"Recovery",
  TRUE,"Undefined"
)</f>
        <v>Slowdown</v>
      </c>
      <c r="Q419" t="str">
        <f t="shared" si="64"/>
        <v>Expansion</v>
      </c>
      <c r="R419">
        <f t="shared" si="58"/>
        <v>-1</v>
      </c>
      <c r="S419">
        <f t="shared" si="59"/>
        <v>-1</v>
      </c>
      <c r="T419">
        <f t="shared" si="60"/>
        <v>1</v>
      </c>
      <c r="U419">
        <f t="shared" si="61"/>
        <v>1</v>
      </c>
      <c r="V419" t="str" cm="1">
        <f t="array" ref="V419">_xlfn.IFS(
  AND(S419&gt;0,U419&gt;0),"Expansion",
  AND(S419&lt;0,U419&gt;0),"Slowdown",
  AND(S419&lt;0,U419&lt;0),"Contraction",
  AND(S419&gt;0,U419&lt;0),"Recovery",
  TRUE,"Undefined"
)</f>
        <v>Slowdown</v>
      </c>
      <c r="W419">
        <f t="shared" si="62"/>
        <v>0</v>
      </c>
      <c r="X419">
        <f t="shared" si="63"/>
        <v>0</v>
      </c>
      <c r="Y419">
        <v>1</v>
      </c>
    </row>
    <row r="420" spans="1:25" x14ac:dyDescent="0.35">
      <c r="A420" s="1">
        <f>Data!A420</f>
        <v>29891</v>
      </c>
      <c r="B420" s="2">
        <f>IFERROR((Data!B420/Data!B419-1)*100,"")</f>
        <v>0.42826552462524869</v>
      </c>
      <c r="C420" s="2">
        <f>IFERROR((Data!C420/Data!C419-1)*100,"")</f>
        <v>-1.1623007715356848</v>
      </c>
      <c r="D420">
        <f t="shared" si="56"/>
        <v>-0.81082740557988731</v>
      </c>
      <c r="E420">
        <f t="shared" si="57"/>
        <v>0.57554617002642716</v>
      </c>
      <c r="P420" t="str" cm="1">
        <f t="array" ref="P420">_xlfn.IFS(
  AND(D420&gt;0,E420&gt;0),"Expansion",
  AND(D420&lt;0,E420&gt;0),"Slowdown",
  AND(D420&lt;0,E420&lt;0),"Contraction",
  AND(D420&gt;0,E420&lt;0),"Recovery",
  TRUE,"Undefined"
)</f>
        <v>Slowdown</v>
      </c>
      <c r="Q420" t="str">
        <f t="shared" si="64"/>
        <v>Expansion</v>
      </c>
      <c r="R420">
        <f t="shared" si="58"/>
        <v>-1</v>
      </c>
      <c r="S420">
        <f t="shared" si="59"/>
        <v>-1</v>
      </c>
      <c r="T420">
        <f t="shared" si="60"/>
        <v>1</v>
      </c>
      <c r="U420">
        <f t="shared" si="61"/>
        <v>1</v>
      </c>
      <c r="V420" t="str" cm="1">
        <f t="array" ref="V420">_xlfn.IFS(
  AND(S420&gt;0,U420&gt;0),"Expansion",
  AND(S420&lt;0,U420&gt;0),"Slowdown",
  AND(S420&lt;0,U420&lt;0),"Contraction",
  AND(S420&gt;0,U420&lt;0),"Recovery",
  TRUE,"Undefined"
)</f>
        <v>Slowdown</v>
      </c>
      <c r="W420">
        <f t="shared" si="62"/>
        <v>0</v>
      </c>
      <c r="X420">
        <f t="shared" si="63"/>
        <v>0</v>
      </c>
      <c r="Y420">
        <v>1</v>
      </c>
    </row>
    <row r="421" spans="1:25" x14ac:dyDescent="0.35">
      <c r="A421" s="1">
        <f>Data!A421</f>
        <v>29921</v>
      </c>
      <c r="B421" s="2">
        <f>IFERROR((Data!B421/Data!B420-1)*100,"")</f>
        <v>0.31982942430703876</v>
      </c>
      <c r="C421" s="2">
        <f>IFERROR((Data!C421/Data!C420-1)*100,"")</f>
        <v>-1.0633488648755907</v>
      </c>
      <c r="D421">
        <f t="shared" si="56"/>
        <v>-1.0047458877758264</v>
      </c>
      <c r="E421">
        <f t="shared" si="57"/>
        <v>0.35677636858431061</v>
      </c>
      <c r="P421" t="str" cm="1">
        <f t="array" ref="P421">_xlfn.IFS(
  AND(D421&gt;0,E421&gt;0),"Expansion",
  AND(D421&lt;0,E421&gt;0),"Slowdown",
  AND(D421&lt;0,E421&lt;0),"Contraction",
  AND(D421&gt;0,E421&lt;0),"Recovery",
  TRUE,"Undefined"
)</f>
        <v>Slowdown</v>
      </c>
      <c r="Q421" t="str">
        <f t="shared" si="64"/>
        <v>Slowdown</v>
      </c>
      <c r="R421">
        <f t="shared" si="58"/>
        <v>-1</v>
      </c>
      <c r="S421">
        <f t="shared" si="59"/>
        <v>-1</v>
      </c>
      <c r="T421">
        <f t="shared" si="60"/>
        <v>1</v>
      </c>
      <c r="U421">
        <f t="shared" si="61"/>
        <v>1</v>
      </c>
      <c r="V421" t="str" cm="1">
        <f t="array" ref="V421">_xlfn.IFS(
  AND(S421&gt;0,U421&gt;0),"Expansion",
  AND(S421&lt;0,U421&gt;0),"Slowdown",
  AND(S421&lt;0,U421&lt;0),"Contraction",
  AND(S421&gt;0,U421&lt;0),"Recovery",
  TRUE,"Undefined"
)</f>
        <v>Slowdown</v>
      </c>
      <c r="W421">
        <f t="shared" si="62"/>
        <v>0</v>
      </c>
      <c r="X421">
        <f t="shared" si="63"/>
        <v>0</v>
      </c>
      <c r="Y421">
        <v>1</v>
      </c>
    </row>
    <row r="422" spans="1:25" x14ac:dyDescent="0.35">
      <c r="A422" s="1">
        <f>Data!A422</f>
        <v>29952</v>
      </c>
      <c r="B422" s="2">
        <f>IFERROR((Data!B422/Data!B421-1)*100,"")</f>
        <v>0.31880977683316214</v>
      </c>
      <c r="C422" s="2">
        <f>IFERROR((Data!C422/Data!C421-1)*100,"")</f>
        <v>-2.0645828448436543</v>
      </c>
      <c r="D422">
        <f t="shared" si="56"/>
        <v>-1.4300774937516432</v>
      </c>
      <c r="E422">
        <f t="shared" si="57"/>
        <v>0.35563490858848318</v>
      </c>
      <c r="P422" t="str" cm="1">
        <f t="array" ref="P422">_xlfn.IFS(
  AND(D422&gt;0,E422&gt;0),"Expansion",
  AND(D422&lt;0,E422&gt;0),"Slowdown",
  AND(D422&lt;0,E422&lt;0),"Contraction",
  AND(D422&gt;0,E422&lt;0),"Recovery",
  TRUE,"Undefined"
)</f>
        <v>Slowdown</v>
      </c>
      <c r="Q422" t="str">
        <f t="shared" si="64"/>
        <v>Slowdown</v>
      </c>
      <c r="R422">
        <f t="shared" si="58"/>
        <v>-1</v>
      </c>
      <c r="S422">
        <f t="shared" si="59"/>
        <v>-1</v>
      </c>
      <c r="T422">
        <f t="shared" si="60"/>
        <v>1</v>
      </c>
      <c r="U422">
        <f t="shared" si="61"/>
        <v>1</v>
      </c>
      <c r="V422" t="str" cm="1">
        <f t="array" ref="V422">_xlfn.IFS(
  AND(S422&gt;0,U422&gt;0),"Expansion",
  AND(S422&lt;0,U422&gt;0),"Slowdown",
  AND(S422&lt;0,U422&lt;0),"Contraction",
  AND(S422&gt;0,U422&lt;0),"Recovery",
  TRUE,"Undefined"
)</f>
        <v>Slowdown</v>
      </c>
      <c r="W422">
        <f t="shared" si="62"/>
        <v>0</v>
      </c>
      <c r="X422">
        <f t="shared" si="63"/>
        <v>0</v>
      </c>
      <c r="Y422">
        <v>1</v>
      </c>
    </row>
    <row r="423" spans="1:25" x14ac:dyDescent="0.35">
      <c r="A423" s="1">
        <f>Data!A423</f>
        <v>29983</v>
      </c>
      <c r="B423" s="2">
        <f>IFERROR((Data!B423/Data!B422-1)*100,"")</f>
        <v>0.31779661016948513</v>
      </c>
      <c r="C423" s="2">
        <f>IFERROR((Data!C423/Data!C422-1)*100,"")</f>
        <v>2.0362810399336961</v>
      </c>
      <c r="D423">
        <f t="shared" si="56"/>
        <v>-0.36388355659518296</v>
      </c>
      <c r="E423">
        <f t="shared" si="57"/>
        <v>0.31881193710322869</v>
      </c>
      <c r="P423" t="str" cm="1">
        <f t="array" ref="P423">_xlfn.IFS(
  AND(D423&gt;0,E423&gt;0),"Expansion",
  AND(D423&lt;0,E423&gt;0),"Slowdown",
  AND(D423&lt;0,E423&lt;0),"Contraction",
  AND(D423&gt;0,E423&lt;0),"Recovery",
  TRUE,"Undefined"
)</f>
        <v>Slowdown</v>
      </c>
      <c r="Q423" t="str">
        <f t="shared" si="64"/>
        <v>Slowdown</v>
      </c>
      <c r="R423">
        <f t="shared" si="58"/>
        <v>-1</v>
      </c>
      <c r="S423">
        <f t="shared" si="59"/>
        <v>-1</v>
      </c>
      <c r="T423">
        <f t="shared" si="60"/>
        <v>1</v>
      </c>
      <c r="U423">
        <f t="shared" si="61"/>
        <v>1</v>
      </c>
      <c r="V423" t="str" cm="1">
        <f t="array" ref="V423">_xlfn.IFS(
  AND(S423&gt;0,U423&gt;0),"Expansion",
  AND(S423&lt;0,U423&gt;0),"Slowdown",
  AND(S423&lt;0,U423&lt;0),"Contraction",
  AND(S423&gt;0,U423&lt;0),"Recovery",
  TRUE,"Undefined"
)</f>
        <v>Slowdown</v>
      </c>
      <c r="W423">
        <f t="shared" si="62"/>
        <v>0</v>
      </c>
      <c r="X423">
        <f t="shared" si="63"/>
        <v>0</v>
      </c>
      <c r="Y423">
        <v>1</v>
      </c>
    </row>
    <row r="424" spans="1:25" x14ac:dyDescent="0.35">
      <c r="A424" s="1">
        <f>Data!A424</f>
        <v>30011</v>
      </c>
      <c r="B424" s="2">
        <f>IFERROR((Data!B424/Data!B423-1)*100,"")</f>
        <v>0</v>
      </c>
      <c r="C424" s="2">
        <f>IFERROR((Data!C424/Data!C423-1)*100,"")</f>
        <v>-0.66441251734732365</v>
      </c>
      <c r="D424">
        <f t="shared" si="56"/>
        <v>-0.2309047740857606</v>
      </c>
      <c r="E424">
        <f t="shared" si="57"/>
        <v>0.21220212900088242</v>
      </c>
      <c r="P424" t="str" cm="1">
        <f t="array" ref="P424">_xlfn.IFS(
  AND(D424&gt;0,E424&gt;0),"Expansion",
  AND(D424&lt;0,E424&gt;0),"Slowdown",
  AND(D424&lt;0,E424&lt;0),"Contraction",
  AND(D424&gt;0,E424&lt;0),"Recovery",
  TRUE,"Undefined"
)</f>
        <v>Slowdown</v>
      </c>
      <c r="Q424" t="str">
        <f t="shared" si="64"/>
        <v>Slowdown</v>
      </c>
      <c r="R424">
        <f t="shared" si="58"/>
        <v>1</v>
      </c>
      <c r="S424">
        <f t="shared" si="59"/>
        <v>1</v>
      </c>
      <c r="T424">
        <f t="shared" si="60"/>
        <v>1</v>
      </c>
      <c r="U424">
        <f t="shared" si="61"/>
        <v>1</v>
      </c>
      <c r="V424" t="str" cm="1">
        <f t="array" ref="V424">_xlfn.IFS(
  AND(S424&gt;0,U424&gt;0),"Expansion",
  AND(S424&lt;0,U424&gt;0),"Slowdown",
  AND(S424&lt;0,U424&lt;0),"Contraction",
  AND(S424&gt;0,U424&lt;0),"Recovery",
  TRUE,"Undefined"
)</f>
        <v>Expansion</v>
      </c>
      <c r="W424">
        <f t="shared" si="62"/>
        <v>0</v>
      </c>
      <c r="X424">
        <f t="shared" si="63"/>
        <v>0</v>
      </c>
      <c r="Y424">
        <v>1</v>
      </c>
    </row>
    <row r="425" spans="1:25" x14ac:dyDescent="0.35">
      <c r="A425" s="1">
        <f>Data!A425</f>
        <v>30042</v>
      </c>
      <c r="B425" s="2">
        <f>IFERROR((Data!B425/Data!B424-1)*100,"")</f>
        <v>0.31678986272438703</v>
      </c>
      <c r="C425" s="2">
        <f>IFERROR((Data!C425/Data!C424-1)*100,"")</f>
        <v>-0.92323594906756901</v>
      </c>
      <c r="D425">
        <f t="shared" si="56"/>
        <v>0.14954419117293449</v>
      </c>
      <c r="E425">
        <f t="shared" si="57"/>
        <v>0.21152882429795739</v>
      </c>
      <c r="P425" t="str" cm="1">
        <f t="array" ref="P425">_xlfn.IFS(
  AND(D425&gt;0,E425&gt;0),"Expansion",
  AND(D425&lt;0,E425&gt;0),"Slowdown",
  AND(D425&lt;0,E425&lt;0),"Contraction",
  AND(D425&gt;0,E425&lt;0),"Recovery",
  TRUE,"Undefined"
)</f>
        <v>Expansion</v>
      </c>
      <c r="Q425" t="str">
        <f t="shared" si="64"/>
        <v>Slowdown</v>
      </c>
      <c r="R425">
        <f t="shared" si="58"/>
        <v>1</v>
      </c>
      <c r="S425">
        <f t="shared" si="59"/>
        <v>1</v>
      </c>
      <c r="T425">
        <f t="shared" si="60"/>
        <v>1</v>
      </c>
      <c r="U425">
        <f t="shared" si="61"/>
        <v>1</v>
      </c>
      <c r="V425" t="str" cm="1">
        <f t="array" ref="V425">_xlfn.IFS(
  AND(S425&gt;0,U425&gt;0),"Expansion",
  AND(S425&lt;0,U425&gt;0),"Slowdown",
  AND(S425&lt;0,U425&lt;0),"Contraction",
  AND(S425&gt;0,U425&lt;0),"Recovery",
  TRUE,"Undefined"
)</f>
        <v>Expansion</v>
      </c>
      <c r="W425">
        <f t="shared" si="62"/>
        <v>0</v>
      </c>
      <c r="X425">
        <f t="shared" si="63"/>
        <v>0</v>
      </c>
      <c r="Y425">
        <v>1</v>
      </c>
    </row>
    <row r="426" spans="1:25" x14ac:dyDescent="0.35">
      <c r="A426" s="1">
        <f>Data!A426</f>
        <v>30072</v>
      </c>
      <c r="B426" s="2">
        <f>IFERROR((Data!B426/Data!B425-1)*100,"")</f>
        <v>0.94736842105263008</v>
      </c>
      <c r="C426" s="2">
        <f>IFERROR((Data!C426/Data!C425-1)*100,"")</f>
        <v>-0.66571574121243593</v>
      </c>
      <c r="D426">
        <f t="shared" si="56"/>
        <v>-0.75112140254244286</v>
      </c>
      <c r="E426">
        <f t="shared" si="57"/>
        <v>0.42138609459233906</v>
      </c>
      <c r="P426" t="str" cm="1">
        <f t="array" ref="P426">_xlfn.IFS(
  AND(D426&gt;0,E426&gt;0),"Expansion",
  AND(D426&lt;0,E426&gt;0),"Slowdown",
  AND(D426&lt;0,E426&lt;0),"Contraction",
  AND(D426&gt;0,E426&lt;0),"Recovery",
  TRUE,"Undefined"
)</f>
        <v>Slowdown</v>
      </c>
      <c r="Q426" t="str">
        <f t="shared" si="64"/>
        <v>Slowdown</v>
      </c>
      <c r="R426">
        <f t="shared" si="58"/>
        <v>-1</v>
      </c>
      <c r="S426">
        <f t="shared" si="59"/>
        <v>-1</v>
      </c>
      <c r="T426">
        <f t="shared" si="60"/>
        <v>1</v>
      </c>
      <c r="U426">
        <f t="shared" si="61"/>
        <v>1</v>
      </c>
      <c r="V426" t="str" cm="1">
        <f t="array" ref="V426">_xlfn.IFS(
  AND(S426&gt;0,U426&gt;0),"Expansion",
  AND(S426&lt;0,U426&gt;0),"Slowdown",
  AND(S426&lt;0,U426&lt;0),"Contraction",
  AND(S426&gt;0,U426&lt;0),"Recovery",
  TRUE,"Undefined"
)</f>
        <v>Slowdown</v>
      </c>
      <c r="W426">
        <f t="shared" si="62"/>
        <v>0</v>
      </c>
      <c r="X426">
        <f t="shared" si="63"/>
        <v>0</v>
      </c>
      <c r="Y426">
        <v>1</v>
      </c>
    </row>
    <row r="427" spans="1:25" x14ac:dyDescent="0.35">
      <c r="A427" s="1">
        <f>Data!A427</f>
        <v>30103</v>
      </c>
      <c r="B427" s="2">
        <f>IFERROR((Data!B427/Data!B426-1)*100,"")</f>
        <v>1.1470281543274119</v>
      </c>
      <c r="C427" s="2">
        <f>IFERROR((Data!C427/Data!C426-1)*100,"")</f>
        <v>-0.26031677002069653</v>
      </c>
      <c r="D427">
        <f t="shared" si="56"/>
        <v>-0.61642282010023386</v>
      </c>
      <c r="E427">
        <f t="shared" si="57"/>
        <v>0.80372881270147634</v>
      </c>
      <c r="P427" t="str" cm="1">
        <f t="array" ref="P427">_xlfn.IFS(
  AND(D427&gt;0,E427&gt;0),"Expansion",
  AND(D427&lt;0,E427&gt;0),"Slowdown",
  AND(D427&lt;0,E427&lt;0),"Contraction",
  AND(D427&gt;0,E427&lt;0),"Recovery",
  TRUE,"Undefined"
)</f>
        <v>Slowdown</v>
      </c>
      <c r="Q427" t="str">
        <f t="shared" si="64"/>
        <v>Slowdown</v>
      </c>
      <c r="R427">
        <f t="shared" si="58"/>
        <v>-1</v>
      </c>
      <c r="S427">
        <f t="shared" si="59"/>
        <v>-1</v>
      </c>
      <c r="T427">
        <f t="shared" si="60"/>
        <v>1</v>
      </c>
      <c r="U427">
        <f t="shared" si="61"/>
        <v>1</v>
      </c>
      <c r="V427" t="str" cm="1">
        <f t="array" ref="V427">_xlfn.IFS(
  AND(S427&gt;0,U427&gt;0),"Expansion",
  AND(S427&lt;0,U427&gt;0),"Slowdown",
  AND(S427&lt;0,U427&lt;0),"Contraction",
  AND(S427&gt;0,U427&lt;0),"Recovery",
  TRUE,"Undefined"
)</f>
        <v>Slowdown</v>
      </c>
      <c r="W427">
        <f t="shared" si="62"/>
        <v>0</v>
      </c>
      <c r="X427">
        <f t="shared" si="63"/>
        <v>0</v>
      </c>
      <c r="Y427">
        <v>1</v>
      </c>
    </row>
    <row r="428" spans="1:25" x14ac:dyDescent="0.35">
      <c r="A428" s="1">
        <f>Data!A428</f>
        <v>30133</v>
      </c>
      <c r="B428" s="2">
        <f>IFERROR((Data!B428/Data!B427-1)*100,"")</f>
        <v>0.51546391752577136</v>
      </c>
      <c r="C428" s="2">
        <f>IFERROR((Data!C428/Data!C427-1)*100,"")</f>
        <v>-0.32866186494013849</v>
      </c>
      <c r="D428">
        <f t="shared" si="56"/>
        <v>-0.41823145872442363</v>
      </c>
      <c r="E428">
        <f t="shared" si="57"/>
        <v>0.86995349763527108</v>
      </c>
      <c r="P428" t="str" cm="1">
        <f t="array" ref="P428">_xlfn.IFS(
  AND(D428&gt;0,E428&gt;0),"Expansion",
  AND(D428&lt;0,E428&gt;0),"Slowdown",
  AND(D428&lt;0,E428&lt;0),"Contraction",
  AND(D428&gt;0,E428&lt;0),"Recovery",
  TRUE,"Undefined"
)</f>
        <v>Slowdown</v>
      </c>
      <c r="Q428" t="str">
        <f t="shared" si="64"/>
        <v>Slowdown</v>
      </c>
      <c r="R428">
        <f t="shared" si="58"/>
        <v>-1</v>
      </c>
      <c r="S428">
        <f t="shared" si="59"/>
        <v>-1</v>
      </c>
      <c r="T428">
        <f t="shared" si="60"/>
        <v>1</v>
      </c>
      <c r="U428">
        <f t="shared" si="61"/>
        <v>1</v>
      </c>
      <c r="V428" t="str" cm="1">
        <f t="array" ref="V428">_xlfn.IFS(
  AND(S428&gt;0,U428&gt;0),"Expansion",
  AND(S428&lt;0,U428&gt;0),"Slowdown",
  AND(S428&lt;0,U428&lt;0),"Contraction",
  AND(S428&gt;0,U428&lt;0),"Recovery",
  TRUE,"Undefined"
)</f>
        <v>Slowdown</v>
      </c>
      <c r="W428">
        <f t="shared" si="62"/>
        <v>0</v>
      </c>
      <c r="X428">
        <f t="shared" si="63"/>
        <v>0</v>
      </c>
      <c r="Y428">
        <v>1</v>
      </c>
    </row>
    <row r="429" spans="1:25" x14ac:dyDescent="0.35">
      <c r="A429" s="1">
        <f>Data!A429</f>
        <v>30164</v>
      </c>
      <c r="B429" s="2">
        <f>IFERROR((Data!B429/Data!B428-1)*100,"")</f>
        <v>0.20512820512821328</v>
      </c>
      <c r="C429" s="2">
        <f>IFERROR((Data!C429/Data!C428-1)*100,"")</f>
        <v>-0.91288772966637843</v>
      </c>
      <c r="D429">
        <f t="shared" si="56"/>
        <v>-0.50062212154240449</v>
      </c>
      <c r="E429">
        <f t="shared" si="57"/>
        <v>0.62254009232713214</v>
      </c>
      <c r="P429" t="str" cm="1">
        <f t="array" ref="P429">_xlfn.IFS(
  AND(D429&gt;0,E429&gt;0),"Expansion",
  AND(D429&lt;0,E429&gt;0),"Slowdown",
  AND(D429&lt;0,E429&lt;0),"Contraction",
  AND(D429&gt;0,E429&lt;0),"Recovery",
  TRUE,"Undefined"
)</f>
        <v>Slowdown</v>
      </c>
      <c r="Q429" t="str">
        <f t="shared" si="64"/>
        <v>Slowdown</v>
      </c>
      <c r="R429">
        <f t="shared" si="58"/>
        <v>-1</v>
      </c>
      <c r="S429">
        <f t="shared" si="59"/>
        <v>-1</v>
      </c>
      <c r="T429">
        <f t="shared" si="60"/>
        <v>1</v>
      </c>
      <c r="U429">
        <f t="shared" si="61"/>
        <v>1</v>
      </c>
      <c r="V429" t="str" cm="1">
        <f t="array" ref="V429">_xlfn.IFS(
  AND(S429&gt;0,U429&gt;0),"Expansion",
  AND(S429&lt;0,U429&gt;0),"Slowdown",
  AND(S429&lt;0,U429&lt;0),"Contraction",
  AND(S429&gt;0,U429&lt;0),"Recovery",
  TRUE,"Undefined"
)</f>
        <v>Slowdown</v>
      </c>
      <c r="W429">
        <f t="shared" si="62"/>
        <v>0</v>
      </c>
      <c r="X429">
        <f t="shared" si="63"/>
        <v>0</v>
      </c>
      <c r="Y429">
        <v>1</v>
      </c>
    </row>
    <row r="430" spans="1:25" x14ac:dyDescent="0.35">
      <c r="A430" s="1">
        <f>Data!A430</f>
        <v>30195</v>
      </c>
      <c r="B430" s="2">
        <f>IFERROR((Data!B430/Data!B429-1)*100,"")</f>
        <v>0</v>
      </c>
      <c r="C430" s="2">
        <f>IFERROR((Data!C430/Data!C429-1)*100,"")</f>
        <v>-0.24656803945088956</v>
      </c>
      <c r="D430">
        <f t="shared" si="56"/>
        <v>-0.49603921135246881</v>
      </c>
      <c r="E430">
        <f t="shared" si="57"/>
        <v>0.24019737421799489</v>
      </c>
      <c r="P430" t="str" cm="1">
        <f t="array" ref="P430">_xlfn.IFS(
  AND(D430&gt;0,E430&gt;0),"Expansion",
  AND(D430&lt;0,E430&gt;0),"Slowdown",
  AND(D430&lt;0,E430&lt;0),"Contraction",
  AND(D430&gt;0,E430&lt;0),"Recovery",
  TRUE,"Undefined"
)</f>
        <v>Slowdown</v>
      </c>
      <c r="Q430" t="str">
        <f t="shared" si="64"/>
        <v>Slowdown</v>
      </c>
      <c r="R430">
        <f t="shared" si="58"/>
        <v>-1</v>
      </c>
      <c r="S430">
        <f t="shared" si="59"/>
        <v>-1</v>
      </c>
      <c r="T430">
        <f t="shared" si="60"/>
        <v>1</v>
      </c>
      <c r="U430">
        <f t="shared" si="61"/>
        <v>1</v>
      </c>
      <c r="V430" t="str" cm="1">
        <f t="array" ref="V430">_xlfn.IFS(
  AND(S430&gt;0,U430&gt;0),"Expansion",
  AND(S430&lt;0,U430&gt;0),"Slowdown",
  AND(S430&lt;0,U430&lt;0),"Contraction",
  AND(S430&gt;0,U430&lt;0),"Recovery",
  TRUE,"Undefined"
)</f>
        <v>Slowdown</v>
      </c>
      <c r="W430">
        <f t="shared" si="62"/>
        <v>0</v>
      </c>
      <c r="X430">
        <f t="shared" si="63"/>
        <v>0</v>
      </c>
      <c r="Y430">
        <v>1</v>
      </c>
    </row>
    <row r="431" spans="1:25" x14ac:dyDescent="0.35">
      <c r="A431" s="1">
        <f>Data!A431</f>
        <v>30225</v>
      </c>
      <c r="B431" s="2">
        <f>IFERROR((Data!B431/Data!B430-1)*100,"")</f>
        <v>0.40941658137154668</v>
      </c>
      <c r="C431" s="2">
        <f>IFERROR((Data!C431/Data!C430-1)*100,"")</f>
        <v>-0.96804228739394427</v>
      </c>
      <c r="D431">
        <f t="shared" si="56"/>
        <v>-0.70916601883707076</v>
      </c>
      <c r="E431">
        <f t="shared" si="57"/>
        <v>0.20484826216658666</v>
      </c>
      <c r="P431" t="str" cm="1">
        <f t="array" ref="P431">_xlfn.IFS(
  AND(D431&gt;0,E431&gt;0),"Expansion",
  AND(D431&lt;0,E431&gt;0),"Slowdown",
  AND(D431&lt;0,E431&lt;0),"Contraction",
  AND(D431&gt;0,E431&lt;0),"Recovery",
  TRUE,"Undefined"
)</f>
        <v>Slowdown</v>
      </c>
      <c r="Q431" t="str">
        <f t="shared" si="64"/>
        <v>Slowdown</v>
      </c>
      <c r="R431">
        <f t="shared" si="58"/>
        <v>-1</v>
      </c>
      <c r="S431">
        <f t="shared" si="59"/>
        <v>-1</v>
      </c>
      <c r="T431">
        <f t="shared" si="60"/>
        <v>1</v>
      </c>
      <c r="U431">
        <f t="shared" si="61"/>
        <v>1</v>
      </c>
      <c r="V431" t="str" cm="1">
        <f t="array" ref="V431">_xlfn.IFS(
  AND(S431&gt;0,U431&gt;0),"Expansion",
  AND(S431&lt;0,U431&gt;0),"Slowdown",
  AND(S431&lt;0,U431&lt;0),"Contraction",
  AND(S431&gt;0,U431&lt;0),"Recovery",
  TRUE,"Undefined"
)</f>
        <v>Slowdown</v>
      </c>
      <c r="W431">
        <f t="shared" si="62"/>
        <v>0</v>
      </c>
      <c r="X431">
        <f t="shared" si="63"/>
        <v>0</v>
      </c>
      <c r="Y431">
        <v>1</v>
      </c>
    </row>
    <row r="432" spans="1:25" x14ac:dyDescent="0.35">
      <c r="A432" s="1">
        <f>Data!A432</f>
        <v>30256</v>
      </c>
      <c r="B432" s="2">
        <f>IFERROR((Data!B432/Data!B431-1)*100,"")</f>
        <v>-0.10193679918449883</v>
      </c>
      <c r="C432" s="2">
        <f>IFERROR((Data!C432/Data!C431-1)*100,"")</f>
        <v>-0.32485122404194433</v>
      </c>
      <c r="D432">
        <f t="shared" si="56"/>
        <v>-0.51315385029559268</v>
      </c>
      <c r="E432">
        <f t="shared" si="57"/>
        <v>0.10249326072901595</v>
      </c>
      <c r="P432" t="str" cm="1">
        <f t="array" ref="P432">_xlfn.IFS(
  AND(D432&gt;0,E432&gt;0),"Expansion",
  AND(D432&lt;0,E432&gt;0),"Slowdown",
  AND(D432&lt;0,E432&lt;0),"Contraction",
  AND(D432&gt;0,E432&lt;0),"Recovery",
  TRUE,"Undefined"
)</f>
        <v>Slowdown</v>
      </c>
      <c r="Q432" t="str">
        <f t="shared" si="64"/>
        <v>Slowdown</v>
      </c>
      <c r="R432">
        <f t="shared" si="58"/>
        <v>-1</v>
      </c>
      <c r="S432">
        <f t="shared" si="59"/>
        <v>-1</v>
      </c>
      <c r="T432">
        <f t="shared" si="60"/>
        <v>1</v>
      </c>
      <c r="U432">
        <f t="shared" si="61"/>
        <v>1</v>
      </c>
      <c r="V432" t="str" cm="1">
        <f t="array" ref="V432">_xlfn.IFS(
  AND(S432&gt;0,U432&gt;0),"Expansion",
  AND(S432&lt;0,U432&gt;0),"Slowdown",
  AND(S432&lt;0,U432&lt;0),"Contraction",
  AND(S432&gt;0,U432&lt;0),"Recovery",
  TRUE,"Undefined"
)</f>
        <v>Slowdown</v>
      </c>
      <c r="W432">
        <f t="shared" si="62"/>
        <v>0</v>
      </c>
      <c r="X432">
        <f t="shared" si="63"/>
        <v>0</v>
      </c>
      <c r="Y432">
        <v>1</v>
      </c>
    </row>
    <row r="433" spans="1:25" x14ac:dyDescent="0.35">
      <c r="A433" s="1">
        <f>Data!A433</f>
        <v>30286</v>
      </c>
      <c r="B433" s="2">
        <f>IFERROR((Data!B433/Data!B432-1)*100,"")</f>
        <v>-0.30612244897958441</v>
      </c>
      <c r="C433" s="2">
        <f>IFERROR((Data!C433/Data!C432-1)*100,"")</f>
        <v>-0.70744242116617118</v>
      </c>
      <c r="D433">
        <f t="shared" si="56"/>
        <v>-0.66677864420068655</v>
      </c>
      <c r="E433">
        <f t="shared" si="57"/>
        <v>4.5244440248781714E-4</v>
      </c>
      <c r="P433" t="str" cm="1">
        <f t="array" ref="P433">_xlfn.IFS(
  AND(D433&gt;0,E433&gt;0),"Expansion",
  AND(D433&lt;0,E433&gt;0),"Slowdown",
  AND(D433&lt;0,E433&lt;0),"Contraction",
  AND(D433&gt;0,E433&lt;0),"Recovery",
  TRUE,"Undefined"
)</f>
        <v>Slowdown</v>
      </c>
      <c r="Q433" t="str">
        <f t="shared" si="64"/>
        <v>Slowdown</v>
      </c>
      <c r="R433">
        <f t="shared" si="58"/>
        <v>-1</v>
      </c>
      <c r="S433">
        <f t="shared" si="59"/>
        <v>-1</v>
      </c>
      <c r="T433">
        <f t="shared" si="60"/>
        <v>1</v>
      </c>
      <c r="U433">
        <f t="shared" si="61"/>
        <v>1</v>
      </c>
      <c r="V433" t="str" cm="1">
        <f t="array" ref="V433">_xlfn.IFS(
  AND(S433&gt;0,U433&gt;0),"Expansion",
  AND(S433&lt;0,U433&gt;0),"Slowdown",
  AND(S433&lt;0,U433&lt;0),"Contraction",
  AND(S433&gt;0,U433&lt;0),"Recovery",
  TRUE,"Undefined"
)</f>
        <v>Slowdown</v>
      </c>
      <c r="W433">
        <f t="shared" si="62"/>
        <v>0</v>
      </c>
      <c r="X433">
        <f t="shared" si="63"/>
        <v>0</v>
      </c>
      <c r="Y433">
        <v>0</v>
      </c>
    </row>
    <row r="434" spans="1:25" x14ac:dyDescent="0.35">
      <c r="A434" s="1">
        <f>Data!A434</f>
        <v>30317</v>
      </c>
      <c r="B434" s="2">
        <f>IFERROR((Data!B434/Data!B433-1)*100,"")</f>
        <v>0.20470829068577334</v>
      </c>
      <c r="C434" s="2">
        <f>IFERROR((Data!C434/Data!C433-1)*100,"")</f>
        <v>1.863531316229472</v>
      </c>
      <c r="D434">
        <f t="shared" si="56"/>
        <v>0.27707922367378551</v>
      </c>
      <c r="E434">
        <f t="shared" si="57"/>
        <v>-6.7783652492769964E-2</v>
      </c>
      <c r="P434" t="str" cm="1">
        <f t="array" ref="P434">_xlfn.IFS(
  AND(D434&gt;0,E434&gt;0),"Expansion",
  AND(D434&lt;0,E434&gt;0),"Slowdown",
  AND(D434&lt;0,E434&lt;0),"Contraction",
  AND(D434&gt;0,E434&lt;0),"Recovery",
  TRUE,"Undefined"
)</f>
        <v>Recovery</v>
      </c>
      <c r="Q434" t="str">
        <f t="shared" si="64"/>
        <v>Slowdown</v>
      </c>
      <c r="R434">
        <f t="shared" si="58"/>
        <v>1</v>
      </c>
      <c r="S434">
        <f t="shared" si="59"/>
        <v>1</v>
      </c>
      <c r="T434">
        <f t="shared" si="60"/>
        <v>-1</v>
      </c>
      <c r="U434">
        <f t="shared" si="61"/>
        <v>-1</v>
      </c>
      <c r="V434" t="str" cm="1">
        <f t="array" ref="V434">_xlfn.IFS(
  AND(S434&gt;0,U434&gt;0),"Expansion",
  AND(S434&lt;0,U434&gt;0),"Slowdown",
  AND(S434&lt;0,U434&lt;0),"Contraction",
  AND(S434&gt;0,U434&lt;0),"Recovery",
  TRUE,"Undefined"
)</f>
        <v>Recovery</v>
      </c>
      <c r="W434">
        <f t="shared" si="62"/>
        <v>0</v>
      </c>
      <c r="X434">
        <f t="shared" si="63"/>
        <v>0</v>
      </c>
      <c r="Y434">
        <v>0</v>
      </c>
    </row>
    <row r="435" spans="1:25" x14ac:dyDescent="0.35">
      <c r="A435" s="1">
        <f>Data!A435</f>
        <v>30348</v>
      </c>
      <c r="B435" s="2">
        <f>IFERROR((Data!B435/Data!B434-1)*100,"")</f>
        <v>0.10214504596526286</v>
      </c>
      <c r="C435" s="2">
        <f>IFERROR((Data!C435/Data!C434-1)*100,"")</f>
        <v>-0.62751707323193129</v>
      </c>
      <c r="D435">
        <f t="shared" si="56"/>
        <v>0.17619060727712318</v>
      </c>
      <c r="E435">
        <f t="shared" si="57"/>
        <v>2.4362922381726548E-4</v>
      </c>
      <c r="P435" t="str" cm="1">
        <f t="array" ref="P435">_xlfn.IFS(
  AND(D435&gt;0,E435&gt;0),"Expansion",
  AND(D435&lt;0,E435&gt;0),"Slowdown",
  AND(D435&lt;0,E435&lt;0),"Contraction",
  AND(D435&gt;0,E435&lt;0),"Recovery",
  TRUE,"Undefined"
)</f>
        <v>Expansion</v>
      </c>
      <c r="Q435" t="str">
        <f t="shared" si="64"/>
        <v>Slowdown</v>
      </c>
      <c r="R435">
        <f t="shared" si="58"/>
        <v>1</v>
      </c>
      <c r="S435">
        <f t="shared" si="59"/>
        <v>1</v>
      </c>
      <c r="T435">
        <f t="shared" si="60"/>
        <v>1</v>
      </c>
      <c r="U435">
        <f t="shared" si="61"/>
        <v>1</v>
      </c>
      <c r="V435" t="str" cm="1">
        <f t="array" ref="V435">_xlfn.IFS(
  AND(S435&gt;0,U435&gt;0),"Expansion",
  AND(S435&lt;0,U435&gt;0),"Slowdown",
  AND(S435&lt;0,U435&lt;0),"Contraction",
  AND(S435&gt;0,U435&lt;0),"Recovery",
  TRUE,"Undefined"
)</f>
        <v>Expansion</v>
      </c>
      <c r="W435">
        <f t="shared" si="62"/>
        <v>0</v>
      </c>
      <c r="X435">
        <f t="shared" si="63"/>
        <v>0</v>
      </c>
      <c r="Y435">
        <v>0</v>
      </c>
    </row>
    <row r="436" spans="1:25" x14ac:dyDescent="0.35">
      <c r="A436" s="1">
        <f>Data!A436</f>
        <v>30376</v>
      </c>
      <c r="B436" s="2">
        <f>IFERROR((Data!B436/Data!B435-1)*100,"")</f>
        <v>0.10204081632652073</v>
      </c>
      <c r="C436" s="2">
        <f>IFERROR((Data!C436/Data!C435-1)*100,"")</f>
        <v>0.84400704496530032</v>
      </c>
      <c r="D436">
        <f t="shared" si="56"/>
        <v>0.69334042932094697</v>
      </c>
      <c r="E436">
        <f t="shared" si="57"/>
        <v>0.13629805099251899</v>
      </c>
      <c r="P436" t="str" cm="1">
        <f t="array" ref="P436">_xlfn.IFS(
  AND(D436&gt;0,E436&gt;0),"Expansion",
  AND(D436&lt;0,E436&gt;0),"Slowdown",
  AND(D436&lt;0,E436&lt;0),"Contraction",
  AND(D436&gt;0,E436&lt;0),"Recovery",
  TRUE,"Undefined"
)</f>
        <v>Expansion</v>
      </c>
      <c r="Q436" t="str">
        <f t="shared" si="64"/>
        <v>Slowdown</v>
      </c>
      <c r="R436">
        <f t="shared" si="58"/>
        <v>1</v>
      </c>
      <c r="S436">
        <f t="shared" si="59"/>
        <v>1</v>
      </c>
      <c r="T436">
        <f t="shared" si="60"/>
        <v>1</v>
      </c>
      <c r="U436">
        <f t="shared" si="61"/>
        <v>1</v>
      </c>
      <c r="V436" t="str" cm="1">
        <f t="array" ref="V436">_xlfn.IFS(
  AND(S436&gt;0,U436&gt;0),"Expansion",
  AND(S436&lt;0,U436&gt;0),"Slowdown",
  AND(S436&lt;0,U436&lt;0),"Contraction",
  AND(S436&gt;0,U436&lt;0),"Recovery",
  TRUE,"Undefined"
)</f>
        <v>Expansion</v>
      </c>
      <c r="W436">
        <f t="shared" si="62"/>
        <v>0</v>
      </c>
      <c r="X436">
        <f t="shared" si="63"/>
        <v>0</v>
      </c>
      <c r="Y436">
        <v>0</v>
      </c>
    </row>
    <row r="437" spans="1:25" x14ac:dyDescent="0.35">
      <c r="A437" s="1">
        <f>Data!A437</f>
        <v>30407</v>
      </c>
      <c r="B437" s="2">
        <f>IFERROR((Data!B437/Data!B436-1)*100,"")</f>
        <v>0.7135575942915473</v>
      </c>
      <c r="C437" s="2">
        <f>IFERROR((Data!C437/Data!C436-1)*100,"")</f>
        <v>1.2659522080610275</v>
      </c>
      <c r="D437">
        <f t="shared" si="56"/>
        <v>0.49414739326479884</v>
      </c>
      <c r="E437">
        <f t="shared" si="57"/>
        <v>0.30591448552777695</v>
      </c>
      <c r="P437" t="str" cm="1">
        <f t="array" ref="P437">_xlfn.IFS(
  AND(D437&gt;0,E437&gt;0),"Expansion",
  AND(D437&lt;0,E437&gt;0),"Slowdown",
  AND(D437&lt;0,E437&lt;0),"Contraction",
  AND(D437&gt;0,E437&lt;0),"Recovery",
  TRUE,"Undefined"
)</f>
        <v>Expansion</v>
      </c>
      <c r="Q437" t="str">
        <f t="shared" si="64"/>
        <v>Expansion</v>
      </c>
      <c r="R437">
        <f t="shared" si="58"/>
        <v>1</v>
      </c>
      <c r="S437">
        <f t="shared" si="59"/>
        <v>1</v>
      </c>
      <c r="T437">
        <f t="shared" si="60"/>
        <v>1</v>
      </c>
      <c r="U437">
        <f t="shared" si="61"/>
        <v>1</v>
      </c>
      <c r="V437" t="str" cm="1">
        <f t="array" ref="V437">_xlfn.IFS(
  AND(S437&gt;0,U437&gt;0),"Expansion",
  AND(S437&lt;0,U437&gt;0),"Slowdown",
  AND(S437&lt;0,U437&lt;0),"Contraction",
  AND(S437&gt;0,U437&lt;0),"Recovery",
  TRUE,"Undefined"
)</f>
        <v>Expansion</v>
      </c>
      <c r="W437">
        <f t="shared" si="62"/>
        <v>0</v>
      </c>
      <c r="X437">
        <f t="shared" si="63"/>
        <v>0</v>
      </c>
      <c r="Y437">
        <v>0</v>
      </c>
    </row>
    <row r="438" spans="1:25" x14ac:dyDescent="0.35">
      <c r="A438" s="1">
        <f>Data!A438</f>
        <v>30437</v>
      </c>
      <c r="B438" s="2">
        <f>IFERROR((Data!B438/Data!B437-1)*100,"")</f>
        <v>0.40485829959515662</v>
      </c>
      <c r="C438" s="2">
        <f>IFERROR((Data!C438/Data!C437-1)*100,"")</f>
        <v>0.60332446616706559</v>
      </c>
      <c r="D438">
        <f t="shared" si="56"/>
        <v>0.9044279063977978</v>
      </c>
      <c r="E438">
        <f t="shared" si="57"/>
        <v>0.40681890340440824</v>
      </c>
      <c r="P438" t="str" cm="1">
        <f t="array" ref="P438">_xlfn.IFS(
  AND(D438&gt;0,E438&gt;0),"Expansion",
  AND(D438&lt;0,E438&gt;0),"Slowdown",
  AND(D438&lt;0,E438&lt;0),"Contraction",
  AND(D438&gt;0,E438&lt;0),"Recovery",
  TRUE,"Undefined"
)</f>
        <v>Expansion</v>
      </c>
      <c r="Q438" t="str">
        <f t="shared" si="64"/>
        <v>Expansion</v>
      </c>
      <c r="R438">
        <f t="shared" si="58"/>
        <v>1</v>
      </c>
      <c r="S438">
        <f t="shared" si="59"/>
        <v>1</v>
      </c>
      <c r="T438">
        <f t="shared" si="60"/>
        <v>1</v>
      </c>
      <c r="U438">
        <f t="shared" si="61"/>
        <v>1</v>
      </c>
      <c r="V438" t="str" cm="1">
        <f t="array" ref="V438">_xlfn.IFS(
  AND(S438&gt;0,U438&gt;0),"Expansion",
  AND(S438&lt;0,U438&gt;0),"Slowdown",
  AND(S438&lt;0,U438&lt;0),"Contraction",
  AND(S438&gt;0,U438&lt;0),"Recovery",
  TRUE,"Undefined"
)</f>
        <v>Expansion</v>
      </c>
      <c r="W438">
        <f t="shared" si="62"/>
        <v>0</v>
      </c>
      <c r="X438">
        <f t="shared" si="63"/>
        <v>0</v>
      </c>
      <c r="Y438">
        <v>0</v>
      </c>
    </row>
    <row r="439" spans="1:25" x14ac:dyDescent="0.35">
      <c r="A439" s="1">
        <f>Data!A439</f>
        <v>30468</v>
      </c>
      <c r="B439" s="2">
        <f>IFERROR((Data!B439/Data!B438-1)*100,"")</f>
        <v>0.20161290322580072</v>
      </c>
      <c r="C439" s="2">
        <f>IFERROR((Data!C439/Data!C438-1)*100,"")</f>
        <v>0.61260980790145414</v>
      </c>
      <c r="D439">
        <f t="shared" si="56"/>
        <v>0.82729549404318237</v>
      </c>
      <c r="E439">
        <f t="shared" si="57"/>
        <v>0.44000959903750153</v>
      </c>
      <c r="P439" t="str" cm="1">
        <f t="array" ref="P439">_xlfn.IFS(
  AND(D439&gt;0,E439&gt;0),"Expansion",
  AND(D439&lt;0,E439&gt;0),"Slowdown",
  AND(D439&lt;0,E439&lt;0),"Contraction",
  AND(D439&gt;0,E439&lt;0),"Recovery",
  TRUE,"Undefined"
)</f>
        <v>Expansion</v>
      </c>
      <c r="Q439" t="str">
        <f t="shared" si="64"/>
        <v>Expansion</v>
      </c>
      <c r="R439">
        <f t="shared" si="58"/>
        <v>1</v>
      </c>
      <c r="S439">
        <f t="shared" si="59"/>
        <v>1</v>
      </c>
      <c r="T439">
        <f t="shared" si="60"/>
        <v>1</v>
      </c>
      <c r="U439">
        <f t="shared" si="61"/>
        <v>1</v>
      </c>
      <c r="V439" t="str" cm="1">
        <f t="array" ref="V439">_xlfn.IFS(
  AND(S439&gt;0,U439&gt;0),"Expansion",
  AND(S439&lt;0,U439&gt;0),"Slowdown",
  AND(S439&lt;0,U439&lt;0),"Contraction",
  AND(S439&gt;0,U439&lt;0),"Recovery",
  TRUE,"Undefined"
)</f>
        <v>Expansion</v>
      </c>
      <c r="W439">
        <f t="shared" si="62"/>
        <v>0</v>
      </c>
      <c r="X439">
        <f t="shared" si="63"/>
        <v>0</v>
      </c>
      <c r="Y439">
        <v>0</v>
      </c>
    </row>
    <row r="440" spans="1:25" x14ac:dyDescent="0.35">
      <c r="A440" s="1">
        <f>Data!A440</f>
        <v>30498</v>
      </c>
      <c r="B440" s="2">
        <f>IFERROR((Data!B440/Data!B439-1)*100,"")</f>
        <v>0.40241448692150961</v>
      </c>
      <c r="C440" s="2">
        <f>IFERROR((Data!C440/Data!C439-1)*100,"")</f>
        <v>1.4893227205178938</v>
      </c>
      <c r="D440">
        <f t="shared" si="56"/>
        <v>0.90175233152880452</v>
      </c>
      <c r="E440">
        <f t="shared" si="57"/>
        <v>0.33629522991415567</v>
      </c>
      <c r="P440" t="str" cm="1">
        <f t="array" ref="P440">_xlfn.IFS(
  AND(D440&gt;0,E440&gt;0),"Expansion",
  AND(D440&lt;0,E440&gt;0),"Slowdown",
  AND(D440&lt;0,E440&lt;0),"Contraction",
  AND(D440&gt;0,E440&lt;0),"Recovery",
  TRUE,"Undefined"
)</f>
        <v>Expansion</v>
      </c>
      <c r="Q440" t="str">
        <f t="shared" si="64"/>
        <v>Expansion</v>
      </c>
      <c r="R440">
        <f t="shared" si="58"/>
        <v>1</v>
      </c>
      <c r="S440">
        <f t="shared" si="59"/>
        <v>1</v>
      </c>
      <c r="T440">
        <f t="shared" si="60"/>
        <v>1</v>
      </c>
      <c r="U440">
        <f t="shared" si="61"/>
        <v>1</v>
      </c>
      <c r="V440" t="str" cm="1">
        <f t="array" ref="V440">_xlfn.IFS(
  AND(S440&gt;0,U440&gt;0),"Expansion",
  AND(S440&lt;0,U440&gt;0),"Slowdown",
  AND(S440&lt;0,U440&lt;0),"Contraction",
  AND(S440&gt;0,U440&lt;0),"Recovery",
  TRUE,"Undefined"
)</f>
        <v>Expansion</v>
      </c>
      <c r="W440">
        <f t="shared" si="62"/>
        <v>0</v>
      </c>
      <c r="X440">
        <f t="shared" si="63"/>
        <v>0</v>
      </c>
      <c r="Y440">
        <v>0</v>
      </c>
    </row>
    <row r="441" spans="1:25" x14ac:dyDescent="0.35">
      <c r="A441" s="1">
        <f>Data!A441</f>
        <v>30529</v>
      </c>
      <c r="B441" s="2">
        <f>IFERROR((Data!B441/Data!B440-1)*100,"")</f>
        <v>0.30060120240480437</v>
      </c>
      <c r="C441" s="2">
        <f>IFERROR((Data!C441/Data!C440-1)*100,"")</f>
        <v>1.1828396978413203</v>
      </c>
      <c r="D441">
        <f t="shared" si="56"/>
        <v>1.0949240754202227</v>
      </c>
      <c r="E441">
        <f t="shared" si="57"/>
        <v>0.30154286418403825</v>
      </c>
      <c r="P441" t="str" cm="1">
        <f t="array" ref="P441">_xlfn.IFS(
  AND(D441&gt;0,E441&gt;0),"Expansion",
  AND(D441&lt;0,E441&gt;0),"Slowdown",
  AND(D441&lt;0,E441&lt;0),"Contraction",
  AND(D441&gt;0,E441&lt;0),"Recovery",
  TRUE,"Undefined"
)</f>
        <v>Expansion</v>
      </c>
      <c r="Q441" t="str">
        <f t="shared" si="64"/>
        <v>Expansion</v>
      </c>
      <c r="R441">
        <f t="shared" si="58"/>
        <v>1</v>
      </c>
      <c r="S441">
        <f t="shared" si="59"/>
        <v>1</v>
      </c>
      <c r="T441">
        <f t="shared" si="60"/>
        <v>1</v>
      </c>
      <c r="U441">
        <f t="shared" si="61"/>
        <v>1</v>
      </c>
      <c r="V441" t="str" cm="1">
        <f t="array" ref="V441">_xlfn.IFS(
  AND(S441&gt;0,U441&gt;0),"Expansion",
  AND(S441&lt;0,U441&gt;0),"Slowdown",
  AND(S441&lt;0,U441&lt;0),"Contraction",
  AND(S441&gt;0,U441&lt;0),"Recovery",
  TRUE,"Undefined"
)</f>
        <v>Expansion</v>
      </c>
      <c r="W441">
        <f t="shared" si="62"/>
        <v>0</v>
      </c>
      <c r="X441">
        <f t="shared" si="63"/>
        <v>0</v>
      </c>
      <c r="Y441">
        <v>0</v>
      </c>
    </row>
    <row r="442" spans="1:25" x14ac:dyDescent="0.35">
      <c r="A442" s="1">
        <f>Data!A442</f>
        <v>30560</v>
      </c>
      <c r="B442" s="2">
        <f>IFERROR((Data!B442/Data!B441-1)*100,"")</f>
        <v>0.29970029970030065</v>
      </c>
      <c r="C442" s="2">
        <f>IFERROR((Data!C442/Data!C441-1)*100,"")</f>
        <v>1.4544755304365387</v>
      </c>
      <c r="D442">
        <f t="shared" si="56"/>
        <v>1.3755459829319177</v>
      </c>
      <c r="E442">
        <f t="shared" si="57"/>
        <v>0.33423866300887156</v>
      </c>
      <c r="P442" t="str" cm="1">
        <f t="array" ref="P442">_xlfn.IFS(
  AND(D442&gt;0,E442&gt;0),"Expansion",
  AND(D442&lt;0,E442&gt;0),"Slowdown",
  AND(D442&lt;0,E442&lt;0),"Contraction",
  AND(D442&gt;0,E442&lt;0),"Recovery",
  TRUE,"Undefined"
)</f>
        <v>Expansion</v>
      </c>
      <c r="Q442" t="str">
        <f t="shared" si="64"/>
        <v>Expansion</v>
      </c>
      <c r="R442">
        <f t="shared" si="58"/>
        <v>1</v>
      </c>
      <c r="S442">
        <f t="shared" si="59"/>
        <v>1</v>
      </c>
      <c r="T442">
        <f t="shared" si="60"/>
        <v>1</v>
      </c>
      <c r="U442">
        <f t="shared" si="61"/>
        <v>1</v>
      </c>
      <c r="V442" t="str" cm="1">
        <f t="array" ref="V442">_xlfn.IFS(
  AND(S442&gt;0,U442&gt;0),"Expansion",
  AND(S442&lt;0,U442&gt;0),"Slowdown",
  AND(S442&lt;0,U442&lt;0),"Contraction",
  AND(S442&gt;0,U442&lt;0),"Recovery",
  TRUE,"Undefined"
)</f>
        <v>Expansion</v>
      </c>
      <c r="W442">
        <f t="shared" si="62"/>
        <v>0</v>
      </c>
      <c r="X442">
        <f t="shared" si="63"/>
        <v>0</v>
      </c>
      <c r="Y442">
        <v>0</v>
      </c>
    </row>
    <row r="443" spans="1:25" x14ac:dyDescent="0.35">
      <c r="A443" s="1">
        <f>Data!A443</f>
        <v>30590</v>
      </c>
      <c r="B443" s="2">
        <f>IFERROR((Data!B443/Data!B442-1)*100,"")</f>
        <v>0.39840637450199168</v>
      </c>
      <c r="C443" s="2">
        <f>IFERROR((Data!C443/Data!C442-1)*100,"")</f>
        <v>0.76458634569542827</v>
      </c>
      <c r="D443">
        <f t="shared" si="56"/>
        <v>1.1339671913244291</v>
      </c>
      <c r="E443">
        <f t="shared" si="57"/>
        <v>0.33290262553569888</v>
      </c>
      <c r="P443" t="str" cm="1">
        <f t="array" ref="P443">_xlfn.IFS(
  AND(D443&gt;0,E443&gt;0),"Expansion",
  AND(D443&lt;0,E443&gt;0),"Slowdown",
  AND(D443&lt;0,E443&lt;0),"Contraction",
  AND(D443&gt;0,E443&lt;0),"Recovery",
  TRUE,"Undefined"
)</f>
        <v>Expansion</v>
      </c>
      <c r="Q443" t="str">
        <f t="shared" si="64"/>
        <v>Expansion</v>
      </c>
      <c r="R443">
        <f t="shared" si="58"/>
        <v>1</v>
      </c>
      <c r="S443">
        <f t="shared" si="59"/>
        <v>1</v>
      </c>
      <c r="T443">
        <f t="shared" si="60"/>
        <v>1</v>
      </c>
      <c r="U443">
        <f t="shared" si="61"/>
        <v>1</v>
      </c>
      <c r="V443" t="str" cm="1">
        <f t="array" ref="V443">_xlfn.IFS(
  AND(S443&gt;0,U443&gt;0),"Expansion",
  AND(S443&lt;0,U443&gt;0),"Slowdown",
  AND(S443&lt;0,U443&lt;0),"Contraction",
  AND(S443&gt;0,U443&lt;0),"Recovery",
  TRUE,"Undefined"
)</f>
        <v>Expansion</v>
      </c>
      <c r="W443">
        <f t="shared" si="62"/>
        <v>0</v>
      </c>
      <c r="X443">
        <f t="shared" si="63"/>
        <v>0</v>
      </c>
      <c r="Y443">
        <v>0</v>
      </c>
    </row>
    <row r="444" spans="1:25" x14ac:dyDescent="0.35">
      <c r="A444" s="1">
        <f>Data!A444</f>
        <v>30621</v>
      </c>
      <c r="B444" s="2">
        <f>IFERROR((Data!B444/Data!B443-1)*100,"")</f>
        <v>0.29761904761904656</v>
      </c>
      <c r="C444" s="2">
        <f>IFERROR((Data!C444/Data!C443-1)*100,"")</f>
        <v>0.44600178788543055</v>
      </c>
      <c r="D444">
        <f t="shared" si="56"/>
        <v>0.88835455467246582</v>
      </c>
      <c r="E444">
        <f t="shared" si="57"/>
        <v>0.33190857394044632</v>
      </c>
      <c r="P444" t="str" cm="1">
        <f t="array" ref="P444">_xlfn.IFS(
  AND(D444&gt;0,E444&gt;0),"Expansion",
  AND(D444&lt;0,E444&gt;0),"Slowdown",
  AND(D444&lt;0,E444&lt;0),"Contraction",
  AND(D444&gt;0,E444&lt;0),"Recovery",
  TRUE,"Undefined"
)</f>
        <v>Expansion</v>
      </c>
      <c r="Q444" t="str">
        <f t="shared" si="64"/>
        <v>Expansion</v>
      </c>
      <c r="R444">
        <f t="shared" si="58"/>
        <v>1</v>
      </c>
      <c r="S444">
        <f t="shared" si="59"/>
        <v>1</v>
      </c>
      <c r="T444">
        <f t="shared" si="60"/>
        <v>1</v>
      </c>
      <c r="U444">
        <f t="shared" si="61"/>
        <v>1</v>
      </c>
      <c r="V444" t="str" cm="1">
        <f t="array" ref="V444">_xlfn.IFS(
  AND(S444&gt;0,U444&gt;0),"Expansion",
  AND(S444&lt;0,U444&gt;0),"Slowdown",
  AND(S444&lt;0,U444&lt;0),"Contraction",
  AND(S444&gt;0,U444&lt;0),"Recovery",
  TRUE,"Undefined"
)</f>
        <v>Expansion</v>
      </c>
      <c r="W444">
        <f t="shared" si="62"/>
        <v>0</v>
      </c>
      <c r="X444">
        <f t="shared" si="63"/>
        <v>0</v>
      </c>
      <c r="Y444">
        <v>0</v>
      </c>
    </row>
    <row r="445" spans="1:25" x14ac:dyDescent="0.35">
      <c r="A445" s="1">
        <f>Data!A445</f>
        <v>30651</v>
      </c>
      <c r="B445" s="2">
        <f>IFERROR((Data!B445/Data!B444-1)*100,"")</f>
        <v>0.29673590504453173</v>
      </c>
      <c r="C445" s="2">
        <f>IFERROR((Data!C445/Data!C444-1)*100,"")</f>
        <v>0.50213033766863813</v>
      </c>
      <c r="D445">
        <f t="shared" si="56"/>
        <v>0.57090615708316561</v>
      </c>
      <c r="E445">
        <f t="shared" si="57"/>
        <v>0.33092044238852331</v>
      </c>
      <c r="P445" t="str" cm="1">
        <f t="array" ref="P445">_xlfn.IFS(
  AND(D445&gt;0,E445&gt;0),"Expansion",
  AND(D445&lt;0,E445&gt;0),"Slowdown",
  AND(D445&lt;0,E445&lt;0),"Contraction",
  AND(D445&gt;0,E445&lt;0),"Recovery",
  TRUE,"Undefined"
)</f>
        <v>Expansion</v>
      </c>
      <c r="Q445" t="str">
        <f t="shared" si="64"/>
        <v>Expansion</v>
      </c>
      <c r="R445">
        <f t="shared" si="58"/>
        <v>1</v>
      </c>
      <c r="S445">
        <f t="shared" si="59"/>
        <v>1</v>
      </c>
      <c r="T445">
        <f t="shared" si="60"/>
        <v>1</v>
      </c>
      <c r="U445">
        <f t="shared" si="61"/>
        <v>1</v>
      </c>
      <c r="V445" t="str" cm="1">
        <f t="array" ref="V445">_xlfn.IFS(
  AND(S445&gt;0,U445&gt;0),"Expansion",
  AND(S445&lt;0,U445&gt;0),"Slowdown",
  AND(S445&lt;0,U445&lt;0),"Contraction",
  AND(S445&gt;0,U445&lt;0),"Recovery",
  TRUE,"Undefined"
)</f>
        <v>Expansion</v>
      </c>
      <c r="W445">
        <f t="shared" si="62"/>
        <v>0</v>
      </c>
      <c r="X445">
        <f t="shared" si="63"/>
        <v>0</v>
      </c>
      <c r="Y445">
        <v>0</v>
      </c>
    </row>
    <row r="446" spans="1:25" x14ac:dyDescent="0.35">
      <c r="A446" s="1">
        <f>Data!A446</f>
        <v>30682</v>
      </c>
      <c r="B446" s="2">
        <f>IFERROR((Data!B446/Data!B445-1)*100,"")</f>
        <v>0.69033530571991353</v>
      </c>
      <c r="C446" s="2">
        <f>IFERROR((Data!C446/Data!C445-1)*100,"")</f>
        <v>1.9959891969558052</v>
      </c>
      <c r="D446">
        <f t="shared" si="56"/>
        <v>0.98137377416995797</v>
      </c>
      <c r="E446">
        <f t="shared" si="57"/>
        <v>0.42823008612783059</v>
      </c>
      <c r="P446" t="str" cm="1">
        <f t="array" ref="P446">_xlfn.IFS(
  AND(D446&gt;0,E446&gt;0),"Expansion",
  AND(D446&lt;0,E446&gt;0),"Slowdown",
  AND(D446&lt;0,E446&lt;0),"Contraction",
  AND(D446&gt;0,E446&lt;0),"Recovery",
  TRUE,"Undefined"
)</f>
        <v>Expansion</v>
      </c>
      <c r="Q446" t="str">
        <f t="shared" si="64"/>
        <v>Expansion</v>
      </c>
      <c r="R446">
        <f t="shared" si="58"/>
        <v>1</v>
      </c>
      <c r="S446">
        <f t="shared" si="59"/>
        <v>1</v>
      </c>
      <c r="T446">
        <f t="shared" si="60"/>
        <v>1</v>
      </c>
      <c r="U446">
        <f t="shared" si="61"/>
        <v>1</v>
      </c>
      <c r="V446" t="str" cm="1">
        <f t="array" ref="V446">_xlfn.IFS(
  AND(S446&gt;0,U446&gt;0),"Expansion",
  AND(S446&lt;0,U446&gt;0),"Slowdown",
  AND(S446&lt;0,U446&lt;0),"Contraction",
  AND(S446&gt;0,U446&lt;0),"Recovery",
  TRUE,"Undefined"
)</f>
        <v>Expansion</v>
      </c>
      <c r="W446">
        <f t="shared" si="62"/>
        <v>0</v>
      </c>
      <c r="X446">
        <f t="shared" si="63"/>
        <v>0</v>
      </c>
      <c r="Y446">
        <v>0</v>
      </c>
    </row>
    <row r="447" spans="1:25" x14ac:dyDescent="0.35">
      <c r="A447" s="1">
        <f>Data!A447</f>
        <v>30713</v>
      </c>
      <c r="B447" s="2">
        <f>IFERROR((Data!B447/Data!B446-1)*100,"")</f>
        <v>0.48971596474045587</v>
      </c>
      <c r="C447" s="2">
        <f>IFERROR((Data!C447/Data!C446-1)*100,"")</f>
        <v>0.43937211032327728</v>
      </c>
      <c r="D447">
        <f t="shared" si="56"/>
        <v>0.97916388164924018</v>
      </c>
      <c r="E447">
        <f t="shared" si="57"/>
        <v>0.49226239183496706</v>
      </c>
      <c r="P447" t="str" cm="1">
        <f t="array" ref="P447">_xlfn.IFS(
  AND(D447&gt;0,E447&gt;0),"Expansion",
  AND(D447&lt;0,E447&gt;0),"Slowdown",
  AND(D447&lt;0,E447&lt;0),"Contraction",
  AND(D447&gt;0,E447&lt;0),"Recovery",
  TRUE,"Undefined"
)</f>
        <v>Expansion</v>
      </c>
      <c r="Q447" t="str">
        <f t="shared" si="64"/>
        <v>Expansion</v>
      </c>
      <c r="R447">
        <f t="shared" si="58"/>
        <v>1</v>
      </c>
      <c r="S447">
        <f t="shared" si="59"/>
        <v>1</v>
      </c>
      <c r="T447">
        <f t="shared" si="60"/>
        <v>1</v>
      </c>
      <c r="U447">
        <f t="shared" si="61"/>
        <v>1</v>
      </c>
      <c r="V447" t="str" cm="1">
        <f t="array" ref="V447">_xlfn.IFS(
  AND(S447&gt;0,U447&gt;0),"Expansion",
  AND(S447&lt;0,U447&gt;0),"Slowdown",
  AND(S447&lt;0,U447&lt;0),"Contraction",
  AND(S447&gt;0,U447&lt;0),"Recovery",
  TRUE,"Undefined"
)</f>
        <v>Expansion</v>
      </c>
      <c r="W447">
        <f t="shared" si="62"/>
        <v>0</v>
      </c>
      <c r="X447">
        <f t="shared" si="63"/>
        <v>0</v>
      </c>
      <c r="Y447">
        <v>0</v>
      </c>
    </row>
    <row r="448" spans="1:25" x14ac:dyDescent="0.35">
      <c r="A448" s="1">
        <f>Data!A448</f>
        <v>30742</v>
      </c>
      <c r="B448" s="2">
        <f>IFERROR((Data!B448/Data!B447-1)*100,"")</f>
        <v>0.29239766081872176</v>
      </c>
      <c r="C448" s="2">
        <f>IFERROR((Data!C448/Data!C447-1)*100,"")</f>
        <v>0.48957657532653354</v>
      </c>
      <c r="D448">
        <f t="shared" si="56"/>
        <v>0.97497929420187202</v>
      </c>
      <c r="E448">
        <f t="shared" si="57"/>
        <v>0.4908163104263637</v>
      </c>
      <c r="P448" t="str" cm="1">
        <f t="array" ref="P448">_xlfn.IFS(
  AND(D448&gt;0,E448&gt;0),"Expansion",
  AND(D448&lt;0,E448&gt;0),"Slowdown",
  AND(D448&lt;0,E448&lt;0),"Contraction",
  AND(D448&gt;0,E448&lt;0),"Recovery",
  TRUE,"Undefined"
)</f>
        <v>Expansion</v>
      </c>
      <c r="Q448" t="str">
        <f t="shared" si="64"/>
        <v>Expansion</v>
      </c>
      <c r="R448">
        <f t="shared" si="58"/>
        <v>1</v>
      </c>
      <c r="S448">
        <f t="shared" si="59"/>
        <v>1</v>
      </c>
      <c r="T448">
        <f t="shared" si="60"/>
        <v>1</v>
      </c>
      <c r="U448">
        <f t="shared" si="61"/>
        <v>1</v>
      </c>
      <c r="V448" t="str" cm="1">
        <f t="array" ref="V448">_xlfn.IFS(
  AND(S448&gt;0,U448&gt;0),"Expansion",
  AND(S448&lt;0,U448&gt;0),"Slowdown",
  AND(S448&lt;0,U448&lt;0),"Contraction",
  AND(S448&gt;0,U448&lt;0),"Recovery",
  TRUE,"Undefined"
)</f>
        <v>Expansion</v>
      </c>
      <c r="W448">
        <f t="shared" si="62"/>
        <v>0</v>
      </c>
      <c r="X448">
        <f t="shared" si="63"/>
        <v>0</v>
      </c>
      <c r="Y448">
        <v>0</v>
      </c>
    </row>
    <row r="449" spans="1:25" x14ac:dyDescent="0.35">
      <c r="A449" s="1">
        <f>Data!A449</f>
        <v>30773</v>
      </c>
      <c r="B449" s="2">
        <f>IFERROR((Data!B449/Data!B448-1)*100,"")</f>
        <v>0.38872691933915515</v>
      </c>
      <c r="C449" s="2">
        <f>IFERROR((Data!C449/Data!C448-1)*100,"")</f>
        <v>0.59168285351229866</v>
      </c>
      <c r="D449">
        <f t="shared" si="56"/>
        <v>0.50687717972070312</v>
      </c>
      <c r="E449">
        <f t="shared" si="57"/>
        <v>0.39028018163277761</v>
      </c>
      <c r="P449" t="str" cm="1">
        <f t="array" ref="P449">_xlfn.IFS(
  AND(D449&gt;0,E449&gt;0),"Expansion",
  AND(D449&lt;0,E449&gt;0),"Slowdown",
  AND(D449&lt;0,E449&lt;0),"Contraction",
  AND(D449&gt;0,E449&lt;0),"Recovery",
  TRUE,"Undefined"
)</f>
        <v>Expansion</v>
      </c>
      <c r="Q449" t="str">
        <f t="shared" si="64"/>
        <v>Expansion</v>
      </c>
      <c r="R449">
        <f t="shared" si="58"/>
        <v>1</v>
      </c>
      <c r="S449">
        <f t="shared" si="59"/>
        <v>1</v>
      </c>
      <c r="T449">
        <f t="shared" si="60"/>
        <v>1</v>
      </c>
      <c r="U449">
        <f t="shared" si="61"/>
        <v>1</v>
      </c>
      <c r="V449" t="str" cm="1">
        <f t="array" ref="V449">_xlfn.IFS(
  AND(S449&gt;0,U449&gt;0),"Expansion",
  AND(S449&lt;0,U449&gt;0),"Slowdown",
  AND(S449&lt;0,U449&lt;0),"Contraction",
  AND(S449&gt;0,U449&lt;0),"Recovery",
  TRUE,"Undefined"
)</f>
        <v>Expansion</v>
      </c>
      <c r="W449">
        <f t="shared" si="62"/>
        <v>0</v>
      </c>
      <c r="X449">
        <f t="shared" si="63"/>
        <v>0</v>
      </c>
      <c r="Y449">
        <v>0</v>
      </c>
    </row>
    <row r="450" spans="1:25" x14ac:dyDescent="0.35">
      <c r="A450" s="1">
        <f>Data!A450</f>
        <v>30803</v>
      </c>
      <c r="B450" s="2">
        <f>IFERROR((Data!B450/Data!B449-1)*100,"")</f>
        <v>0.19361084220717029</v>
      </c>
      <c r="C450" s="2">
        <f>IFERROR((Data!C450/Data!C449-1)*100,"")</f>
        <v>0.54275644592840511</v>
      </c>
      <c r="D450">
        <f t="shared" si="56"/>
        <v>0.54133862492241247</v>
      </c>
      <c r="E450">
        <f t="shared" si="57"/>
        <v>0.29157847412168242</v>
      </c>
      <c r="P450" t="str" cm="1">
        <f t="array" ref="P450">_xlfn.IFS(
  AND(D450&gt;0,E450&gt;0),"Expansion",
  AND(D450&lt;0,E450&gt;0),"Slowdown",
  AND(D450&lt;0,E450&lt;0),"Contraction",
  AND(D450&gt;0,E450&lt;0),"Recovery",
  TRUE,"Undefined"
)</f>
        <v>Expansion</v>
      </c>
      <c r="Q450" t="str">
        <f t="shared" si="64"/>
        <v>Expansion</v>
      </c>
      <c r="R450">
        <f t="shared" si="58"/>
        <v>1</v>
      </c>
      <c r="S450">
        <f t="shared" si="59"/>
        <v>1</v>
      </c>
      <c r="T450">
        <f t="shared" si="60"/>
        <v>1</v>
      </c>
      <c r="U450">
        <f t="shared" si="61"/>
        <v>1</v>
      </c>
      <c r="V450" t="str" cm="1">
        <f t="array" ref="V450">_xlfn.IFS(
  AND(S450&gt;0,U450&gt;0),"Expansion",
  AND(S450&lt;0,U450&gt;0),"Slowdown",
  AND(S450&lt;0,U450&lt;0),"Contraction",
  AND(S450&gt;0,U450&lt;0),"Recovery",
  TRUE,"Undefined"
)</f>
        <v>Expansion</v>
      </c>
      <c r="W450">
        <f t="shared" si="62"/>
        <v>0</v>
      </c>
      <c r="X450">
        <f t="shared" si="63"/>
        <v>0</v>
      </c>
      <c r="Y450">
        <v>0</v>
      </c>
    </row>
    <row r="451" spans="1:25" x14ac:dyDescent="0.35">
      <c r="A451" s="1">
        <f>Data!A451</f>
        <v>30834</v>
      </c>
      <c r="B451" s="2">
        <f>IFERROR((Data!B451/Data!B450-1)*100,"")</f>
        <v>0.19323671497584183</v>
      </c>
      <c r="C451" s="2">
        <f>IFERROR((Data!C451/Data!C450-1)*100,"")</f>
        <v>0.36677207366437869</v>
      </c>
      <c r="D451">
        <f t="shared" si="56"/>
        <v>0.50040379103502752</v>
      </c>
      <c r="E451">
        <f t="shared" si="57"/>
        <v>0.25852482550738909</v>
      </c>
      <c r="P451" t="str" cm="1">
        <f t="array" ref="P451">_xlfn.IFS(
  AND(D451&gt;0,E451&gt;0),"Expansion",
  AND(D451&lt;0,E451&gt;0),"Slowdown",
  AND(D451&lt;0,E451&lt;0),"Contraction",
  AND(D451&gt;0,E451&lt;0),"Recovery",
  TRUE,"Undefined"
)</f>
        <v>Expansion</v>
      </c>
      <c r="Q451" t="str">
        <f t="shared" si="64"/>
        <v>Expansion</v>
      </c>
      <c r="R451">
        <f t="shared" si="58"/>
        <v>1</v>
      </c>
      <c r="S451">
        <f t="shared" si="59"/>
        <v>1</v>
      </c>
      <c r="T451">
        <f t="shared" si="60"/>
        <v>1</v>
      </c>
      <c r="U451">
        <f t="shared" si="61"/>
        <v>1</v>
      </c>
      <c r="V451" t="str" cm="1">
        <f t="array" ref="V451">_xlfn.IFS(
  AND(S451&gt;0,U451&gt;0),"Expansion",
  AND(S451&lt;0,U451&gt;0),"Slowdown",
  AND(S451&lt;0,U451&lt;0),"Contraction",
  AND(S451&gt;0,U451&lt;0),"Recovery",
  TRUE,"Undefined"
)</f>
        <v>Expansion</v>
      </c>
      <c r="W451">
        <f t="shared" si="62"/>
        <v>0</v>
      </c>
      <c r="X451">
        <f t="shared" si="63"/>
        <v>0</v>
      </c>
      <c r="Y451">
        <v>0</v>
      </c>
    </row>
    <row r="452" spans="1:25" x14ac:dyDescent="0.35">
      <c r="A452" s="1">
        <f>Data!A452</f>
        <v>30864</v>
      </c>
      <c r="B452" s="2">
        <f>IFERROR((Data!B452/Data!B451-1)*100,"")</f>
        <v>0.38572806171648377</v>
      </c>
      <c r="C452" s="2">
        <f>IFERROR((Data!C452/Data!C451-1)*100,"")</f>
        <v>0.27701492976284214</v>
      </c>
      <c r="D452">
        <f t="shared" si="56"/>
        <v>0.39551448311854198</v>
      </c>
      <c r="E452">
        <f t="shared" si="57"/>
        <v>0.25752520629983194</v>
      </c>
      <c r="P452" t="str" cm="1">
        <f t="array" ref="P452">_xlfn.IFS(
  AND(D452&gt;0,E452&gt;0),"Expansion",
  AND(D452&lt;0,E452&gt;0),"Slowdown",
  AND(D452&lt;0,E452&lt;0),"Contraction",
  AND(D452&gt;0,E452&lt;0),"Recovery",
  TRUE,"Undefined"
)</f>
        <v>Expansion</v>
      </c>
      <c r="Q452" t="str">
        <f t="shared" si="64"/>
        <v>Expansion</v>
      </c>
      <c r="R452">
        <f t="shared" si="58"/>
        <v>1</v>
      </c>
      <c r="S452">
        <f t="shared" si="59"/>
        <v>1</v>
      </c>
      <c r="T452">
        <f t="shared" si="60"/>
        <v>1</v>
      </c>
      <c r="U452">
        <f t="shared" si="61"/>
        <v>1</v>
      </c>
      <c r="V452" t="str" cm="1">
        <f t="array" ref="V452">_xlfn.IFS(
  AND(S452&gt;0,U452&gt;0),"Expansion",
  AND(S452&lt;0,U452&gt;0),"Slowdown",
  AND(S452&lt;0,U452&lt;0),"Contraction",
  AND(S452&gt;0,U452&lt;0),"Recovery",
  TRUE,"Undefined"
)</f>
        <v>Expansion</v>
      </c>
      <c r="W452">
        <f t="shared" si="62"/>
        <v>0</v>
      </c>
      <c r="X452">
        <f t="shared" si="63"/>
        <v>0</v>
      </c>
      <c r="Y452">
        <v>0</v>
      </c>
    </row>
    <row r="453" spans="1:25" x14ac:dyDescent="0.35">
      <c r="A453" s="1">
        <f>Data!A453</f>
        <v>30895</v>
      </c>
      <c r="B453" s="2">
        <f>IFERROR((Data!B453/Data!B452-1)*100,"")</f>
        <v>0.28818443804035088</v>
      </c>
      <c r="C453" s="2">
        <f>IFERROR((Data!C453/Data!C452-1)*100,"")</f>
        <v>0.10302078196806619</v>
      </c>
      <c r="D453">
        <f t="shared" ref="D453:D516" si="65">SUM(C451:C453)/3</f>
        <v>0.24893592846509568</v>
      </c>
      <c r="E453">
        <f t="shared" ref="E453:E516" si="66">SUM(B451:B453)/3</f>
        <v>0.28904973824422547</v>
      </c>
      <c r="P453" t="str" cm="1">
        <f t="array" ref="P453">_xlfn.IFS(
  AND(D453&gt;0,E453&gt;0),"Expansion",
  AND(D453&lt;0,E453&gt;0),"Slowdown",
  AND(D453&lt;0,E453&lt;0),"Contraction",
  AND(D453&gt;0,E453&lt;0),"Recovery",
  TRUE,"Undefined"
)</f>
        <v>Expansion</v>
      </c>
      <c r="Q453" t="str">
        <f t="shared" si="64"/>
        <v>Expansion</v>
      </c>
      <c r="R453">
        <f t="shared" si="58"/>
        <v>1</v>
      </c>
      <c r="S453">
        <f t="shared" si="59"/>
        <v>1</v>
      </c>
      <c r="T453">
        <f t="shared" si="60"/>
        <v>1</v>
      </c>
      <c r="U453">
        <f t="shared" si="61"/>
        <v>1</v>
      </c>
      <c r="V453" t="str" cm="1">
        <f t="array" ref="V453">_xlfn.IFS(
  AND(S453&gt;0,U453&gt;0),"Expansion",
  AND(S453&lt;0,U453&gt;0),"Slowdown",
  AND(S453&lt;0,U453&lt;0),"Contraction",
  AND(S453&gt;0,U453&lt;0),"Recovery",
  TRUE,"Undefined"
)</f>
        <v>Expansion</v>
      </c>
      <c r="W453">
        <f t="shared" si="62"/>
        <v>0</v>
      </c>
      <c r="X453">
        <f t="shared" si="63"/>
        <v>0</v>
      </c>
      <c r="Y453">
        <v>0</v>
      </c>
    </row>
    <row r="454" spans="1:25" x14ac:dyDescent="0.35">
      <c r="A454" s="1">
        <f>Data!A454</f>
        <v>30926</v>
      </c>
      <c r="B454" s="2">
        <f>IFERROR((Data!B454/Data!B453-1)*100,"")</f>
        <v>0.28735632183907178</v>
      </c>
      <c r="C454" s="2">
        <f>IFERROR((Data!C454/Data!C453-1)*100,"")</f>
        <v>-0.2961088332726014</v>
      </c>
      <c r="D454">
        <f t="shared" si="65"/>
        <v>2.7975626152768978E-2</v>
      </c>
      <c r="E454">
        <f t="shared" si="66"/>
        <v>0.32042294053196879</v>
      </c>
      <c r="P454" t="str" cm="1">
        <f t="array" ref="P454">_xlfn.IFS(
  AND(D454&gt;0,E454&gt;0),"Expansion",
  AND(D454&lt;0,E454&gt;0),"Slowdown",
  AND(D454&lt;0,E454&lt;0),"Contraction",
  AND(D454&gt;0,E454&lt;0),"Recovery",
  TRUE,"Undefined"
)</f>
        <v>Expansion</v>
      </c>
      <c r="Q454" t="str">
        <f t="shared" si="64"/>
        <v>Expansion</v>
      </c>
      <c r="R454">
        <f t="shared" ref="R454:R517" si="67">IF(D454&gt;-0.26, 1, -1)</f>
        <v>1</v>
      </c>
      <c r="S454">
        <f t="shared" ref="S454:S517" si="68">IF(R454=1, IF(D454 &lt; -$L$5, -1, 1), IF(D454 &gt; $L$5, 1, -1))</f>
        <v>1</v>
      </c>
      <c r="T454">
        <f t="shared" ref="T454:T517" si="69">IF(E454&gt;0, 1, -1)</f>
        <v>1</v>
      </c>
      <c r="U454">
        <f t="shared" ref="U454:U517" si="70">IF(T454=1, IF(E454 &lt; -$M$5, -1, 1), IF(E454 &gt; $M$5, 1, -1))</f>
        <v>1</v>
      </c>
      <c r="V454" t="str" cm="1">
        <f t="array" ref="V454">_xlfn.IFS(
  AND(S454&gt;0,U454&gt;0),"Expansion",
  AND(S454&lt;0,U454&gt;0),"Slowdown",
  AND(S454&lt;0,U454&lt;0),"Contraction",
  AND(S454&gt;0,U454&lt;0),"Recovery",
  TRUE,"Undefined"
)</f>
        <v>Expansion</v>
      </c>
      <c r="W454">
        <f t="shared" ref="W454:W517" si="71">IF(Q454="Contraction", 1, 0)</f>
        <v>0</v>
      </c>
      <c r="X454">
        <f t="shared" ref="X454:X517" si="72">IF(V454="Contraction", 1, 0)</f>
        <v>0</v>
      </c>
      <c r="Y454">
        <v>0</v>
      </c>
    </row>
    <row r="455" spans="1:25" x14ac:dyDescent="0.35">
      <c r="A455" s="1">
        <f>Data!A455</f>
        <v>30956</v>
      </c>
      <c r="B455" s="2">
        <f>IFERROR((Data!B455/Data!B454-1)*100,"")</f>
        <v>0.38204393505252288</v>
      </c>
      <c r="C455" s="2">
        <f>IFERROR((Data!C455/Data!C454-1)*100,"")</f>
        <v>-1.1019971862324951E-2</v>
      </c>
      <c r="D455">
        <f t="shared" si="65"/>
        <v>-6.8036007722286726E-2</v>
      </c>
      <c r="E455">
        <f t="shared" si="66"/>
        <v>0.31919489831064851</v>
      </c>
      <c r="P455" t="str" cm="1">
        <f t="array" ref="P455">_xlfn.IFS(
  AND(D455&gt;0,E455&gt;0),"Expansion",
  AND(D455&lt;0,E455&gt;0),"Slowdown",
  AND(D455&lt;0,E455&lt;0),"Contraction",
  AND(D455&gt;0,E455&lt;0),"Recovery",
  TRUE,"Undefined"
)</f>
        <v>Slowdown</v>
      </c>
      <c r="Q455" t="str">
        <f t="shared" si="64"/>
        <v>Expansion</v>
      </c>
      <c r="R455">
        <f t="shared" si="67"/>
        <v>1</v>
      </c>
      <c r="S455">
        <f t="shared" si="68"/>
        <v>1</v>
      </c>
      <c r="T455">
        <f t="shared" si="69"/>
        <v>1</v>
      </c>
      <c r="U455">
        <f t="shared" si="70"/>
        <v>1</v>
      </c>
      <c r="V455" t="str" cm="1">
        <f t="array" ref="V455">_xlfn.IFS(
  AND(S455&gt;0,U455&gt;0),"Expansion",
  AND(S455&lt;0,U455&gt;0),"Slowdown",
  AND(S455&lt;0,U455&lt;0),"Contraction",
  AND(S455&gt;0,U455&lt;0),"Recovery",
  TRUE,"Undefined"
)</f>
        <v>Expansion</v>
      </c>
      <c r="W455">
        <f t="shared" si="71"/>
        <v>0</v>
      </c>
      <c r="X455">
        <f t="shared" si="72"/>
        <v>0</v>
      </c>
      <c r="Y455">
        <v>0</v>
      </c>
    </row>
    <row r="456" spans="1:25" x14ac:dyDescent="0.35">
      <c r="A456" s="1">
        <f>Data!A456</f>
        <v>30987</v>
      </c>
      <c r="B456" s="2">
        <f>IFERROR((Data!B456/Data!B455-1)*100,"")</f>
        <v>0.19029495718363432</v>
      </c>
      <c r="C456" s="2">
        <f>IFERROR((Data!C456/Data!C455-1)*100,"")</f>
        <v>0.33688093077592907</v>
      </c>
      <c r="D456">
        <f t="shared" si="65"/>
        <v>9.9173752136675706E-3</v>
      </c>
      <c r="E456">
        <f t="shared" si="66"/>
        <v>0.28656507135840964</v>
      </c>
      <c r="P456" t="str" cm="1">
        <f t="array" ref="P456">_xlfn.IFS(
  AND(D456&gt;0,E456&gt;0),"Expansion",
  AND(D456&lt;0,E456&gt;0),"Slowdown",
  AND(D456&lt;0,E456&lt;0),"Contraction",
  AND(D456&gt;0,E456&lt;0),"Recovery",
  TRUE,"Undefined"
)</f>
        <v>Expansion</v>
      </c>
      <c r="Q456" t="str">
        <f t="shared" ref="Q456:Q519" si="73">IF(AND(P456=P455, P455=P454), P456, Q455)</f>
        <v>Expansion</v>
      </c>
      <c r="R456">
        <f t="shared" si="67"/>
        <v>1</v>
      </c>
      <c r="S456">
        <f t="shared" si="68"/>
        <v>1</v>
      </c>
      <c r="T456">
        <f t="shared" si="69"/>
        <v>1</v>
      </c>
      <c r="U456">
        <f t="shared" si="70"/>
        <v>1</v>
      </c>
      <c r="V456" t="str" cm="1">
        <f t="array" ref="V456">_xlfn.IFS(
  AND(S456&gt;0,U456&gt;0),"Expansion",
  AND(S456&lt;0,U456&gt;0),"Slowdown",
  AND(S456&lt;0,U456&lt;0),"Contraction",
  AND(S456&gt;0,U456&lt;0),"Recovery",
  TRUE,"Undefined"
)</f>
        <v>Expansion</v>
      </c>
      <c r="W456">
        <f t="shared" si="71"/>
        <v>0</v>
      </c>
      <c r="X456">
        <f t="shared" si="72"/>
        <v>0</v>
      </c>
      <c r="Y456">
        <v>0</v>
      </c>
    </row>
    <row r="457" spans="1:25" x14ac:dyDescent="0.35">
      <c r="A457" s="1">
        <f>Data!A457</f>
        <v>31017</v>
      </c>
      <c r="B457" s="2">
        <f>IFERROR((Data!B457/Data!B456-1)*100,"")</f>
        <v>0.18993352326686086</v>
      </c>
      <c r="C457" s="2">
        <f>IFERROR((Data!C457/Data!C456-1)*100,"")</f>
        <v>3.2220269478600017E-2</v>
      </c>
      <c r="D457">
        <f t="shared" si="65"/>
        <v>0.11936040946406805</v>
      </c>
      <c r="E457">
        <f t="shared" si="66"/>
        <v>0.25409080516767268</v>
      </c>
      <c r="P457" t="str" cm="1">
        <f t="array" ref="P457">_xlfn.IFS(
  AND(D457&gt;0,E457&gt;0),"Expansion",
  AND(D457&lt;0,E457&gt;0),"Slowdown",
  AND(D457&lt;0,E457&lt;0),"Contraction",
  AND(D457&gt;0,E457&lt;0),"Recovery",
  TRUE,"Undefined"
)</f>
        <v>Expansion</v>
      </c>
      <c r="Q457" t="str">
        <f t="shared" si="73"/>
        <v>Expansion</v>
      </c>
      <c r="R457">
        <f t="shared" si="67"/>
        <v>1</v>
      </c>
      <c r="S457">
        <f t="shared" si="68"/>
        <v>1</v>
      </c>
      <c r="T457">
        <f t="shared" si="69"/>
        <v>1</v>
      </c>
      <c r="U457">
        <f t="shared" si="70"/>
        <v>1</v>
      </c>
      <c r="V457" t="str" cm="1">
        <f t="array" ref="V457">_xlfn.IFS(
  AND(S457&gt;0,U457&gt;0),"Expansion",
  AND(S457&lt;0,U457&gt;0),"Slowdown",
  AND(S457&lt;0,U457&lt;0),"Contraction",
  AND(S457&gt;0,U457&lt;0),"Recovery",
  TRUE,"Undefined"
)</f>
        <v>Expansion</v>
      </c>
      <c r="W457">
        <f t="shared" si="71"/>
        <v>0</v>
      </c>
      <c r="X457">
        <f t="shared" si="72"/>
        <v>0</v>
      </c>
      <c r="Y457">
        <v>0</v>
      </c>
    </row>
    <row r="458" spans="1:25" x14ac:dyDescent="0.35">
      <c r="A458" s="1">
        <f>Data!A458</f>
        <v>31048</v>
      </c>
      <c r="B458" s="2">
        <f>IFERROR((Data!B458/Data!B457-1)*100,"")</f>
        <v>0.18957345971564177</v>
      </c>
      <c r="C458" s="2">
        <f>IFERROR((Data!C458/Data!C457-1)*100,"")</f>
        <v>-1.720301016076009E-2</v>
      </c>
      <c r="D458">
        <f t="shared" si="65"/>
        <v>0.117299396697923</v>
      </c>
      <c r="E458">
        <f t="shared" si="66"/>
        <v>0.18993398005537898</v>
      </c>
      <c r="P458" t="str" cm="1">
        <f t="array" ref="P458">_xlfn.IFS(
  AND(D458&gt;0,E458&gt;0),"Expansion",
  AND(D458&lt;0,E458&gt;0),"Slowdown",
  AND(D458&lt;0,E458&lt;0),"Contraction",
  AND(D458&gt;0,E458&lt;0),"Recovery",
  TRUE,"Undefined"
)</f>
        <v>Expansion</v>
      </c>
      <c r="Q458" t="str">
        <f t="shared" si="73"/>
        <v>Expansion</v>
      </c>
      <c r="R458">
        <f t="shared" si="67"/>
        <v>1</v>
      </c>
      <c r="S458">
        <f t="shared" si="68"/>
        <v>1</v>
      </c>
      <c r="T458">
        <f t="shared" si="69"/>
        <v>1</v>
      </c>
      <c r="U458">
        <f t="shared" si="70"/>
        <v>1</v>
      </c>
      <c r="V458" t="str" cm="1">
        <f t="array" ref="V458">_xlfn.IFS(
  AND(S458&gt;0,U458&gt;0),"Expansion",
  AND(S458&lt;0,U458&gt;0),"Slowdown",
  AND(S458&lt;0,U458&lt;0),"Contraction",
  AND(S458&gt;0,U458&lt;0),"Recovery",
  TRUE,"Undefined"
)</f>
        <v>Expansion</v>
      </c>
      <c r="W458">
        <f t="shared" si="71"/>
        <v>0</v>
      </c>
      <c r="X458">
        <f t="shared" si="72"/>
        <v>0</v>
      </c>
      <c r="Y458">
        <v>0</v>
      </c>
    </row>
    <row r="459" spans="1:25" x14ac:dyDescent="0.35">
      <c r="A459" s="1">
        <f>Data!A459</f>
        <v>31079</v>
      </c>
      <c r="B459" s="2">
        <f>IFERROR((Data!B459/Data!B458-1)*100,"")</f>
        <v>0.56764427625353164</v>
      </c>
      <c r="C459" s="2">
        <f>IFERROR((Data!C459/Data!C458-1)*100,"")</f>
        <v>0.27511247945350981</v>
      </c>
      <c r="D459">
        <f t="shared" si="65"/>
        <v>9.6709912923783239E-2</v>
      </c>
      <c r="E459">
        <f t="shared" si="66"/>
        <v>0.31571708641201141</v>
      </c>
      <c r="P459" t="str" cm="1">
        <f t="array" ref="P459">_xlfn.IFS(
  AND(D459&gt;0,E459&gt;0),"Expansion",
  AND(D459&lt;0,E459&gt;0),"Slowdown",
  AND(D459&lt;0,E459&lt;0),"Contraction",
  AND(D459&gt;0,E459&lt;0),"Recovery",
  TRUE,"Undefined"
)</f>
        <v>Expansion</v>
      </c>
      <c r="Q459" t="str">
        <f t="shared" si="73"/>
        <v>Expansion</v>
      </c>
      <c r="R459">
        <f t="shared" si="67"/>
        <v>1</v>
      </c>
      <c r="S459">
        <f t="shared" si="68"/>
        <v>1</v>
      </c>
      <c r="T459">
        <f t="shared" si="69"/>
        <v>1</v>
      </c>
      <c r="U459">
        <f t="shared" si="70"/>
        <v>1</v>
      </c>
      <c r="V459" t="str" cm="1">
        <f t="array" ref="V459">_xlfn.IFS(
  AND(S459&gt;0,U459&gt;0),"Expansion",
  AND(S459&lt;0,U459&gt;0),"Slowdown",
  AND(S459&lt;0,U459&lt;0),"Contraction",
  AND(S459&gt;0,U459&lt;0),"Recovery",
  TRUE,"Undefined"
)</f>
        <v>Expansion</v>
      </c>
      <c r="W459">
        <f t="shared" si="71"/>
        <v>0</v>
      </c>
      <c r="X459">
        <f t="shared" si="72"/>
        <v>0</v>
      </c>
      <c r="Y459">
        <v>0</v>
      </c>
    </row>
    <row r="460" spans="1:25" x14ac:dyDescent="0.35">
      <c r="A460" s="1">
        <f>Data!A460</f>
        <v>31107</v>
      </c>
      <c r="B460" s="2">
        <f>IFERROR((Data!B460/Data!B459-1)*100,"")</f>
        <v>0.47036688617121403</v>
      </c>
      <c r="C460" s="2">
        <f>IFERROR((Data!C460/Data!C459-1)*100,"")</f>
        <v>0.15114315703006476</v>
      </c>
      <c r="D460">
        <f t="shared" si="65"/>
        <v>0.13635087544093816</v>
      </c>
      <c r="E460">
        <f t="shared" si="66"/>
        <v>0.40919487404679583</v>
      </c>
      <c r="P460" t="str" cm="1">
        <f t="array" ref="P460">_xlfn.IFS(
  AND(D460&gt;0,E460&gt;0),"Expansion",
  AND(D460&lt;0,E460&gt;0),"Slowdown",
  AND(D460&lt;0,E460&lt;0),"Contraction",
  AND(D460&gt;0,E460&lt;0),"Recovery",
  TRUE,"Undefined"
)</f>
        <v>Expansion</v>
      </c>
      <c r="Q460" t="str">
        <f t="shared" si="73"/>
        <v>Expansion</v>
      </c>
      <c r="R460">
        <f t="shared" si="67"/>
        <v>1</v>
      </c>
      <c r="S460">
        <f t="shared" si="68"/>
        <v>1</v>
      </c>
      <c r="T460">
        <f t="shared" si="69"/>
        <v>1</v>
      </c>
      <c r="U460">
        <f t="shared" si="70"/>
        <v>1</v>
      </c>
      <c r="V460" t="str" cm="1">
        <f t="array" ref="V460">_xlfn.IFS(
  AND(S460&gt;0,U460&gt;0),"Expansion",
  AND(S460&lt;0,U460&gt;0),"Slowdown",
  AND(S460&lt;0,U460&lt;0),"Contraction",
  AND(S460&gt;0,U460&lt;0),"Recovery",
  TRUE,"Undefined"
)</f>
        <v>Expansion</v>
      </c>
      <c r="W460">
        <f t="shared" si="71"/>
        <v>0</v>
      </c>
      <c r="X460">
        <f t="shared" si="72"/>
        <v>0</v>
      </c>
      <c r="Y460">
        <v>0</v>
      </c>
    </row>
    <row r="461" spans="1:25" x14ac:dyDescent="0.35">
      <c r="A461" s="1">
        <f>Data!A461</f>
        <v>31138</v>
      </c>
      <c r="B461" s="2">
        <f>IFERROR((Data!B461/Data!B460-1)*100,"")</f>
        <v>0.18726591760300781</v>
      </c>
      <c r="C461" s="2">
        <f>IFERROR((Data!C461/Data!C460-1)*100,"")</f>
        <v>-0.21762388978097125</v>
      </c>
      <c r="D461">
        <f t="shared" si="65"/>
        <v>6.9543915567534434E-2</v>
      </c>
      <c r="E461">
        <f t="shared" si="66"/>
        <v>0.40842569334258449</v>
      </c>
      <c r="P461" t="str" cm="1">
        <f t="array" ref="P461">_xlfn.IFS(
  AND(D461&gt;0,E461&gt;0),"Expansion",
  AND(D461&lt;0,E461&gt;0),"Slowdown",
  AND(D461&lt;0,E461&lt;0),"Contraction",
  AND(D461&gt;0,E461&lt;0),"Recovery",
  TRUE,"Undefined"
)</f>
        <v>Expansion</v>
      </c>
      <c r="Q461" t="str">
        <f t="shared" si="73"/>
        <v>Expansion</v>
      </c>
      <c r="R461">
        <f t="shared" si="67"/>
        <v>1</v>
      </c>
      <c r="S461">
        <f t="shared" si="68"/>
        <v>1</v>
      </c>
      <c r="T461">
        <f t="shared" si="69"/>
        <v>1</v>
      </c>
      <c r="U461">
        <f t="shared" si="70"/>
        <v>1</v>
      </c>
      <c r="V461" t="str" cm="1">
        <f t="array" ref="V461">_xlfn.IFS(
  AND(S461&gt;0,U461&gt;0),"Expansion",
  AND(S461&lt;0,U461&gt;0),"Slowdown",
  AND(S461&lt;0,U461&lt;0),"Contraction",
  AND(S461&gt;0,U461&lt;0),"Recovery",
  TRUE,"Undefined"
)</f>
        <v>Expansion</v>
      </c>
      <c r="W461">
        <f t="shared" si="71"/>
        <v>0</v>
      </c>
      <c r="X461">
        <f t="shared" si="72"/>
        <v>0</v>
      </c>
      <c r="Y461">
        <v>0</v>
      </c>
    </row>
    <row r="462" spans="1:25" x14ac:dyDescent="0.35">
      <c r="A462" s="1">
        <f>Data!A462</f>
        <v>31168</v>
      </c>
      <c r="B462" s="2">
        <f>IFERROR((Data!B462/Data!B461-1)*100,"")</f>
        <v>0.18691588785046953</v>
      </c>
      <c r="C462" s="2">
        <f>IFERROR((Data!C462/Data!C461-1)*100,"")</f>
        <v>0.145399016182024</v>
      </c>
      <c r="D462">
        <f t="shared" si="65"/>
        <v>2.6306094477039171E-2</v>
      </c>
      <c r="E462">
        <f t="shared" si="66"/>
        <v>0.28151623054156377</v>
      </c>
      <c r="P462" t="str" cm="1">
        <f t="array" ref="P462">_xlfn.IFS(
  AND(D462&gt;0,E462&gt;0),"Expansion",
  AND(D462&lt;0,E462&gt;0),"Slowdown",
  AND(D462&lt;0,E462&lt;0),"Contraction",
  AND(D462&gt;0,E462&lt;0),"Recovery",
  TRUE,"Undefined"
)</f>
        <v>Expansion</v>
      </c>
      <c r="Q462" t="str">
        <f t="shared" si="73"/>
        <v>Expansion</v>
      </c>
      <c r="R462">
        <f t="shared" si="67"/>
        <v>1</v>
      </c>
      <c r="S462">
        <f t="shared" si="68"/>
        <v>1</v>
      </c>
      <c r="T462">
        <f t="shared" si="69"/>
        <v>1</v>
      </c>
      <c r="U462">
        <f t="shared" si="70"/>
        <v>1</v>
      </c>
      <c r="V462" t="str" cm="1">
        <f t="array" ref="V462">_xlfn.IFS(
  AND(S462&gt;0,U462&gt;0),"Expansion",
  AND(S462&lt;0,U462&gt;0),"Slowdown",
  AND(S462&lt;0,U462&lt;0),"Contraction",
  AND(S462&gt;0,U462&lt;0),"Recovery",
  TRUE,"Undefined"
)</f>
        <v>Expansion</v>
      </c>
      <c r="W462">
        <f t="shared" si="71"/>
        <v>0</v>
      </c>
      <c r="X462">
        <f t="shared" si="72"/>
        <v>0</v>
      </c>
      <c r="Y462">
        <v>0</v>
      </c>
    </row>
    <row r="463" spans="1:25" x14ac:dyDescent="0.35">
      <c r="A463" s="1">
        <f>Data!A463</f>
        <v>31199</v>
      </c>
      <c r="B463" s="2">
        <f>IFERROR((Data!B463/Data!B462-1)*100,"")</f>
        <v>0.27985074626866169</v>
      </c>
      <c r="C463" s="2">
        <f>IFERROR((Data!C463/Data!C462-1)*100,"")</f>
        <v>-4.8517569379202818E-2</v>
      </c>
      <c r="D463">
        <f t="shared" si="65"/>
        <v>-4.0247480992716689E-2</v>
      </c>
      <c r="E463">
        <f t="shared" si="66"/>
        <v>0.21801085057404634</v>
      </c>
      <c r="P463" t="str" cm="1">
        <f t="array" ref="P463">_xlfn.IFS(
  AND(D463&gt;0,E463&gt;0),"Expansion",
  AND(D463&lt;0,E463&gt;0),"Slowdown",
  AND(D463&lt;0,E463&lt;0),"Contraction",
  AND(D463&gt;0,E463&lt;0),"Recovery",
  TRUE,"Undefined"
)</f>
        <v>Slowdown</v>
      </c>
      <c r="Q463" t="str">
        <f t="shared" si="73"/>
        <v>Expansion</v>
      </c>
      <c r="R463">
        <f t="shared" si="67"/>
        <v>1</v>
      </c>
      <c r="S463">
        <f t="shared" si="68"/>
        <v>1</v>
      </c>
      <c r="T463">
        <f t="shared" si="69"/>
        <v>1</v>
      </c>
      <c r="U463">
        <f t="shared" si="70"/>
        <v>1</v>
      </c>
      <c r="V463" t="str" cm="1">
        <f t="array" ref="V463">_xlfn.IFS(
  AND(S463&gt;0,U463&gt;0),"Expansion",
  AND(S463&lt;0,U463&gt;0),"Slowdown",
  AND(S463&lt;0,U463&lt;0),"Contraction",
  AND(S463&gt;0,U463&lt;0),"Recovery",
  TRUE,"Undefined"
)</f>
        <v>Expansion</v>
      </c>
      <c r="W463">
        <f t="shared" si="71"/>
        <v>0</v>
      </c>
      <c r="X463">
        <f t="shared" si="72"/>
        <v>0</v>
      </c>
      <c r="Y463">
        <v>0</v>
      </c>
    </row>
    <row r="464" spans="1:25" x14ac:dyDescent="0.35">
      <c r="A464" s="1">
        <f>Data!A464</f>
        <v>31229</v>
      </c>
      <c r="B464" s="2">
        <f>IFERROR((Data!B464/Data!B463-1)*100,"")</f>
        <v>0.18604651162790198</v>
      </c>
      <c r="C464" s="2">
        <f>IFERROR((Data!C464/Data!C463-1)*100,"")</f>
        <v>-0.47318468071440023</v>
      </c>
      <c r="D464">
        <f t="shared" si="65"/>
        <v>-0.12543441130385968</v>
      </c>
      <c r="E464">
        <f t="shared" si="66"/>
        <v>0.21760438191567774</v>
      </c>
      <c r="P464" t="str" cm="1">
        <f t="array" ref="P464">_xlfn.IFS(
  AND(D464&gt;0,E464&gt;0),"Expansion",
  AND(D464&lt;0,E464&gt;0),"Slowdown",
  AND(D464&lt;0,E464&lt;0),"Contraction",
  AND(D464&gt;0,E464&lt;0),"Recovery",
  TRUE,"Undefined"
)</f>
        <v>Slowdown</v>
      </c>
      <c r="Q464" t="str">
        <f t="shared" si="73"/>
        <v>Expansion</v>
      </c>
      <c r="R464">
        <f t="shared" si="67"/>
        <v>1</v>
      </c>
      <c r="S464">
        <f t="shared" si="68"/>
        <v>1</v>
      </c>
      <c r="T464">
        <f t="shared" si="69"/>
        <v>1</v>
      </c>
      <c r="U464">
        <f t="shared" si="70"/>
        <v>1</v>
      </c>
      <c r="V464" t="str" cm="1">
        <f t="array" ref="V464">_xlfn.IFS(
  AND(S464&gt;0,U464&gt;0),"Expansion",
  AND(S464&lt;0,U464&gt;0),"Slowdown",
  AND(S464&lt;0,U464&lt;0),"Contraction",
  AND(S464&gt;0,U464&lt;0),"Recovery",
  TRUE,"Undefined"
)</f>
        <v>Expansion</v>
      </c>
      <c r="W464">
        <f t="shared" si="71"/>
        <v>0</v>
      </c>
      <c r="X464">
        <f t="shared" si="72"/>
        <v>0</v>
      </c>
      <c r="Y464">
        <v>0</v>
      </c>
    </row>
    <row r="465" spans="1:25" x14ac:dyDescent="0.35">
      <c r="A465" s="1">
        <f>Data!A465</f>
        <v>31260</v>
      </c>
      <c r="B465" s="2">
        <f>IFERROR((Data!B465/Data!B464-1)*100,"")</f>
        <v>0.18570102135562205</v>
      </c>
      <c r="C465" s="2">
        <f>IFERROR((Data!C465/Data!C464-1)*100,"")</f>
        <v>0.30418264893765645</v>
      </c>
      <c r="D465">
        <f t="shared" si="65"/>
        <v>-7.2506533718648861E-2</v>
      </c>
      <c r="E465">
        <f t="shared" si="66"/>
        <v>0.21719942641739523</v>
      </c>
      <c r="P465" t="str" cm="1">
        <f t="array" ref="P465">_xlfn.IFS(
  AND(D465&gt;0,E465&gt;0),"Expansion",
  AND(D465&lt;0,E465&gt;0),"Slowdown",
  AND(D465&lt;0,E465&lt;0),"Contraction",
  AND(D465&gt;0,E465&lt;0),"Recovery",
  TRUE,"Undefined"
)</f>
        <v>Slowdown</v>
      </c>
      <c r="Q465" t="str">
        <f t="shared" si="73"/>
        <v>Slowdown</v>
      </c>
      <c r="R465">
        <f t="shared" si="67"/>
        <v>1</v>
      </c>
      <c r="S465">
        <f t="shared" si="68"/>
        <v>1</v>
      </c>
      <c r="T465">
        <f t="shared" si="69"/>
        <v>1</v>
      </c>
      <c r="U465">
        <f t="shared" si="70"/>
        <v>1</v>
      </c>
      <c r="V465" t="str" cm="1">
        <f t="array" ref="V465">_xlfn.IFS(
  AND(S465&gt;0,U465&gt;0),"Expansion",
  AND(S465&lt;0,U465&gt;0),"Slowdown",
  AND(S465&lt;0,U465&lt;0),"Contraction",
  AND(S465&gt;0,U465&lt;0),"Recovery",
  TRUE,"Undefined"
)</f>
        <v>Expansion</v>
      </c>
      <c r="W465">
        <f t="shared" si="71"/>
        <v>0</v>
      </c>
      <c r="X465">
        <f t="shared" si="72"/>
        <v>0</v>
      </c>
      <c r="Y465">
        <v>0</v>
      </c>
    </row>
    <row r="466" spans="1:25" x14ac:dyDescent="0.35">
      <c r="A466" s="1">
        <f>Data!A466</f>
        <v>31291</v>
      </c>
      <c r="B466" s="2">
        <f>IFERROR((Data!B466/Data!B465-1)*100,"")</f>
        <v>0.1853568118628246</v>
      </c>
      <c r="C466" s="2">
        <f>IFERROR((Data!C466/Data!C465-1)*100,"")</f>
        <v>0.33835720357184851</v>
      </c>
      <c r="D466">
        <f t="shared" si="65"/>
        <v>5.6451723931701579E-2</v>
      </c>
      <c r="E466">
        <f t="shared" si="66"/>
        <v>0.18570144828211621</v>
      </c>
      <c r="P466" t="str" cm="1">
        <f t="array" ref="P466">_xlfn.IFS(
  AND(D466&gt;0,E466&gt;0),"Expansion",
  AND(D466&lt;0,E466&gt;0),"Slowdown",
  AND(D466&lt;0,E466&lt;0),"Contraction",
  AND(D466&gt;0,E466&lt;0),"Recovery",
  TRUE,"Undefined"
)</f>
        <v>Expansion</v>
      </c>
      <c r="Q466" t="str">
        <f t="shared" si="73"/>
        <v>Slowdown</v>
      </c>
      <c r="R466">
        <f t="shared" si="67"/>
        <v>1</v>
      </c>
      <c r="S466">
        <f t="shared" si="68"/>
        <v>1</v>
      </c>
      <c r="T466">
        <f t="shared" si="69"/>
        <v>1</v>
      </c>
      <c r="U466">
        <f t="shared" si="70"/>
        <v>1</v>
      </c>
      <c r="V466" t="str" cm="1">
        <f t="array" ref="V466">_xlfn.IFS(
  AND(S466&gt;0,U466&gt;0),"Expansion",
  AND(S466&lt;0,U466&gt;0),"Slowdown",
  AND(S466&lt;0,U466&lt;0),"Contraction",
  AND(S466&gt;0,U466&lt;0),"Recovery",
  TRUE,"Undefined"
)</f>
        <v>Expansion</v>
      </c>
      <c r="W466">
        <f t="shared" si="71"/>
        <v>0</v>
      </c>
      <c r="X466">
        <f t="shared" si="72"/>
        <v>0</v>
      </c>
      <c r="Y466">
        <v>0</v>
      </c>
    </row>
    <row r="467" spans="1:25" x14ac:dyDescent="0.35">
      <c r="A467" s="1">
        <f>Data!A467</f>
        <v>31321</v>
      </c>
      <c r="B467" s="2">
        <f>IFERROR((Data!B467/Data!B466-1)*100,"")</f>
        <v>0.37002775208141436</v>
      </c>
      <c r="C467" s="2">
        <f>IFERROR((Data!C467/Data!C466-1)*100,"")</f>
        <v>-0.310982208246946</v>
      </c>
      <c r="D467">
        <f t="shared" si="65"/>
        <v>0.11051921475418632</v>
      </c>
      <c r="E467">
        <f t="shared" si="66"/>
        <v>0.24702852843328701</v>
      </c>
      <c r="P467" t="str" cm="1">
        <f t="array" ref="P467">_xlfn.IFS(
  AND(D467&gt;0,E467&gt;0),"Expansion",
  AND(D467&lt;0,E467&gt;0),"Slowdown",
  AND(D467&lt;0,E467&lt;0),"Contraction",
  AND(D467&gt;0,E467&lt;0),"Recovery",
  TRUE,"Undefined"
)</f>
        <v>Expansion</v>
      </c>
      <c r="Q467" t="str">
        <f t="shared" si="73"/>
        <v>Slowdown</v>
      </c>
      <c r="R467">
        <f t="shared" si="67"/>
        <v>1</v>
      </c>
      <c r="S467">
        <f t="shared" si="68"/>
        <v>1</v>
      </c>
      <c r="T467">
        <f t="shared" si="69"/>
        <v>1</v>
      </c>
      <c r="U467">
        <f t="shared" si="70"/>
        <v>1</v>
      </c>
      <c r="V467" t="str" cm="1">
        <f t="array" ref="V467">_xlfn.IFS(
  AND(S467&gt;0,U467&gt;0),"Expansion",
  AND(S467&lt;0,U467&gt;0),"Slowdown",
  AND(S467&lt;0,U467&lt;0),"Contraction",
  AND(S467&gt;0,U467&lt;0),"Recovery",
  TRUE,"Undefined"
)</f>
        <v>Expansion</v>
      </c>
      <c r="W467">
        <f t="shared" si="71"/>
        <v>0</v>
      </c>
      <c r="X467">
        <f t="shared" si="72"/>
        <v>0</v>
      </c>
      <c r="Y467">
        <v>0</v>
      </c>
    </row>
    <row r="468" spans="1:25" x14ac:dyDescent="0.35">
      <c r="A468" s="1">
        <f>Data!A468</f>
        <v>31352</v>
      </c>
      <c r="B468" s="2">
        <f>IFERROR((Data!B468/Data!B467-1)*100,"")</f>
        <v>0.46082949308756671</v>
      </c>
      <c r="C468" s="2">
        <f>IFERROR((Data!C468/Data!C467-1)*100,"")</f>
        <v>0.3517915785664627</v>
      </c>
      <c r="D468">
        <f t="shared" si="65"/>
        <v>0.1263888579637884</v>
      </c>
      <c r="E468">
        <f t="shared" si="66"/>
        <v>0.33873801901060191</v>
      </c>
      <c r="P468" t="str" cm="1">
        <f t="array" ref="P468">_xlfn.IFS(
  AND(D468&gt;0,E468&gt;0),"Expansion",
  AND(D468&lt;0,E468&gt;0),"Slowdown",
  AND(D468&lt;0,E468&lt;0),"Contraction",
  AND(D468&gt;0,E468&lt;0),"Recovery",
  TRUE,"Undefined"
)</f>
        <v>Expansion</v>
      </c>
      <c r="Q468" t="str">
        <f t="shared" si="73"/>
        <v>Expansion</v>
      </c>
      <c r="R468">
        <f t="shared" si="67"/>
        <v>1</v>
      </c>
      <c r="S468">
        <f t="shared" si="68"/>
        <v>1</v>
      </c>
      <c r="T468">
        <f t="shared" si="69"/>
        <v>1</v>
      </c>
      <c r="U468">
        <f t="shared" si="70"/>
        <v>1</v>
      </c>
      <c r="V468" t="str" cm="1">
        <f t="array" ref="V468">_xlfn.IFS(
  AND(S468&gt;0,U468&gt;0),"Expansion",
  AND(S468&lt;0,U468&gt;0),"Slowdown",
  AND(S468&lt;0,U468&lt;0),"Contraction",
  AND(S468&gt;0,U468&lt;0),"Recovery",
  TRUE,"Undefined"
)</f>
        <v>Expansion</v>
      </c>
      <c r="W468">
        <f t="shared" si="71"/>
        <v>0</v>
      </c>
      <c r="X468">
        <f t="shared" si="72"/>
        <v>0</v>
      </c>
      <c r="Y468">
        <v>0</v>
      </c>
    </row>
    <row r="469" spans="1:25" x14ac:dyDescent="0.35">
      <c r="A469" s="1">
        <f>Data!A469</f>
        <v>31382</v>
      </c>
      <c r="B469" s="2">
        <f>IFERROR((Data!B469/Data!B468-1)*100,"")</f>
        <v>0.45871559633028358</v>
      </c>
      <c r="C469" s="2">
        <f>IFERROR((Data!C469/Data!C468-1)*100,"")</f>
        <v>0.96298832322025962</v>
      </c>
      <c r="D469">
        <f t="shared" si="65"/>
        <v>0.33459923117992546</v>
      </c>
      <c r="E469">
        <f t="shared" si="66"/>
        <v>0.42985761383308824</v>
      </c>
      <c r="P469" t="str" cm="1">
        <f t="array" ref="P469">_xlfn.IFS(
  AND(D469&gt;0,E469&gt;0),"Expansion",
  AND(D469&lt;0,E469&gt;0),"Slowdown",
  AND(D469&lt;0,E469&lt;0),"Contraction",
  AND(D469&gt;0,E469&lt;0),"Recovery",
  TRUE,"Undefined"
)</f>
        <v>Expansion</v>
      </c>
      <c r="Q469" t="str">
        <f t="shared" si="73"/>
        <v>Expansion</v>
      </c>
      <c r="R469">
        <f t="shared" si="67"/>
        <v>1</v>
      </c>
      <c r="S469">
        <f t="shared" si="68"/>
        <v>1</v>
      </c>
      <c r="T469">
        <f t="shared" si="69"/>
        <v>1</v>
      </c>
      <c r="U469">
        <f t="shared" si="70"/>
        <v>1</v>
      </c>
      <c r="V469" t="str" cm="1">
        <f t="array" ref="V469">_xlfn.IFS(
  AND(S469&gt;0,U469&gt;0),"Expansion",
  AND(S469&lt;0,U469&gt;0),"Slowdown",
  AND(S469&lt;0,U469&lt;0),"Contraction",
  AND(S469&gt;0,U469&lt;0),"Recovery",
  TRUE,"Undefined"
)</f>
        <v>Expansion</v>
      </c>
      <c r="W469">
        <f t="shared" si="71"/>
        <v>0</v>
      </c>
      <c r="X469">
        <f t="shared" si="72"/>
        <v>0</v>
      </c>
      <c r="Y469">
        <v>0</v>
      </c>
    </row>
    <row r="470" spans="1:25" x14ac:dyDescent="0.35">
      <c r="A470" s="1">
        <f>Data!A470</f>
        <v>31413</v>
      </c>
      <c r="B470" s="2">
        <f>IFERROR((Data!B470/Data!B469-1)*100,"")</f>
        <v>0.36529680365298134</v>
      </c>
      <c r="C470" s="2">
        <f>IFERROR((Data!C470/Data!C469-1)*100,"")</f>
        <v>0.55355944676522828</v>
      </c>
      <c r="D470">
        <f t="shared" si="65"/>
        <v>0.62277978285065017</v>
      </c>
      <c r="E470">
        <f t="shared" si="66"/>
        <v>0.42828063102361053</v>
      </c>
      <c r="P470" t="str" cm="1">
        <f t="array" ref="P470">_xlfn.IFS(
  AND(D470&gt;0,E470&gt;0),"Expansion",
  AND(D470&lt;0,E470&gt;0),"Slowdown",
  AND(D470&lt;0,E470&lt;0),"Contraction",
  AND(D470&gt;0,E470&lt;0),"Recovery",
  TRUE,"Undefined"
)</f>
        <v>Expansion</v>
      </c>
      <c r="Q470" t="str">
        <f t="shared" si="73"/>
        <v>Expansion</v>
      </c>
      <c r="R470">
        <f t="shared" si="67"/>
        <v>1</v>
      </c>
      <c r="S470">
        <f t="shared" si="68"/>
        <v>1</v>
      </c>
      <c r="T470">
        <f t="shared" si="69"/>
        <v>1</v>
      </c>
      <c r="U470">
        <f t="shared" si="70"/>
        <v>1</v>
      </c>
      <c r="V470" t="str" cm="1">
        <f t="array" ref="V470">_xlfn.IFS(
  AND(S470&gt;0,U470&gt;0),"Expansion",
  AND(S470&lt;0,U470&gt;0),"Slowdown",
  AND(S470&lt;0,U470&lt;0),"Contraction",
  AND(S470&gt;0,U470&lt;0),"Recovery",
  TRUE,"Undefined"
)</f>
        <v>Expansion</v>
      </c>
      <c r="W470">
        <f t="shared" si="71"/>
        <v>0</v>
      </c>
      <c r="X470">
        <f t="shared" si="72"/>
        <v>0</v>
      </c>
      <c r="Y470">
        <v>0</v>
      </c>
    </row>
    <row r="471" spans="1:25" x14ac:dyDescent="0.35">
      <c r="A471" s="1">
        <f>Data!A471</f>
        <v>31444</v>
      </c>
      <c r="B471" s="2">
        <f>IFERROR((Data!B471/Data!B470-1)*100,"")</f>
        <v>-0.18198362147406888</v>
      </c>
      <c r="C471" s="2">
        <f>IFERROR((Data!C471/Data!C470-1)*100,"")</f>
        <v>-0.70190732957715607</v>
      </c>
      <c r="D471">
        <f t="shared" si="65"/>
        <v>0.27154681346944393</v>
      </c>
      <c r="E471">
        <f t="shared" si="66"/>
        <v>0.21400959283639867</v>
      </c>
      <c r="P471" t="str" cm="1">
        <f t="array" ref="P471">_xlfn.IFS(
  AND(D471&gt;0,E471&gt;0),"Expansion",
  AND(D471&lt;0,E471&gt;0),"Slowdown",
  AND(D471&lt;0,E471&lt;0),"Contraction",
  AND(D471&gt;0,E471&lt;0),"Recovery",
  TRUE,"Undefined"
)</f>
        <v>Expansion</v>
      </c>
      <c r="Q471" t="str">
        <f t="shared" si="73"/>
        <v>Expansion</v>
      </c>
      <c r="R471">
        <f t="shared" si="67"/>
        <v>1</v>
      </c>
      <c r="S471">
        <f t="shared" si="68"/>
        <v>1</v>
      </c>
      <c r="T471">
        <f t="shared" si="69"/>
        <v>1</v>
      </c>
      <c r="U471">
        <f t="shared" si="70"/>
        <v>1</v>
      </c>
      <c r="V471" t="str" cm="1">
        <f t="array" ref="V471">_xlfn.IFS(
  AND(S471&gt;0,U471&gt;0),"Expansion",
  AND(S471&lt;0,U471&gt;0),"Slowdown",
  AND(S471&lt;0,U471&lt;0),"Contraction",
  AND(S471&gt;0,U471&lt;0),"Recovery",
  TRUE,"Undefined"
)</f>
        <v>Expansion</v>
      </c>
      <c r="W471">
        <f t="shared" si="71"/>
        <v>0</v>
      </c>
      <c r="X471">
        <f t="shared" si="72"/>
        <v>0</v>
      </c>
      <c r="Y471">
        <v>0</v>
      </c>
    </row>
    <row r="472" spans="1:25" x14ac:dyDescent="0.35">
      <c r="A472" s="1">
        <f>Data!A472</f>
        <v>31472</v>
      </c>
      <c r="B472" s="2">
        <f>IFERROR((Data!B472/Data!B471-1)*100,"")</f>
        <v>-0.54694621695533518</v>
      </c>
      <c r="C472" s="2">
        <f>IFERROR((Data!C472/Data!C471-1)*100,"")</f>
        <v>-0.71228828255969212</v>
      </c>
      <c r="D472">
        <f t="shared" si="65"/>
        <v>-0.28687872179053997</v>
      </c>
      <c r="E472">
        <f t="shared" si="66"/>
        <v>-0.12121101159214091</v>
      </c>
      <c r="P472" t="str" cm="1">
        <f t="array" ref="P472">_xlfn.IFS(
  AND(D472&gt;0,E472&gt;0),"Expansion",
  AND(D472&lt;0,E472&gt;0),"Slowdown",
  AND(D472&lt;0,E472&lt;0),"Contraction",
  AND(D472&gt;0,E472&lt;0),"Recovery",
  TRUE,"Undefined"
)</f>
        <v>Contraction</v>
      </c>
      <c r="Q472" t="str">
        <f t="shared" si="73"/>
        <v>Expansion</v>
      </c>
      <c r="R472">
        <f t="shared" si="67"/>
        <v>-1</v>
      </c>
      <c r="S472">
        <f t="shared" si="68"/>
        <v>-1</v>
      </c>
      <c r="T472">
        <f t="shared" si="69"/>
        <v>-1</v>
      </c>
      <c r="U472">
        <f t="shared" si="70"/>
        <v>-1</v>
      </c>
      <c r="V472" t="str" cm="1">
        <f t="array" ref="V472">_xlfn.IFS(
  AND(S472&gt;0,U472&gt;0),"Expansion",
  AND(S472&lt;0,U472&gt;0),"Slowdown",
  AND(S472&lt;0,U472&lt;0),"Contraction",
  AND(S472&gt;0,U472&lt;0),"Recovery",
  TRUE,"Undefined"
)</f>
        <v>Contraction</v>
      </c>
      <c r="W472">
        <f t="shared" si="71"/>
        <v>0</v>
      </c>
      <c r="X472">
        <f t="shared" si="72"/>
        <v>1</v>
      </c>
      <c r="Y472">
        <v>0</v>
      </c>
    </row>
    <row r="473" spans="1:25" x14ac:dyDescent="0.35">
      <c r="A473" s="1">
        <f>Data!A473</f>
        <v>31503</v>
      </c>
      <c r="B473" s="2">
        <f>IFERROR((Data!B473/Data!B472-1)*100,"")</f>
        <v>-0.36663611365719273</v>
      </c>
      <c r="C473" s="2">
        <f>IFERROR((Data!C473/Data!C472-1)*100,"")</f>
        <v>0.14337047987265095</v>
      </c>
      <c r="D473">
        <f t="shared" si="65"/>
        <v>-0.42360837742139906</v>
      </c>
      <c r="E473">
        <f t="shared" si="66"/>
        <v>-0.36518865069553225</v>
      </c>
      <c r="P473" t="str" cm="1">
        <f t="array" ref="P473">_xlfn.IFS(
  AND(D473&gt;0,E473&gt;0),"Expansion",
  AND(D473&lt;0,E473&gt;0),"Slowdown",
  AND(D473&lt;0,E473&lt;0),"Contraction",
  AND(D473&gt;0,E473&lt;0),"Recovery",
  TRUE,"Undefined"
)</f>
        <v>Contraction</v>
      </c>
      <c r="Q473" t="str">
        <f t="shared" si="73"/>
        <v>Expansion</v>
      </c>
      <c r="R473">
        <f t="shared" si="67"/>
        <v>-1</v>
      </c>
      <c r="S473">
        <f t="shared" si="68"/>
        <v>-1</v>
      </c>
      <c r="T473">
        <f t="shared" si="69"/>
        <v>-1</v>
      </c>
      <c r="U473">
        <f t="shared" si="70"/>
        <v>-1</v>
      </c>
      <c r="V473" t="str" cm="1">
        <f t="array" ref="V473">_xlfn.IFS(
  AND(S473&gt;0,U473&gt;0),"Expansion",
  AND(S473&lt;0,U473&gt;0),"Slowdown",
  AND(S473&lt;0,U473&lt;0),"Contraction",
  AND(S473&gt;0,U473&lt;0),"Recovery",
  TRUE,"Undefined"
)</f>
        <v>Contraction</v>
      </c>
      <c r="W473">
        <f t="shared" si="71"/>
        <v>0</v>
      </c>
      <c r="X473">
        <f t="shared" si="72"/>
        <v>1</v>
      </c>
      <c r="Y473">
        <v>0</v>
      </c>
    </row>
    <row r="474" spans="1:25" x14ac:dyDescent="0.35">
      <c r="A474" s="1">
        <f>Data!A474</f>
        <v>31533</v>
      </c>
      <c r="B474" s="2">
        <f>IFERROR((Data!B474/Data!B473-1)*100,"")</f>
        <v>0.27598896044158661</v>
      </c>
      <c r="C474" s="2">
        <f>IFERROR((Data!C474/Data!C473-1)*100,"")</f>
        <v>0.147707267088526</v>
      </c>
      <c r="D474">
        <f t="shared" si="65"/>
        <v>-0.14040351186617173</v>
      </c>
      <c r="E474">
        <f t="shared" si="66"/>
        <v>-0.21253112339031377</v>
      </c>
      <c r="P474" t="str" cm="1">
        <f t="array" ref="P474">_xlfn.IFS(
  AND(D474&gt;0,E474&gt;0),"Expansion",
  AND(D474&lt;0,E474&gt;0),"Slowdown",
  AND(D474&lt;0,E474&lt;0),"Contraction",
  AND(D474&gt;0,E474&lt;0),"Recovery",
  TRUE,"Undefined"
)</f>
        <v>Contraction</v>
      </c>
      <c r="Q474" t="str">
        <f t="shared" si="73"/>
        <v>Contraction</v>
      </c>
      <c r="R474">
        <f t="shared" si="67"/>
        <v>1</v>
      </c>
      <c r="S474">
        <f t="shared" si="68"/>
        <v>1</v>
      </c>
      <c r="T474">
        <f t="shared" si="69"/>
        <v>-1</v>
      </c>
      <c r="U474">
        <f t="shared" si="70"/>
        <v>-1</v>
      </c>
      <c r="V474" t="str" cm="1">
        <f t="array" ref="V474">_xlfn.IFS(
  AND(S474&gt;0,U474&gt;0),"Expansion",
  AND(S474&lt;0,U474&gt;0),"Slowdown",
  AND(S474&lt;0,U474&lt;0),"Contraction",
  AND(S474&gt;0,U474&lt;0),"Recovery",
  TRUE,"Undefined"
)</f>
        <v>Recovery</v>
      </c>
      <c r="W474">
        <f t="shared" si="71"/>
        <v>1</v>
      </c>
      <c r="X474">
        <f t="shared" si="72"/>
        <v>0</v>
      </c>
      <c r="Y474">
        <v>0</v>
      </c>
    </row>
    <row r="475" spans="1:25" x14ac:dyDescent="0.35">
      <c r="A475" s="1">
        <f>Data!A475</f>
        <v>31564</v>
      </c>
      <c r="B475" s="2">
        <f>IFERROR((Data!B475/Data!B474-1)*100,"")</f>
        <v>0.36697247706423131</v>
      </c>
      <c r="C475" s="2">
        <f>IFERROR((Data!C475/Data!C474-1)*100,"")</f>
        <v>-0.40292003642788954</v>
      </c>
      <c r="D475">
        <f t="shared" si="65"/>
        <v>-3.7280763155570863E-2</v>
      </c>
      <c r="E475">
        <f t="shared" si="66"/>
        <v>9.2108441282875056E-2</v>
      </c>
      <c r="P475" t="str" cm="1">
        <f t="array" ref="P475">_xlfn.IFS(
  AND(D475&gt;0,E475&gt;0),"Expansion",
  AND(D475&lt;0,E475&gt;0),"Slowdown",
  AND(D475&lt;0,E475&lt;0),"Contraction",
  AND(D475&gt;0,E475&lt;0),"Recovery",
  TRUE,"Undefined"
)</f>
        <v>Slowdown</v>
      </c>
      <c r="Q475" t="str">
        <f t="shared" si="73"/>
        <v>Contraction</v>
      </c>
      <c r="R475">
        <f t="shared" si="67"/>
        <v>1</v>
      </c>
      <c r="S475">
        <f t="shared" si="68"/>
        <v>1</v>
      </c>
      <c r="T475">
        <f t="shared" si="69"/>
        <v>1</v>
      </c>
      <c r="U475">
        <f t="shared" si="70"/>
        <v>1</v>
      </c>
      <c r="V475" t="str" cm="1">
        <f t="array" ref="V475">_xlfn.IFS(
  AND(S475&gt;0,U475&gt;0),"Expansion",
  AND(S475&lt;0,U475&gt;0),"Slowdown",
  AND(S475&lt;0,U475&lt;0),"Contraction",
  AND(S475&gt;0,U475&lt;0),"Recovery",
  TRUE,"Undefined"
)</f>
        <v>Expansion</v>
      </c>
      <c r="W475">
        <f t="shared" si="71"/>
        <v>1</v>
      </c>
      <c r="X475">
        <f t="shared" si="72"/>
        <v>0</v>
      </c>
      <c r="Y475">
        <v>0</v>
      </c>
    </row>
    <row r="476" spans="1:25" x14ac:dyDescent="0.35">
      <c r="A476" s="1">
        <f>Data!A476</f>
        <v>31594</v>
      </c>
      <c r="B476" s="2">
        <f>IFERROR((Data!B476/Data!B475-1)*100,"")</f>
        <v>9.1407678244959101E-2</v>
      </c>
      <c r="C476" s="2">
        <f>IFERROR((Data!C476/Data!C475-1)*100,"")</f>
        <v>0.65336381271572375</v>
      </c>
      <c r="D476">
        <f t="shared" si="65"/>
        <v>0.13271701445878673</v>
      </c>
      <c r="E476">
        <f t="shared" si="66"/>
        <v>0.244789705250259</v>
      </c>
      <c r="P476" t="str" cm="1">
        <f t="array" ref="P476">_xlfn.IFS(
  AND(D476&gt;0,E476&gt;0),"Expansion",
  AND(D476&lt;0,E476&gt;0),"Slowdown",
  AND(D476&lt;0,E476&lt;0),"Contraction",
  AND(D476&gt;0,E476&lt;0),"Recovery",
  TRUE,"Undefined"
)</f>
        <v>Expansion</v>
      </c>
      <c r="Q476" t="str">
        <f t="shared" si="73"/>
        <v>Contraction</v>
      </c>
      <c r="R476">
        <f t="shared" si="67"/>
        <v>1</v>
      </c>
      <c r="S476">
        <f t="shared" si="68"/>
        <v>1</v>
      </c>
      <c r="T476">
        <f t="shared" si="69"/>
        <v>1</v>
      </c>
      <c r="U476">
        <f t="shared" si="70"/>
        <v>1</v>
      </c>
      <c r="V476" t="str" cm="1">
        <f t="array" ref="V476">_xlfn.IFS(
  AND(S476&gt;0,U476&gt;0),"Expansion",
  AND(S476&lt;0,U476&gt;0),"Slowdown",
  AND(S476&lt;0,U476&lt;0),"Contraction",
  AND(S476&gt;0,U476&lt;0),"Recovery",
  TRUE,"Undefined"
)</f>
        <v>Expansion</v>
      </c>
      <c r="W476">
        <f t="shared" si="71"/>
        <v>1</v>
      </c>
      <c r="X476">
        <f t="shared" si="72"/>
        <v>0</v>
      </c>
      <c r="Y476">
        <v>0</v>
      </c>
    </row>
    <row r="477" spans="1:25" x14ac:dyDescent="0.35">
      <c r="A477" s="1">
        <f>Data!A477</f>
        <v>31625</v>
      </c>
      <c r="B477" s="2">
        <f>IFERROR((Data!B477/Data!B476-1)*100,"")</f>
        <v>9.1324200913245335E-2</v>
      </c>
      <c r="C477" s="2">
        <f>IFERROR((Data!C477/Data!C476-1)*100,"")</f>
        <v>-0.18548947505573343</v>
      </c>
      <c r="D477">
        <f t="shared" si="65"/>
        <v>2.1651433744033593E-2</v>
      </c>
      <c r="E477">
        <f t="shared" si="66"/>
        <v>0.18323478540747859</v>
      </c>
      <c r="P477" t="str" cm="1">
        <f t="array" ref="P477">_xlfn.IFS(
  AND(D477&gt;0,E477&gt;0),"Expansion",
  AND(D477&lt;0,E477&gt;0),"Slowdown",
  AND(D477&lt;0,E477&lt;0),"Contraction",
  AND(D477&gt;0,E477&lt;0),"Recovery",
  TRUE,"Undefined"
)</f>
        <v>Expansion</v>
      </c>
      <c r="Q477" t="str">
        <f t="shared" si="73"/>
        <v>Contraction</v>
      </c>
      <c r="R477">
        <f t="shared" si="67"/>
        <v>1</v>
      </c>
      <c r="S477">
        <f t="shared" si="68"/>
        <v>1</v>
      </c>
      <c r="T477">
        <f t="shared" si="69"/>
        <v>1</v>
      </c>
      <c r="U477">
        <f t="shared" si="70"/>
        <v>1</v>
      </c>
      <c r="V477" t="str" cm="1">
        <f t="array" ref="V477">_xlfn.IFS(
  AND(S477&gt;0,U477&gt;0),"Expansion",
  AND(S477&lt;0,U477&gt;0),"Slowdown",
  AND(S477&lt;0,U477&lt;0),"Contraction",
  AND(S477&gt;0,U477&lt;0),"Recovery",
  TRUE,"Undefined"
)</f>
        <v>Expansion</v>
      </c>
      <c r="W477">
        <f t="shared" si="71"/>
        <v>1</v>
      </c>
      <c r="X477">
        <f t="shared" si="72"/>
        <v>0</v>
      </c>
      <c r="Y477">
        <v>0</v>
      </c>
    </row>
    <row r="478" spans="1:25" x14ac:dyDescent="0.35">
      <c r="A478" s="1">
        <f>Data!A478</f>
        <v>31656</v>
      </c>
      <c r="B478" s="2">
        <f>IFERROR((Data!B478/Data!B477-1)*100,"")</f>
        <v>0.36496350364965124</v>
      </c>
      <c r="C478" s="2">
        <f>IFERROR((Data!C478/Data!C477-1)*100,"")</f>
        <v>0.25527270485725673</v>
      </c>
      <c r="D478">
        <f t="shared" si="65"/>
        <v>0.24104901417241567</v>
      </c>
      <c r="E478">
        <f t="shared" si="66"/>
        <v>0.18256512760261856</v>
      </c>
      <c r="P478" t="str" cm="1">
        <f t="array" ref="P478">_xlfn.IFS(
  AND(D478&gt;0,E478&gt;0),"Expansion",
  AND(D478&lt;0,E478&gt;0),"Slowdown",
  AND(D478&lt;0,E478&lt;0),"Contraction",
  AND(D478&gt;0,E478&lt;0),"Recovery",
  TRUE,"Undefined"
)</f>
        <v>Expansion</v>
      </c>
      <c r="Q478" t="str">
        <f t="shared" si="73"/>
        <v>Expansion</v>
      </c>
      <c r="R478">
        <f t="shared" si="67"/>
        <v>1</v>
      </c>
      <c r="S478">
        <f t="shared" si="68"/>
        <v>1</v>
      </c>
      <c r="T478">
        <f t="shared" si="69"/>
        <v>1</v>
      </c>
      <c r="U478">
        <f t="shared" si="70"/>
        <v>1</v>
      </c>
      <c r="V478" t="str" cm="1">
        <f t="array" ref="V478">_xlfn.IFS(
  AND(S478&gt;0,U478&gt;0),"Expansion",
  AND(S478&lt;0,U478&gt;0),"Slowdown",
  AND(S478&lt;0,U478&lt;0),"Contraction",
  AND(S478&gt;0,U478&lt;0),"Recovery",
  TRUE,"Undefined"
)</f>
        <v>Expansion</v>
      </c>
      <c r="W478">
        <f t="shared" si="71"/>
        <v>0</v>
      </c>
      <c r="X478">
        <f t="shared" si="72"/>
        <v>0</v>
      </c>
      <c r="Y478">
        <v>0</v>
      </c>
    </row>
    <row r="479" spans="1:25" x14ac:dyDescent="0.35">
      <c r="A479" s="1">
        <f>Data!A479</f>
        <v>31686</v>
      </c>
      <c r="B479" s="2">
        <f>IFERROR((Data!B479/Data!B478-1)*100,"")</f>
        <v>0.18181818181819409</v>
      </c>
      <c r="C479" s="2">
        <f>IFERROR((Data!C479/Data!C478-1)*100,"")</f>
        <v>0.42623988426240267</v>
      </c>
      <c r="D479">
        <f t="shared" si="65"/>
        <v>0.16534103802130865</v>
      </c>
      <c r="E479">
        <f t="shared" si="66"/>
        <v>0.21270196212703021</v>
      </c>
      <c r="P479" t="str" cm="1">
        <f t="array" ref="P479">_xlfn.IFS(
  AND(D479&gt;0,E479&gt;0),"Expansion",
  AND(D479&lt;0,E479&gt;0),"Slowdown",
  AND(D479&lt;0,E479&lt;0),"Contraction",
  AND(D479&gt;0,E479&lt;0),"Recovery",
  TRUE,"Undefined"
)</f>
        <v>Expansion</v>
      </c>
      <c r="Q479" t="str">
        <f t="shared" si="73"/>
        <v>Expansion</v>
      </c>
      <c r="R479">
        <f t="shared" si="67"/>
        <v>1</v>
      </c>
      <c r="S479">
        <f t="shared" si="68"/>
        <v>1</v>
      </c>
      <c r="T479">
        <f t="shared" si="69"/>
        <v>1</v>
      </c>
      <c r="U479">
        <f t="shared" si="70"/>
        <v>1</v>
      </c>
      <c r="V479" t="str" cm="1">
        <f t="array" ref="V479">_xlfn.IFS(
  AND(S479&gt;0,U479&gt;0),"Expansion",
  AND(S479&lt;0,U479&gt;0),"Slowdown",
  AND(S479&lt;0,U479&lt;0),"Contraction",
  AND(S479&gt;0,U479&lt;0),"Recovery",
  TRUE,"Undefined"
)</f>
        <v>Expansion</v>
      </c>
      <c r="W479">
        <f t="shared" si="71"/>
        <v>0</v>
      </c>
      <c r="X479">
        <f t="shared" si="72"/>
        <v>0</v>
      </c>
      <c r="Y479">
        <v>0</v>
      </c>
    </row>
    <row r="480" spans="1:25" x14ac:dyDescent="0.35">
      <c r="A480" s="1">
        <f>Data!A480</f>
        <v>31717</v>
      </c>
      <c r="B480" s="2">
        <f>IFERROR((Data!B480/Data!B479-1)*100,"")</f>
        <v>0.18148820326679971</v>
      </c>
      <c r="C480" s="2">
        <f>IFERROR((Data!C480/Data!C479-1)*100,"")</f>
        <v>0.40066122607735899</v>
      </c>
      <c r="D480">
        <f t="shared" si="65"/>
        <v>0.36072460506567278</v>
      </c>
      <c r="E480">
        <f t="shared" si="66"/>
        <v>0.24275662957821501</v>
      </c>
      <c r="P480" t="str" cm="1">
        <f t="array" ref="P480">_xlfn.IFS(
  AND(D480&gt;0,E480&gt;0),"Expansion",
  AND(D480&lt;0,E480&gt;0),"Slowdown",
  AND(D480&lt;0,E480&lt;0),"Contraction",
  AND(D480&gt;0,E480&lt;0),"Recovery",
  TRUE,"Undefined"
)</f>
        <v>Expansion</v>
      </c>
      <c r="Q480" t="str">
        <f t="shared" si="73"/>
        <v>Expansion</v>
      </c>
      <c r="R480">
        <f t="shared" si="67"/>
        <v>1</v>
      </c>
      <c r="S480">
        <f t="shared" si="68"/>
        <v>1</v>
      </c>
      <c r="T480">
        <f t="shared" si="69"/>
        <v>1</v>
      </c>
      <c r="U480">
        <f t="shared" si="70"/>
        <v>1</v>
      </c>
      <c r="V480" t="str" cm="1">
        <f t="array" ref="V480">_xlfn.IFS(
  AND(S480&gt;0,U480&gt;0),"Expansion",
  AND(S480&lt;0,U480&gt;0),"Slowdown",
  AND(S480&lt;0,U480&lt;0),"Contraction",
  AND(S480&gt;0,U480&lt;0),"Recovery",
  TRUE,"Undefined"
)</f>
        <v>Expansion</v>
      </c>
      <c r="W480">
        <f t="shared" si="71"/>
        <v>0</v>
      </c>
      <c r="X480">
        <f t="shared" si="72"/>
        <v>0</v>
      </c>
      <c r="Y480">
        <v>0</v>
      </c>
    </row>
    <row r="481" spans="1:25" x14ac:dyDescent="0.35">
      <c r="A481" s="1">
        <f>Data!A481</f>
        <v>31747</v>
      </c>
      <c r="B481" s="2">
        <f>IFERROR((Data!B481/Data!B480-1)*100,"")</f>
        <v>0.36231884057971175</v>
      </c>
      <c r="C481" s="2">
        <f>IFERROR((Data!C481/Data!C480-1)*100,"")</f>
        <v>0.94842321054171563</v>
      </c>
      <c r="D481">
        <f t="shared" si="65"/>
        <v>0.59177477362715913</v>
      </c>
      <c r="E481">
        <f t="shared" si="66"/>
        <v>0.24187507522156851</v>
      </c>
      <c r="P481" t="str" cm="1">
        <f t="array" ref="P481">_xlfn.IFS(
  AND(D481&gt;0,E481&gt;0),"Expansion",
  AND(D481&lt;0,E481&gt;0),"Slowdown",
  AND(D481&lt;0,E481&lt;0),"Contraction",
  AND(D481&gt;0,E481&lt;0),"Recovery",
  TRUE,"Undefined"
)</f>
        <v>Expansion</v>
      </c>
      <c r="Q481" t="str">
        <f t="shared" si="73"/>
        <v>Expansion</v>
      </c>
      <c r="R481">
        <f t="shared" si="67"/>
        <v>1</v>
      </c>
      <c r="S481">
        <f t="shared" si="68"/>
        <v>1</v>
      </c>
      <c r="T481">
        <f t="shared" si="69"/>
        <v>1</v>
      </c>
      <c r="U481">
        <f t="shared" si="70"/>
        <v>1</v>
      </c>
      <c r="V481" t="str" cm="1">
        <f t="array" ref="V481">_xlfn.IFS(
  AND(S481&gt;0,U481&gt;0),"Expansion",
  AND(S481&lt;0,U481&gt;0),"Slowdown",
  AND(S481&lt;0,U481&lt;0),"Contraction",
  AND(S481&gt;0,U481&lt;0),"Recovery",
  TRUE,"Undefined"
)</f>
        <v>Expansion</v>
      </c>
      <c r="W481">
        <f t="shared" si="71"/>
        <v>0</v>
      </c>
      <c r="X481">
        <f t="shared" si="72"/>
        <v>0</v>
      </c>
      <c r="Y481">
        <v>0</v>
      </c>
    </row>
    <row r="482" spans="1:25" x14ac:dyDescent="0.35">
      <c r="A482" s="1">
        <f>Data!A482</f>
        <v>31778</v>
      </c>
      <c r="B482" s="2">
        <f>IFERROR((Data!B482/Data!B481-1)*100,"")</f>
        <v>0.54151624548737232</v>
      </c>
      <c r="C482" s="2">
        <f>IFERROR((Data!C482/Data!C481-1)*100,"")</f>
        <v>-0.34876386927129577</v>
      </c>
      <c r="D482">
        <f t="shared" si="65"/>
        <v>0.33344018911592627</v>
      </c>
      <c r="E482">
        <f t="shared" si="66"/>
        <v>0.36177442977796126</v>
      </c>
      <c r="P482" t="str" cm="1">
        <f t="array" ref="P482">_xlfn.IFS(
  AND(D482&gt;0,E482&gt;0),"Expansion",
  AND(D482&lt;0,E482&gt;0),"Slowdown",
  AND(D482&lt;0,E482&lt;0),"Contraction",
  AND(D482&gt;0,E482&lt;0),"Recovery",
  TRUE,"Undefined"
)</f>
        <v>Expansion</v>
      </c>
      <c r="Q482" t="str">
        <f t="shared" si="73"/>
        <v>Expansion</v>
      </c>
      <c r="R482">
        <f t="shared" si="67"/>
        <v>1</v>
      </c>
      <c r="S482">
        <f t="shared" si="68"/>
        <v>1</v>
      </c>
      <c r="T482">
        <f t="shared" si="69"/>
        <v>1</v>
      </c>
      <c r="U482">
        <f t="shared" si="70"/>
        <v>1</v>
      </c>
      <c r="V482" t="str" cm="1">
        <f t="array" ref="V482">_xlfn.IFS(
  AND(S482&gt;0,U482&gt;0),"Expansion",
  AND(S482&lt;0,U482&gt;0),"Slowdown",
  AND(S482&lt;0,U482&lt;0),"Contraction",
  AND(S482&gt;0,U482&lt;0),"Recovery",
  TRUE,"Undefined"
)</f>
        <v>Expansion</v>
      </c>
      <c r="W482">
        <f t="shared" si="71"/>
        <v>0</v>
      </c>
      <c r="X482">
        <f t="shared" si="72"/>
        <v>0</v>
      </c>
      <c r="Y482">
        <v>0</v>
      </c>
    </row>
    <row r="483" spans="1:25" x14ac:dyDescent="0.35">
      <c r="A483" s="1">
        <f>Data!A483</f>
        <v>31809</v>
      </c>
      <c r="B483" s="2">
        <f>IFERROR((Data!B483/Data!B482-1)*100,"")</f>
        <v>0.35906642728904536</v>
      </c>
      <c r="C483" s="2">
        <f>IFERROR((Data!C483/Data!C482-1)*100,"")</f>
        <v>1.3181025598967278</v>
      </c>
      <c r="D483">
        <f t="shared" si="65"/>
        <v>0.63925396705571591</v>
      </c>
      <c r="E483">
        <f t="shared" si="66"/>
        <v>0.42096717111870979</v>
      </c>
      <c r="P483" t="str" cm="1">
        <f t="array" ref="P483">_xlfn.IFS(
  AND(D483&gt;0,E483&gt;0),"Expansion",
  AND(D483&lt;0,E483&gt;0),"Slowdown",
  AND(D483&lt;0,E483&lt;0),"Contraction",
  AND(D483&gt;0,E483&lt;0),"Recovery",
  TRUE,"Undefined"
)</f>
        <v>Expansion</v>
      </c>
      <c r="Q483" t="str">
        <f t="shared" si="73"/>
        <v>Expansion</v>
      </c>
      <c r="R483">
        <f t="shared" si="67"/>
        <v>1</v>
      </c>
      <c r="S483">
        <f t="shared" si="68"/>
        <v>1</v>
      </c>
      <c r="T483">
        <f t="shared" si="69"/>
        <v>1</v>
      </c>
      <c r="U483">
        <f t="shared" si="70"/>
        <v>1</v>
      </c>
      <c r="V483" t="str" cm="1">
        <f t="array" ref="V483">_xlfn.IFS(
  AND(S483&gt;0,U483&gt;0),"Expansion",
  AND(S483&lt;0,U483&gt;0),"Slowdown",
  AND(S483&lt;0,U483&lt;0),"Contraction",
  AND(S483&gt;0,U483&lt;0),"Recovery",
  TRUE,"Undefined"
)</f>
        <v>Expansion</v>
      </c>
      <c r="W483">
        <f t="shared" si="71"/>
        <v>0</v>
      </c>
      <c r="X483">
        <f t="shared" si="72"/>
        <v>0</v>
      </c>
      <c r="Y483">
        <v>0</v>
      </c>
    </row>
    <row r="484" spans="1:25" x14ac:dyDescent="0.35">
      <c r="A484" s="1">
        <f>Data!A484</f>
        <v>31837</v>
      </c>
      <c r="B484" s="2">
        <f>IFERROR((Data!B484/Data!B483-1)*100,"")</f>
        <v>0.35778175313059268</v>
      </c>
      <c r="C484" s="2">
        <f>IFERROR((Data!C484/Data!C483-1)*100,"")</f>
        <v>0.14482424882318323</v>
      </c>
      <c r="D484">
        <f t="shared" si="65"/>
        <v>0.37138764648287176</v>
      </c>
      <c r="E484">
        <f t="shared" si="66"/>
        <v>0.41945480863567014</v>
      </c>
      <c r="P484" t="str" cm="1">
        <f t="array" ref="P484">_xlfn.IFS(
  AND(D484&gt;0,E484&gt;0),"Expansion",
  AND(D484&lt;0,E484&gt;0),"Slowdown",
  AND(D484&lt;0,E484&lt;0),"Contraction",
  AND(D484&gt;0,E484&lt;0),"Recovery",
  TRUE,"Undefined"
)</f>
        <v>Expansion</v>
      </c>
      <c r="Q484" t="str">
        <f t="shared" si="73"/>
        <v>Expansion</v>
      </c>
      <c r="R484">
        <f t="shared" si="67"/>
        <v>1</v>
      </c>
      <c r="S484">
        <f t="shared" si="68"/>
        <v>1</v>
      </c>
      <c r="T484">
        <f t="shared" si="69"/>
        <v>1</v>
      </c>
      <c r="U484">
        <f t="shared" si="70"/>
        <v>1</v>
      </c>
      <c r="V484" t="str" cm="1">
        <f t="array" ref="V484">_xlfn.IFS(
  AND(S484&gt;0,U484&gt;0),"Expansion",
  AND(S484&lt;0,U484&gt;0),"Slowdown",
  AND(S484&lt;0,U484&lt;0),"Contraction",
  AND(S484&gt;0,U484&lt;0),"Recovery",
  TRUE,"Undefined"
)</f>
        <v>Expansion</v>
      </c>
      <c r="W484">
        <f t="shared" si="71"/>
        <v>0</v>
      </c>
      <c r="X484">
        <f t="shared" si="72"/>
        <v>0</v>
      </c>
      <c r="Y484">
        <v>0</v>
      </c>
    </row>
    <row r="485" spans="1:25" x14ac:dyDescent="0.35">
      <c r="A485" s="1">
        <f>Data!A485</f>
        <v>31868</v>
      </c>
      <c r="B485" s="2">
        <f>IFERROR((Data!B485/Data!B484-1)*100,"")</f>
        <v>0.44563279857396942</v>
      </c>
      <c r="C485" s="2">
        <f>IFERROR((Data!C485/Data!C484-1)*100,"")</f>
        <v>0.63310712741917463</v>
      </c>
      <c r="D485">
        <f t="shared" si="65"/>
        <v>0.6986779787130285</v>
      </c>
      <c r="E485">
        <f t="shared" si="66"/>
        <v>0.38749365966453581</v>
      </c>
      <c r="P485" t="str" cm="1">
        <f t="array" ref="P485">_xlfn.IFS(
  AND(D485&gt;0,E485&gt;0),"Expansion",
  AND(D485&lt;0,E485&gt;0),"Slowdown",
  AND(D485&lt;0,E485&lt;0),"Contraction",
  AND(D485&gt;0,E485&lt;0),"Recovery",
  TRUE,"Undefined"
)</f>
        <v>Expansion</v>
      </c>
      <c r="Q485" t="str">
        <f t="shared" si="73"/>
        <v>Expansion</v>
      </c>
      <c r="R485">
        <f t="shared" si="67"/>
        <v>1</v>
      </c>
      <c r="S485">
        <f t="shared" si="68"/>
        <v>1</v>
      </c>
      <c r="T485">
        <f t="shared" si="69"/>
        <v>1</v>
      </c>
      <c r="U485">
        <f t="shared" si="70"/>
        <v>1</v>
      </c>
      <c r="V485" t="str" cm="1">
        <f t="array" ref="V485">_xlfn.IFS(
  AND(S485&gt;0,U485&gt;0),"Expansion",
  AND(S485&lt;0,U485&gt;0),"Slowdown",
  AND(S485&lt;0,U485&lt;0),"Contraction",
  AND(S485&gt;0,U485&lt;0),"Recovery",
  TRUE,"Undefined"
)</f>
        <v>Expansion</v>
      </c>
      <c r="W485">
        <f t="shared" si="71"/>
        <v>0</v>
      </c>
      <c r="X485">
        <f t="shared" si="72"/>
        <v>0</v>
      </c>
      <c r="Y485">
        <v>0</v>
      </c>
    </row>
    <row r="486" spans="1:25" x14ac:dyDescent="0.35">
      <c r="A486" s="1">
        <f>Data!A486</f>
        <v>31898</v>
      </c>
      <c r="B486" s="2">
        <f>IFERROR((Data!B486/Data!B485-1)*100,"")</f>
        <v>0.26619343389528982</v>
      </c>
      <c r="C486" s="2">
        <f>IFERROR((Data!C486/Data!C485-1)*100,"")</f>
        <v>0.63226709923676072</v>
      </c>
      <c r="D486">
        <f t="shared" si="65"/>
        <v>0.47006615849303951</v>
      </c>
      <c r="E486">
        <f t="shared" si="66"/>
        <v>0.35653599519995066</v>
      </c>
      <c r="P486" t="str" cm="1">
        <f t="array" ref="P486">_xlfn.IFS(
  AND(D486&gt;0,E486&gt;0),"Expansion",
  AND(D486&lt;0,E486&gt;0),"Slowdown",
  AND(D486&lt;0,E486&lt;0),"Contraction",
  AND(D486&gt;0,E486&lt;0),"Recovery",
  TRUE,"Undefined"
)</f>
        <v>Expansion</v>
      </c>
      <c r="Q486" t="str">
        <f t="shared" si="73"/>
        <v>Expansion</v>
      </c>
      <c r="R486">
        <f t="shared" si="67"/>
        <v>1</v>
      </c>
      <c r="S486">
        <f t="shared" si="68"/>
        <v>1</v>
      </c>
      <c r="T486">
        <f t="shared" si="69"/>
        <v>1</v>
      </c>
      <c r="U486">
        <f t="shared" si="70"/>
        <v>1</v>
      </c>
      <c r="V486" t="str" cm="1">
        <f t="array" ref="V486">_xlfn.IFS(
  AND(S486&gt;0,U486&gt;0),"Expansion",
  AND(S486&lt;0,U486&gt;0),"Slowdown",
  AND(S486&lt;0,U486&lt;0),"Contraction",
  AND(S486&gt;0,U486&lt;0),"Recovery",
  TRUE,"Undefined"
)</f>
        <v>Expansion</v>
      </c>
      <c r="W486">
        <f t="shared" si="71"/>
        <v>0</v>
      </c>
      <c r="X486">
        <f t="shared" si="72"/>
        <v>0</v>
      </c>
      <c r="Y486">
        <v>0</v>
      </c>
    </row>
    <row r="487" spans="1:25" x14ac:dyDescent="0.35">
      <c r="A487" s="1">
        <f>Data!A487</f>
        <v>31929</v>
      </c>
      <c r="B487" s="2">
        <f>IFERROR((Data!B487/Data!B486-1)*100,"")</f>
        <v>0.44247787610618428</v>
      </c>
      <c r="C487" s="2">
        <f>IFERROR((Data!C487/Data!C486-1)*100,"")</f>
        <v>0.51793962402963967</v>
      </c>
      <c r="D487">
        <f t="shared" si="65"/>
        <v>0.59443795022852497</v>
      </c>
      <c r="E487">
        <f t="shared" si="66"/>
        <v>0.38476803619181449</v>
      </c>
      <c r="P487" t="str" cm="1">
        <f t="array" ref="P487">_xlfn.IFS(
  AND(D487&gt;0,E487&gt;0),"Expansion",
  AND(D487&lt;0,E487&gt;0),"Slowdown",
  AND(D487&lt;0,E487&lt;0),"Contraction",
  AND(D487&gt;0,E487&lt;0),"Recovery",
  TRUE,"Undefined"
)</f>
        <v>Expansion</v>
      </c>
      <c r="Q487" t="str">
        <f t="shared" si="73"/>
        <v>Expansion</v>
      </c>
      <c r="R487">
        <f t="shared" si="67"/>
        <v>1</v>
      </c>
      <c r="S487">
        <f t="shared" si="68"/>
        <v>1</v>
      </c>
      <c r="T487">
        <f t="shared" si="69"/>
        <v>1</v>
      </c>
      <c r="U487">
        <f t="shared" si="70"/>
        <v>1</v>
      </c>
      <c r="V487" t="str" cm="1">
        <f t="array" ref="V487">_xlfn.IFS(
  AND(S487&gt;0,U487&gt;0),"Expansion",
  AND(S487&lt;0,U487&gt;0),"Slowdown",
  AND(S487&lt;0,U487&lt;0),"Contraction",
  AND(S487&gt;0,U487&lt;0),"Recovery",
  TRUE,"Undefined"
)</f>
        <v>Expansion</v>
      </c>
      <c r="W487">
        <f t="shared" si="71"/>
        <v>0</v>
      </c>
      <c r="X487">
        <f t="shared" si="72"/>
        <v>0</v>
      </c>
      <c r="Y487">
        <v>0</v>
      </c>
    </row>
    <row r="488" spans="1:25" x14ac:dyDescent="0.35">
      <c r="A488" s="1">
        <f>Data!A488</f>
        <v>31959</v>
      </c>
      <c r="B488" s="2">
        <f>IFERROR((Data!B488/Data!B487-1)*100,"")</f>
        <v>0.26431718061674658</v>
      </c>
      <c r="C488" s="2">
        <f>IFERROR((Data!C488/Data!C487-1)*100,"")</f>
        <v>0.68202179500678195</v>
      </c>
      <c r="D488">
        <f t="shared" si="65"/>
        <v>0.61074283942439411</v>
      </c>
      <c r="E488">
        <f t="shared" si="66"/>
        <v>0.32432949687274021</v>
      </c>
      <c r="P488" t="str" cm="1">
        <f t="array" ref="P488">_xlfn.IFS(
  AND(D488&gt;0,E488&gt;0),"Expansion",
  AND(D488&lt;0,E488&gt;0),"Slowdown",
  AND(D488&lt;0,E488&lt;0),"Contraction",
  AND(D488&gt;0,E488&lt;0),"Recovery",
  TRUE,"Undefined"
)</f>
        <v>Expansion</v>
      </c>
      <c r="Q488" t="str">
        <f t="shared" si="73"/>
        <v>Expansion</v>
      </c>
      <c r="R488">
        <f t="shared" si="67"/>
        <v>1</v>
      </c>
      <c r="S488">
        <f t="shared" si="68"/>
        <v>1</v>
      </c>
      <c r="T488">
        <f t="shared" si="69"/>
        <v>1</v>
      </c>
      <c r="U488">
        <f t="shared" si="70"/>
        <v>1</v>
      </c>
      <c r="V488" t="str" cm="1">
        <f t="array" ref="V488">_xlfn.IFS(
  AND(S488&gt;0,U488&gt;0),"Expansion",
  AND(S488&lt;0,U488&gt;0),"Slowdown",
  AND(S488&lt;0,U488&lt;0),"Contraction",
  AND(S488&gt;0,U488&lt;0),"Recovery",
  TRUE,"Undefined"
)</f>
        <v>Expansion</v>
      </c>
      <c r="W488">
        <f t="shared" si="71"/>
        <v>0</v>
      </c>
      <c r="X488">
        <f t="shared" si="72"/>
        <v>0</v>
      </c>
      <c r="Y488">
        <v>0</v>
      </c>
    </row>
    <row r="489" spans="1:25" x14ac:dyDescent="0.35">
      <c r="A489" s="1">
        <f>Data!A489</f>
        <v>31990</v>
      </c>
      <c r="B489" s="2">
        <f>IFERROR((Data!B489/Data!B488-1)*100,"")</f>
        <v>0.43936731107205862</v>
      </c>
      <c r="C489" s="2">
        <f>IFERROR((Data!C489/Data!C488-1)*100,"")</f>
        <v>0.75061122179207462</v>
      </c>
      <c r="D489">
        <f t="shared" si="65"/>
        <v>0.65019088027616545</v>
      </c>
      <c r="E489">
        <f t="shared" si="66"/>
        <v>0.38205412259832983</v>
      </c>
      <c r="P489" t="str" cm="1">
        <f t="array" ref="P489">_xlfn.IFS(
  AND(D489&gt;0,E489&gt;0),"Expansion",
  AND(D489&lt;0,E489&gt;0),"Slowdown",
  AND(D489&lt;0,E489&lt;0),"Contraction",
  AND(D489&gt;0,E489&lt;0),"Recovery",
  TRUE,"Undefined"
)</f>
        <v>Expansion</v>
      </c>
      <c r="Q489" t="str">
        <f t="shared" si="73"/>
        <v>Expansion</v>
      </c>
      <c r="R489">
        <f t="shared" si="67"/>
        <v>1</v>
      </c>
      <c r="S489">
        <f t="shared" si="68"/>
        <v>1</v>
      </c>
      <c r="T489">
        <f t="shared" si="69"/>
        <v>1</v>
      </c>
      <c r="U489">
        <f t="shared" si="70"/>
        <v>1</v>
      </c>
      <c r="V489" t="str" cm="1">
        <f t="array" ref="V489">_xlfn.IFS(
  AND(S489&gt;0,U489&gt;0),"Expansion",
  AND(S489&lt;0,U489&gt;0),"Slowdown",
  AND(S489&lt;0,U489&lt;0),"Contraction",
  AND(S489&gt;0,U489&lt;0),"Recovery",
  TRUE,"Undefined"
)</f>
        <v>Expansion</v>
      </c>
      <c r="W489">
        <f t="shared" si="71"/>
        <v>0</v>
      </c>
      <c r="X489">
        <f t="shared" si="72"/>
        <v>0</v>
      </c>
      <c r="Y489">
        <v>0</v>
      </c>
    </row>
    <row r="490" spans="1:25" x14ac:dyDescent="0.35">
      <c r="A490" s="1">
        <f>Data!A490</f>
        <v>32021</v>
      </c>
      <c r="B490" s="2">
        <f>IFERROR((Data!B490/Data!B489-1)*100,"")</f>
        <v>0.34995625546807574</v>
      </c>
      <c r="C490" s="2">
        <f>IFERROR((Data!C490/Data!C489-1)*100,"")</f>
        <v>0.39395135764317413</v>
      </c>
      <c r="D490">
        <f t="shared" si="65"/>
        <v>0.6088614581473436</v>
      </c>
      <c r="E490">
        <f t="shared" si="66"/>
        <v>0.351213582385627</v>
      </c>
      <c r="P490" t="str" cm="1">
        <f t="array" ref="P490">_xlfn.IFS(
  AND(D490&gt;0,E490&gt;0),"Expansion",
  AND(D490&lt;0,E490&gt;0),"Slowdown",
  AND(D490&lt;0,E490&lt;0),"Contraction",
  AND(D490&gt;0,E490&lt;0),"Recovery",
  TRUE,"Undefined"
)</f>
        <v>Expansion</v>
      </c>
      <c r="Q490" t="str">
        <f t="shared" si="73"/>
        <v>Expansion</v>
      </c>
      <c r="R490">
        <f t="shared" si="67"/>
        <v>1</v>
      </c>
      <c r="S490">
        <f t="shared" si="68"/>
        <v>1</v>
      </c>
      <c r="T490">
        <f t="shared" si="69"/>
        <v>1</v>
      </c>
      <c r="U490">
        <f t="shared" si="70"/>
        <v>1</v>
      </c>
      <c r="V490" t="str" cm="1">
        <f t="array" ref="V490">_xlfn.IFS(
  AND(S490&gt;0,U490&gt;0),"Expansion",
  AND(S490&lt;0,U490&gt;0),"Slowdown",
  AND(S490&lt;0,U490&lt;0),"Contraction",
  AND(S490&gt;0,U490&lt;0),"Recovery",
  TRUE,"Undefined"
)</f>
        <v>Expansion</v>
      </c>
      <c r="W490">
        <f t="shared" si="71"/>
        <v>0</v>
      </c>
      <c r="X490">
        <f t="shared" si="72"/>
        <v>0</v>
      </c>
      <c r="Y490">
        <v>0</v>
      </c>
    </row>
    <row r="491" spans="1:25" x14ac:dyDescent="0.35">
      <c r="A491" s="1">
        <f>Data!A491</f>
        <v>32051</v>
      </c>
      <c r="B491" s="2">
        <f>IFERROR((Data!B491/Data!B490-1)*100,"")</f>
        <v>0.26155187445509043</v>
      </c>
      <c r="C491" s="2">
        <f>IFERROR((Data!C491/Data!C490-1)*100,"")</f>
        <v>1.3321445340375604</v>
      </c>
      <c r="D491">
        <f t="shared" si="65"/>
        <v>0.82556903782426971</v>
      </c>
      <c r="E491">
        <f t="shared" si="66"/>
        <v>0.35029181366507495</v>
      </c>
      <c r="P491" t="str" cm="1">
        <f t="array" ref="P491">_xlfn.IFS(
  AND(D491&gt;0,E491&gt;0),"Expansion",
  AND(D491&lt;0,E491&gt;0),"Slowdown",
  AND(D491&lt;0,E491&lt;0),"Contraction",
  AND(D491&gt;0,E491&lt;0),"Recovery",
  TRUE,"Undefined"
)</f>
        <v>Expansion</v>
      </c>
      <c r="Q491" t="str">
        <f t="shared" si="73"/>
        <v>Expansion</v>
      </c>
      <c r="R491">
        <f t="shared" si="67"/>
        <v>1</v>
      </c>
      <c r="S491">
        <f t="shared" si="68"/>
        <v>1</v>
      </c>
      <c r="T491">
        <f t="shared" si="69"/>
        <v>1</v>
      </c>
      <c r="U491">
        <f t="shared" si="70"/>
        <v>1</v>
      </c>
      <c r="V491" t="str" cm="1">
        <f t="array" ref="V491">_xlfn.IFS(
  AND(S491&gt;0,U491&gt;0),"Expansion",
  AND(S491&lt;0,U491&gt;0),"Slowdown",
  AND(S491&lt;0,U491&lt;0),"Contraction",
  AND(S491&gt;0,U491&lt;0),"Recovery",
  TRUE,"Undefined"
)</f>
        <v>Expansion</v>
      </c>
      <c r="W491">
        <f t="shared" si="71"/>
        <v>0</v>
      </c>
      <c r="X491">
        <f t="shared" si="72"/>
        <v>0</v>
      </c>
      <c r="Y491">
        <v>0</v>
      </c>
    </row>
    <row r="492" spans="1:25" x14ac:dyDescent="0.35">
      <c r="A492" s="1">
        <f>Data!A492</f>
        <v>32082</v>
      </c>
      <c r="B492" s="2">
        <f>IFERROR((Data!B492/Data!B491-1)*100,"")</f>
        <v>0.34782608695653749</v>
      </c>
      <c r="C492" s="2">
        <f>IFERROR((Data!C492/Data!C491-1)*100,"")</f>
        <v>0.48778039845436272</v>
      </c>
      <c r="D492">
        <f t="shared" si="65"/>
        <v>0.73795876337836575</v>
      </c>
      <c r="E492">
        <f t="shared" si="66"/>
        <v>0.31977807229323457</v>
      </c>
      <c r="P492" t="str" cm="1">
        <f t="array" ref="P492">_xlfn.IFS(
  AND(D492&gt;0,E492&gt;0),"Expansion",
  AND(D492&lt;0,E492&gt;0),"Slowdown",
  AND(D492&lt;0,E492&lt;0),"Contraction",
  AND(D492&gt;0,E492&lt;0),"Recovery",
  TRUE,"Undefined"
)</f>
        <v>Expansion</v>
      </c>
      <c r="Q492" t="str">
        <f t="shared" si="73"/>
        <v>Expansion</v>
      </c>
      <c r="R492">
        <f t="shared" si="67"/>
        <v>1</v>
      </c>
      <c r="S492">
        <f t="shared" si="68"/>
        <v>1</v>
      </c>
      <c r="T492">
        <f t="shared" si="69"/>
        <v>1</v>
      </c>
      <c r="U492">
        <f t="shared" si="70"/>
        <v>1</v>
      </c>
      <c r="V492" t="str" cm="1">
        <f t="array" ref="V492">_xlfn.IFS(
  AND(S492&gt;0,U492&gt;0),"Expansion",
  AND(S492&lt;0,U492&gt;0),"Slowdown",
  AND(S492&lt;0,U492&lt;0),"Contraction",
  AND(S492&gt;0,U492&lt;0),"Recovery",
  TRUE,"Undefined"
)</f>
        <v>Expansion</v>
      </c>
      <c r="W492">
        <f t="shared" si="71"/>
        <v>0</v>
      </c>
      <c r="X492">
        <f t="shared" si="72"/>
        <v>0</v>
      </c>
      <c r="Y492">
        <v>0</v>
      </c>
    </row>
    <row r="493" spans="1:25" x14ac:dyDescent="0.35">
      <c r="A493" s="1">
        <f>Data!A493</f>
        <v>32112</v>
      </c>
      <c r="B493" s="2">
        <f>IFERROR((Data!B493/Data!B492-1)*100,"")</f>
        <v>0.17331022530329143</v>
      </c>
      <c r="C493" s="2">
        <f>IFERROR((Data!C493/Data!C492-1)*100,"")</f>
        <v>0.56082140609861053</v>
      </c>
      <c r="D493">
        <f t="shared" si="65"/>
        <v>0.79358211286351121</v>
      </c>
      <c r="E493">
        <f t="shared" si="66"/>
        <v>0.26089606223830647</v>
      </c>
      <c r="P493" t="str" cm="1">
        <f t="array" ref="P493">_xlfn.IFS(
  AND(D493&gt;0,E493&gt;0),"Expansion",
  AND(D493&lt;0,E493&gt;0),"Slowdown",
  AND(D493&lt;0,E493&lt;0),"Contraction",
  AND(D493&gt;0,E493&lt;0),"Recovery",
  TRUE,"Undefined"
)</f>
        <v>Expansion</v>
      </c>
      <c r="Q493" t="str">
        <f t="shared" si="73"/>
        <v>Expansion</v>
      </c>
      <c r="R493">
        <f t="shared" si="67"/>
        <v>1</v>
      </c>
      <c r="S493">
        <f t="shared" si="68"/>
        <v>1</v>
      </c>
      <c r="T493">
        <f t="shared" si="69"/>
        <v>1</v>
      </c>
      <c r="U493">
        <f t="shared" si="70"/>
        <v>1</v>
      </c>
      <c r="V493" t="str" cm="1">
        <f t="array" ref="V493">_xlfn.IFS(
  AND(S493&gt;0,U493&gt;0),"Expansion",
  AND(S493&lt;0,U493&gt;0),"Slowdown",
  AND(S493&lt;0,U493&lt;0),"Contraction",
  AND(S493&gt;0,U493&lt;0),"Recovery",
  TRUE,"Undefined"
)</f>
        <v>Expansion</v>
      </c>
      <c r="W493">
        <f t="shared" si="71"/>
        <v>0</v>
      </c>
      <c r="X493">
        <f t="shared" si="72"/>
        <v>0</v>
      </c>
      <c r="Y493">
        <v>0</v>
      </c>
    </row>
    <row r="494" spans="1:25" x14ac:dyDescent="0.35">
      <c r="A494" s="1">
        <f>Data!A494</f>
        <v>32143</v>
      </c>
      <c r="B494" s="2">
        <f>IFERROR((Data!B494/Data!B493-1)*100,"")</f>
        <v>0.34602076124568004</v>
      </c>
      <c r="C494" s="2">
        <f>IFERROR((Data!C494/Data!C493-1)*100,"")</f>
        <v>-1.9698888419872329E-2</v>
      </c>
      <c r="D494">
        <f t="shared" si="65"/>
        <v>0.34296763871103364</v>
      </c>
      <c r="E494">
        <f t="shared" si="66"/>
        <v>0.28905235783516964</v>
      </c>
      <c r="P494" t="str" cm="1">
        <f t="array" ref="P494">_xlfn.IFS(
  AND(D494&gt;0,E494&gt;0),"Expansion",
  AND(D494&lt;0,E494&gt;0),"Slowdown",
  AND(D494&lt;0,E494&lt;0),"Contraction",
  AND(D494&gt;0,E494&lt;0),"Recovery",
  TRUE,"Undefined"
)</f>
        <v>Expansion</v>
      </c>
      <c r="Q494" t="str">
        <f t="shared" si="73"/>
        <v>Expansion</v>
      </c>
      <c r="R494">
        <f t="shared" si="67"/>
        <v>1</v>
      </c>
      <c r="S494">
        <f t="shared" si="68"/>
        <v>1</v>
      </c>
      <c r="T494">
        <f t="shared" si="69"/>
        <v>1</v>
      </c>
      <c r="U494">
        <f t="shared" si="70"/>
        <v>1</v>
      </c>
      <c r="V494" t="str" cm="1">
        <f t="array" ref="V494">_xlfn.IFS(
  AND(S494&gt;0,U494&gt;0),"Expansion",
  AND(S494&lt;0,U494&gt;0),"Slowdown",
  AND(S494&lt;0,U494&lt;0),"Contraction",
  AND(S494&gt;0,U494&lt;0),"Recovery",
  TRUE,"Undefined"
)</f>
        <v>Expansion</v>
      </c>
      <c r="W494">
        <f t="shared" si="71"/>
        <v>0</v>
      </c>
      <c r="X494">
        <f t="shared" si="72"/>
        <v>0</v>
      </c>
      <c r="Y494">
        <v>0</v>
      </c>
    </row>
    <row r="495" spans="1:25" x14ac:dyDescent="0.35">
      <c r="A495" s="1">
        <f>Data!A495</f>
        <v>32174</v>
      </c>
      <c r="B495" s="2">
        <f>IFERROR((Data!B495/Data!B494-1)*100,"")</f>
        <v>0.17241379310344307</v>
      </c>
      <c r="C495" s="2">
        <f>IFERROR((Data!C495/Data!C494-1)*100,"")</f>
        <v>0.50117885478893065</v>
      </c>
      <c r="D495">
        <f t="shared" si="65"/>
        <v>0.34743379082255627</v>
      </c>
      <c r="E495">
        <f t="shared" si="66"/>
        <v>0.23058159321747151</v>
      </c>
      <c r="P495" t="str" cm="1">
        <f t="array" ref="P495">_xlfn.IFS(
  AND(D495&gt;0,E495&gt;0),"Expansion",
  AND(D495&lt;0,E495&gt;0),"Slowdown",
  AND(D495&lt;0,E495&lt;0),"Contraction",
  AND(D495&gt;0,E495&lt;0),"Recovery",
  TRUE,"Undefined"
)</f>
        <v>Expansion</v>
      </c>
      <c r="Q495" t="str">
        <f t="shared" si="73"/>
        <v>Expansion</v>
      </c>
      <c r="R495">
        <f t="shared" si="67"/>
        <v>1</v>
      </c>
      <c r="S495">
        <f t="shared" si="68"/>
        <v>1</v>
      </c>
      <c r="T495">
        <f t="shared" si="69"/>
        <v>1</v>
      </c>
      <c r="U495">
        <f t="shared" si="70"/>
        <v>1</v>
      </c>
      <c r="V495" t="str" cm="1">
        <f t="array" ref="V495">_xlfn.IFS(
  AND(S495&gt;0,U495&gt;0),"Expansion",
  AND(S495&lt;0,U495&gt;0),"Slowdown",
  AND(S495&lt;0,U495&lt;0),"Contraction",
  AND(S495&gt;0,U495&lt;0),"Recovery",
  TRUE,"Undefined"
)</f>
        <v>Expansion</v>
      </c>
      <c r="W495">
        <f t="shared" si="71"/>
        <v>0</v>
      </c>
      <c r="X495">
        <f t="shared" si="72"/>
        <v>0</v>
      </c>
      <c r="Y495">
        <v>0</v>
      </c>
    </row>
    <row r="496" spans="1:25" x14ac:dyDescent="0.35">
      <c r="A496" s="1">
        <f>Data!A496</f>
        <v>32203</v>
      </c>
      <c r="B496" s="2">
        <f>IFERROR((Data!B496/Data!B495-1)*100,"")</f>
        <v>0.25817555938036918</v>
      </c>
      <c r="C496" s="2">
        <f>IFERROR((Data!C496/Data!C495-1)*100,"")</f>
        <v>0.24678625970546708</v>
      </c>
      <c r="D496">
        <f t="shared" si="65"/>
        <v>0.24275540869150847</v>
      </c>
      <c r="E496">
        <f t="shared" si="66"/>
        <v>0.25887003790983076</v>
      </c>
      <c r="P496" t="str" cm="1">
        <f t="array" ref="P496">_xlfn.IFS(
  AND(D496&gt;0,E496&gt;0),"Expansion",
  AND(D496&lt;0,E496&gt;0),"Slowdown",
  AND(D496&lt;0,E496&lt;0),"Contraction",
  AND(D496&gt;0,E496&lt;0),"Recovery",
  TRUE,"Undefined"
)</f>
        <v>Expansion</v>
      </c>
      <c r="Q496" t="str">
        <f t="shared" si="73"/>
        <v>Expansion</v>
      </c>
      <c r="R496">
        <f t="shared" si="67"/>
        <v>1</v>
      </c>
      <c r="S496">
        <f t="shared" si="68"/>
        <v>1</v>
      </c>
      <c r="T496">
        <f t="shared" si="69"/>
        <v>1</v>
      </c>
      <c r="U496">
        <f t="shared" si="70"/>
        <v>1</v>
      </c>
      <c r="V496" t="str" cm="1">
        <f t="array" ref="V496">_xlfn.IFS(
  AND(S496&gt;0,U496&gt;0),"Expansion",
  AND(S496&lt;0,U496&gt;0),"Slowdown",
  AND(S496&lt;0,U496&lt;0),"Contraction",
  AND(S496&gt;0,U496&lt;0),"Recovery",
  TRUE,"Undefined"
)</f>
        <v>Expansion</v>
      </c>
      <c r="W496">
        <f t="shared" si="71"/>
        <v>0</v>
      </c>
      <c r="X496">
        <f t="shared" si="72"/>
        <v>0</v>
      </c>
      <c r="Y496">
        <v>0</v>
      </c>
    </row>
    <row r="497" spans="1:25" x14ac:dyDescent="0.35">
      <c r="A497" s="1">
        <f>Data!A497</f>
        <v>32234</v>
      </c>
      <c r="B497" s="2">
        <f>IFERROR((Data!B497/Data!B496-1)*100,"")</f>
        <v>0.60085836909871126</v>
      </c>
      <c r="C497" s="2">
        <f>IFERROR((Data!C497/Data!C496-1)*100,"")</f>
        <v>0.58011408362517169</v>
      </c>
      <c r="D497">
        <f t="shared" si="65"/>
        <v>0.44269306603985648</v>
      </c>
      <c r="E497">
        <f t="shared" si="66"/>
        <v>0.34381590719417449</v>
      </c>
      <c r="P497" t="str" cm="1">
        <f t="array" ref="P497">_xlfn.IFS(
  AND(D497&gt;0,E497&gt;0),"Expansion",
  AND(D497&lt;0,E497&gt;0),"Slowdown",
  AND(D497&lt;0,E497&lt;0),"Contraction",
  AND(D497&gt;0,E497&lt;0),"Recovery",
  TRUE,"Undefined"
)</f>
        <v>Expansion</v>
      </c>
      <c r="Q497" t="str">
        <f t="shared" si="73"/>
        <v>Expansion</v>
      </c>
      <c r="R497">
        <f t="shared" si="67"/>
        <v>1</v>
      </c>
      <c r="S497">
        <f t="shared" si="68"/>
        <v>1</v>
      </c>
      <c r="T497">
        <f t="shared" si="69"/>
        <v>1</v>
      </c>
      <c r="U497">
        <f t="shared" si="70"/>
        <v>1</v>
      </c>
      <c r="V497" t="str" cm="1">
        <f t="array" ref="V497">_xlfn.IFS(
  AND(S497&gt;0,U497&gt;0),"Expansion",
  AND(S497&lt;0,U497&gt;0),"Slowdown",
  AND(S497&lt;0,U497&lt;0),"Contraction",
  AND(S497&gt;0,U497&lt;0),"Recovery",
  TRUE,"Undefined"
)</f>
        <v>Expansion</v>
      </c>
      <c r="W497">
        <f t="shared" si="71"/>
        <v>0</v>
      </c>
      <c r="X497">
        <f t="shared" si="72"/>
        <v>0</v>
      </c>
      <c r="Y497">
        <v>0</v>
      </c>
    </row>
    <row r="498" spans="1:25" x14ac:dyDescent="0.35">
      <c r="A498" s="1">
        <f>Data!A498</f>
        <v>32264</v>
      </c>
      <c r="B498" s="2">
        <f>IFERROR((Data!B498/Data!B497-1)*100,"")</f>
        <v>0.25597269624573205</v>
      </c>
      <c r="C498" s="2">
        <f>IFERROR((Data!C498/Data!C497-1)*100,"")</f>
        <v>-0.20162377395915865</v>
      </c>
      <c r="D498">
        <f t="shared" si="65"/>
        <v>0.2084255231238267</v>
      </c>
      <c r="E498">
        <f t="shared" si="66"/>
        <v>0.37166887490827083</v>
      </c>
      <c r="P498" t="str" cm="1">
        <f t="array" ref="P498">_xlfn.IFS(
  AND(D498&gt;0,E498&gt;0),"Expansion",
  AND(D498&lt;0,E498&gt;0),"Slowdown",
  AND(D498&lt;0,E498&lt;0),"Contraction",
  AND(D498&gt;0,E498&lt;0),"Recovery",
  TRUE,"Undefined"
)</f>
        <v>Expansion</v>
      </c>
      <c r="Q498" t="str">
        <f t="shared" si="73"/>
        <v>Expansion</v>
      </c>
      <c r="R498">
        <f t="shared" si="67"/>
        <v>1</v>
      </c>
      <c r="S498">
        <f t="shared" si="68"/>
        <v>1</v>
      </c>
      <c r="T498">
        <f t="shared" si="69"/>
        <v>1</v>
      </c>
      <c r="U498">
        <f t="shared" si="70"/>
        <v>1</v>
      </c>
      <c r="V498" t="str" cm="1">
        <f t="array" ref="V498">_xlfn.IFS(
  AND(S498&gt;0,U498&gt;0),"Expansion",
  AND(S498&lt;0,U498&gt;0),"Slowdown",
  AND(S498&lt;0,U498&lt;0),"Contraction",
  AND(S498&gt;0,U498&lt;0),"Recovery",
  TRUE,"Undefined"
)</f>
        <v>Expansion</v>
      </c>
      <c r="W498">
        <f t="shared" si="71"/>
        <v>0</v>
      </c>
      <c r="X498">
        <f t="shared" si="72"/>
        <v>0</v>
      </c>
      <c r="Y498">
        <v>0</v>
      </c>
    </row>
    <row r="499" spans="1:25" x14ac:dyDescent="0.35">
      <c r="A499" s="1">
        <f>Data!A499</f>
        <v>32295</v>
      </c>
      <c r="B499" s="2">
        <f>IFERROR((Data!B499/Data!B498-1)*100,"")</f>
        <v>0.42553191489360653</v>
      </c>
      <c r="C499" s="2">
        <f>IFERROR((Data!C499/Data!C498-1)*100,"")</f>
        <v>0.29011275431936046</v>
      </c>
      <c r="D499">
        <f t="shared" si="65"/>
        <v>0.22286768799512449</v>
      </c>
      <c r="E499">
        <f t="shared" si="66"/>
        <v>0.42745432674601663</v>
      </c>
      <c r="P499" t="str" cm="1">
        <f t="array" ref="P499">_xlfn.IFS(
  AND(D499&gt;0,E499&gt;0),"Expansion",
  AND(D499&lt;0,E499&gt;0),"Slowdown",
  AND(D499&lt;0,E499&lt;0),"Contraction",
  AND(D499&gt;0,E499&lt;0),"Recovery",
  TRUE,"Undefined"
)</f>
        <v>Expansion</v>
      </c>
      <c r="Q499" t="str">
        <f t="shared" si="73"/>
        <v>Expansion</v>
      </c>
      <c r="R499">
        <f t="shared" si="67"/>
        <v>1</v>
      </c>
      <c r="S499">
        <f t="shared" si="68"/>
        <v>1</v>
      </c>
      <c r="T499">
        <f t="shared" si="69"/>
        <v>1</v>
      </c>
      <c r="U499">
        <f t="shared" si="70"/>
        <v>1</v>
      </c>
      <c r="V499" t="str" cm="1">
        <f t="array" ref="V499">_xlfn.IFS(
  AND(S499&gt;0,U499&gt;0),"Expansion",
  AND(S499&lt;0,U499&gt;0),"Slowdown",
  AND(S499&lt;0,U499&lt;0),"Contraction",
  AND(S499&gt;0,U499&lt;0),"Recovery",
  TRUE,"Undefined"
)</f>
        <v>Expansion</v>
      </c>
      <c r="W499">
        <f t="shared" si="71"/>
        <v>0</v>
      </c>
      <c r="X499">
        <f t="shared" si="72"/>
        <v>0</v>
      </c>
      <c r="Y499">
        <v>0</v>
      </c>
    </row>
    <row r="500" spans="1:25" x14ac:dyDescent="0.35">
      <c r="A500" s="1">
        <f>Data!A500</f>
        <v>32325</v>
      </c>
      <c r="B500" s="2">
        <f>IFERROR((Data!B500/Data!B499-1)*100,"")</f>
        <v>0.4237288135593209</v>
      </c>
      <c r="C500" s="2">
        <f>IFERROR((Data!C500/Data!C499-1)*100,"")</f>
        <v>1.4692222427181711E-2</v>
      </c>
      <c r="D500">
        <f t="shared" si="65"/>
        <v>3.4393734262461173E-2</v>
      </c>
      <c r="E500">
        <f t="shared" si="66"/>
        <v>0.36841114156621985</v>
      </c>
      <c r="P500" t="str" cm="1">
        <f t="array" ref="P500">_xlfn.IFS(
  AND(D500&gt;0,E500&gt;0),"Expansion",
  AND(D500&lt;0,E500&gt;0),"Slowdown",
  AND(D500&lt;0,E500&lt;0),"Contraction",
  AND(D500&gt;0,E500&lt;0),"Recovery",
  TRUE,"Undefined"
)</f>
        <v>Expansion</v>
      </c>
      <c r="Q500" t="str">
        <f t="shared" si="73"/>
        <v>Expansion</v>
      </c>
      <c r="R500">
        <f t="shared" si="67"/>
        <v>1</v>
      </c>
      <c r="S500">
        <f t="shared" si="68"/>
        <v>1</v>
      </c>
      <c r="T500">
        <f t="shared" si="69"/>
        <v>1</v>
      </c>
      <c r="U500">
        <f t="shared" si="70"/>
        <v>1</v>
      </c>
      <c r="V500" t="str" cm="1">
        <f t="array" ref="V500">_xlfn.IFS(
  AND(S500&gt;0,U500&gt;0),"Expansion",
  AND(S500&lt;0,U500&gt;0),"Slowdown",
  AND(S500&lt;0,U500&lt;0),"Contraction",
  AND(S500&gt;0,U500&lt;0),"Recovery",
  TRUE,"Undefined"
)</f>
        <v>Expansion</v>
      </c>
      <c r="W500">
        <f t="shared" si="71"/>
        <v>0</v>
      </c>
      <c r="X500">
        <f t="shared" si="72"/>
        <v>0</v>
      </c>
      <c r="Y500">
        <v>0</v>
      </c>
    </row>
    <row r="501" spans="1:25" x14ac:dyDescent="0.35">
      <c r="A501" s="1">
        <f>Data!A501</f>
        <v>32356</v>
      </c>
      <c r="B501" s="2">
        <f>IFERROR((Data!B501/Data!B500-1)*100,"")</f>
        <v>0.42194092827003704</v>
      </c>
      <c r="C501" s="2">
        <f>IFERROR((Data!C501/Data!C500-1)*100,"")</f>
        <v>0.50142085564726102</v>
      </c>
      <c r="D501">
        <f t="shared" si="65"/>
        <v>0.26874194413126773</v>
      </c>
      <c r="E501">
        <f t="shared" si="66"/>
        <v>0.42373388557432151</v>
      </c>
      <c r="P501" t="str" cm="1">
        <f t="array" ref="P501">_xlfn.IFS(
  AND(D501&gt;0,E501&gt;0),"Expansion",
  AND(D501&lt;0,E501&gt;0),"Slowdown",
  AND(D501&lt;0,E501&lt;0),"Contraction",
  AND(D501&gt;0,E501&lt;0),"Recovery",
  TRUE,"Undefined"
)</f>
        <v>Expansion</v>
      </c>
      <c r="Q501" t="str">
        <f t="shared" si="73"/>
        <v>Expansion</v>
      </c>
      <c r="R501">
        <f t="shared" si="67"/>
        <v>1</v>
      </c>
      <c r="S501">
        <f t="shared" si="68"/>
        <v>1</v>
      </c>
      <c r="T501">
        <f t="shared" si="69"/>
        <v>1</v>
      </c>
      <c r="U501">
        <f t="shared" si="70"/>
        <v>1</v>
      </c>
      <c r="V501" t="str" cm="1">
        <f t="array" ref="V501">_xlfn.IFS(
  AND(S501&gt;0,U501&gt;0),"Expansion",
  AND(S501&lt;0,U501&gt;0),"Slowdown",
  AND(S501&lt;0,U501&lt;0),"Contraction",
  AND(S501&gt;0,U501&lt;0),"Recovery",
  TRUE,"Undefined"
)</f>
        <v>Expansion</v>
      </c>
      <c r="W501">
        <f t="shared" si="71"/>
        <v>0</v>
      </c>
      <c r="X501">
        <f t="shared" si="72"/>
        <v>0</v>
      </c>
      <c r="Y501">
        <v>0</v>
      </c>
    </row>
    <row r="502" spans="1:25" x14ac:dyDescent="0.35">
      <c r="A502" s="1">
        <f>Data!A502</f>
        <v>32387</v>
      </c>
      <c r="B502" s="2">
        <f>IFERROR((Data!B502/Data!B501-1)*100,"")</f>
        <v>0.42016806722688926</v>
      </c>
      <c r="C502" s="2">
        <f>IFERROR((Data!C502/Data!C501-1)*100,"")</f>
        <v>-0.31247411613187781</v>
      </c>
      <c r="D502">
        <f t="shared" si="65"/>
        <v>6.7879653980854979E-2</v>
      </c>
      <c r="E502">
        <f t="shared" si="66"/>
        <v>0.42194593635208238</v>
      </c>
      <c r="P502" t="str" cm="1">
        <f t="array" ref="P502">_xlfn.IFS(
  AND(D502&gt;0,E502&gt;0),"Expansion",
  AND(D502&lt;0,E502&gt;0),"Slowdown",
  AND(D502&lt;0,E502&lt;0),"Contraction",
  AND(D502&gt;0,E502&lt;0),"Recovery",
  TRUE,"Undefined"
)</f>
        <v>Expansion</v>
      </c>
      <c r="Q502" t="str">
        <f t="shared" si="73"/>
        <v>Expansion</v>
      </c>
      <c r="R502">
        <f t="shared" si="67"/>
        <v>1</v>
      </c>
      <c r="S502">
        <f t="shared" si="68"/>
        <v>1</v>
      </c>
      <c r="T502">
        <f t="shared" si="69"/>
        <v>1</v>
      </c>
      <c r="U502">
        <f t="shared" si="70"/>
        <v>1</v>
      </c>
      <c r="V502" t="str" cm="1">
        <f t="array" ref="V502">_xlfn.IFS(
  AND(S502&gt;0,U502&gt;0),"Expansion",
  AND(S502&lt;0,U502&gt;0),"Slowdown",
  AND(S502&lt;0,U502&lt;0),"Contraction",
  AND(S502&gt;0,U502&lt;0),"Recovery",
  TRUE,"Undefined"
)</f>
        <v>Expansion</v>
      </c>
      <c r="W502">
        <f t="shared" si="71"/>
        <v>0</v>
      </c>
      <c r="X502">
        <f t="shared" si="72"/>
        <v>0</v>
      </c>
      <c r="Y502">
        <v>0</v>
      </c>
    </row>
    <row r="503" spans="1:25" x14ac:dyDescent="0.35">
      <c r="A503" s="1">
        <f>Data!A503</f>
        <v>32417</v>
      </c>
      <c r="B503" s="2">
        <f>IFERROR((Data!B503/Data!B502-1)*100,"")</f>
        <v>0.33472803347280866</v>
      </c>
      <c r="C503" s="2">
        <f>IFERROR((Data!C503/Data!C502-1)*100,"")</f>
        <v>0.43108012779260463</v>
      </c>
      <c r="D503">
        <f t="shared" si="65"/>
        <v>0.20667562243599594</v>
      </c>
      <c r="E503">
        <f t="shared" si="66"/>
        <v>0.3922790096565783</v>
      </c>
      <c r="P503" t="str" cm="1">
        <f t="array" ref="P503">_xlfn.IFS(
  AND(D503&gt;0,E503&gt;0),"Expansion",
  AND(D503&lt;0,E503&gt;0),"Slowdown",
  AND(D503&lt;0,E503&lt;0),"Contraction",
  AND(D503&gt;0,E503&lt;0),"Recovery",
  TRUE,"Undefined"
)</f>
        <v>Expansion</v>
      </c>
      <c r="Q503" t="str">
        <f t="shared" si="73"/>
        <v>Expansion</v>
      </c>
      <c r="R503">
        <f t="shared" si="67"/>
        <v>1</v>
      </c>
      <c r="S503">
        <f t="shared" si="68"/>
        <v>1</v>
      </c>
      <c r="T503">
        <f t="shared" si="69"/>
        <v>1</v>
      </c>
      <c r="U503">
        <f t="shared" si="70"/>
        <v>1</v>
      </c>
      <c r="V503" t="str" cm="1">
        <f t="array" ref="V503">_xlfn.IFS(
  AND(S503&gt;0,U503&gt;0),"Expansion",
  AND(S503&lt;0,U503&gt;0),"Slowdown",
  AND(S503&lt;0,U503&lt;0),"Contraction",
  AND(S503&gt;0,U503&lt;0),"Recovery",
  TRUE,"Undefined"
)</f>
        <v>Expansion</v>
      </c>
      <c r="W503">
        <f t="shared" si="71"/>
        <v>0</v>
      </c>
      <c r="X503">
        <f t="shared" si="72"/>
        <v>0</v>
      </c>
      <c r="Y503">
        <v>0</v>
      </c>
    </row>
    <row r="504" spans="1:25" x14ac:dyDescent="0.35">
      <c r="A504" s="1">
        <f>Data!A504</f>
        <v>32448</v>
      </c>
      <c r="B504" s="2">
        <f>IFERROR((Data!B504/Data!B503-1)*100,"")</f>
        <v>0.33361134278564464</v>
      </c>
      <c r="C504" s="2">
        <f>IFERROR((Data!C504/Data!C503-1)*100,"")</f>
        <v>0.24186758763442562</v>
      </c>
      <c r="D504">
        <f t="shared" si="65"/>
        <v>0.12015786643171748</v>
      </c>
      <c r="E504">
        <f t="shared" si="66"/>
        <v>0.36283581449511421</v>
      </c>
      <c r="P504" t="str" cm="1">
        <f t="array" ref="P504">_xlfn.IFS(
  AND(D504&gt;0,E504&gt;0),"Expansion",
  AND(D504&lt;0,E504&gt;0),"Slowdown",
  AND(D504&lt;0,E504&lt;0),"Contraction",
  AND(D504&gt;0,E504&lt;0),"Recovery",
  TRUE,"Undefined"
)</f>
        <v>Expansion</v>
      </c>
      <c r="Q504" t="str">
        <f t="shared" si="73"/>
        <v>Expansion</v>
      </c>
      <c r="R504">
        <f t="shared" si="67"/>
        <v>1</v>
      </c>
      <c r="S504">
        <f t="shared" si="68"/>
        <v>1</v>
      </c>
      <c r="T504">
        <f t="shared" si="69"/>
        <v>1</v>
      </c>
      <c r="U504">
        <f t="shared" si="70"/>
        <v>1</v>
      </c>
      <c r="V504" t="str" cm="1">
        <f t="array" ref="V504">_xlfn.IFS(
  AND(S504&gt;0,U504&gt;0),"Expansion",
  AND(S504&lt;0,U504&gt;0),"Slowdown",
  AND(S504&lt;0,U504&lt;0),"Contraction",
  AND(S504&gt;0,U504&lt;0),"Recovery",
  TRUE,"Undefined"
)</f>
        <v>Expansion</v>
      </c>
      <c r="W504">
        <f t="shared" si="71"/>
        <v>0</v>
      </c>
      <c r="X504">
        <f t="shared" si="72"/>
        <v>0</v>
      </c>
      <c r="Y504">
        <v>0</v>
      </c>
    </row>
    <row r="505" spans="1:25" x14ac:dyDescent="0.35">
      <c r="A505" s="1">
        <f>Data!A505</f>
        <v>32478</v>
      </c>
      <c r="B505" s="2">
        <f>IFERROR((Data!B505/Data!B504-1)*100,"")</f>
        <v>0.33250207813799726</v>
      </c>
      <c r="C505" s="2">
        <f>IFERROR((Data!C505/Data!C504-1)*100,"")</f>
        <v>0.45295366570432538</v>
      </c>
      <c r="D505">
        <f t="shared" si="65"/>
        <v>0.37530046037711856</v>
      </c>
      <c r="E505">
        <f t="shared" si="66"/>
        <v>0.33361381813215019</v>
      </c>
      <c r="P505" t="str" cm="1">
        <f t="array" ref="P505">_xlfn.IFS(
  AND(D505&gt;0,E505&gt;0),"Expansion",
  AND(D505&lt;0,E505&gt;0),"Slowdown",
  AND(D505&lt;0,E505&lt;0),"Contraction",
  AND(D505&gt;0,E505&lt;0),"Recovery",
  TRUE,"Undefined"
)</f>
        <v>Expansion</v>
      </c>
      <c r="Q505" t="str">
        <f t="shared" si="73"/>
        <v>Expansion</v>
      </c>
      <c r="R505">
        <f t="shared" si="67"/>
        <v>1</v>
      </c>
      <c r="S505">
        <f t="shared" si="68"/>
        <v>1</v>
      </c>
      <c r="T505">
        <f t="shared" si="69"/>
        <v>1</v>
      </c>
      <c r="U505">
        <f t="shared" si="70"/>
        <v>1</v>
      </c>
      <c r="V505" t="str" cm="1">
        <f t="array" ref="V505">_xlfn.IFS(
  AND(S505&gt;0,U505&gt;0),"Expansion",
  AND(S505&lt;0,U505&gt;0),"Slowdown",
  AND(S505&lt;0,U505&lt;0),"Contraction",
  AND(S505&gt;0,U505&lt;0),"Recovery",
  TRUE,"Undefined"
)</f>
        <v>Expansion</v>
      </c>
      <c r="W505">
        <f t="shared" si="71"/>
        <v>0</v>
      </c>
      <c r="X505">
        <f t="shared" si="72"/>
        <v>0</v>
      </c>
      <c r="Y505">
        <v>0</v>
      </c>
    </row>
    <row r="506" spans="1:25" x14ac:dyDescent="0.35">
      <c r="A506" s="1">
        <f>Data!A506</f>
        <v>32509</v>
      </c>
      <c r="B506" s="2">
        <f>IFERROR((Data!B506/Data!B505-1)*100,"")</f>
        <v>0.41425020712511085</v>
      </c>
      <c r="C506" s="2">
        <f>IFERROR((Data!C506/Data!C505-1)*100,"")</f>
        <v>0.29496909348956102</v>
      </c>
      <c r="D506">
        <f t="shared" si="65"/>
        <v>0.32993011560943736</v>
      </c>
      <c r="E506">
        <f t="shared" si="66"/>
        <v>0.36012120934958425</v>
      </c>
      <c r="P506" t="str" cm="1">
        <f t="array" ref="P506">_xlfn.IFS(
  AND(D506&gt;0,E506&gt;0),"Expansion",
  AND(D506&lt;0,E506&gt;0),"Slowdown",
  AND(D506&lt;0,E506&lt;0),"Contraction",
  AND(D506&gt;0,E506&lt;0),"Recovery",
  TRUE,"Undefined"
)</f>
        <v>Expansion</v>
      </c>
      <c r="Q506" t="str">
        <f t="shared" si="73"/>
        <v>Expansion</v>
      </c>
      <c r="R506">
        <f t="shared" si="67"/>
        <v>1</v>
      </c>
      <c r="S506">
        <f t="shared" si="68"/>
        <v>1</v>
      </c>
      <c r="T506">
        <f t="shared" si="69"/>
        <v>1</v>
      </c>
      <c r="U506">
        <f t="shared" si="70"/>
        <v>1</v>
      </c>
      <c r="V506" t="str" cm="1">
        <f t="array" ref="V506">_xlfn.IFS(
  AND(S506&gt;0,U506&gt;0),"Expansion",
  AND(S506&lt;0,U506&gt;0),"Slowdown",
  AND(S506&lt;0,U506&lt;0),"Contraction",
  AND(S506&gt;0,U506&lt;0),"Recovery",
  TRUE,"Undefined"
)</f>
        <v>Expansion</v>
      </c>
      <c r="W506">
        <f t="shared" si="71"/>
        <v>0</v>
      </c>
      <c r="X506">
        <f t="shared" si="72"/>
        <v>0</v>
      </c>
      <c r="Y506">
        <v>0</v>
      </c>
    </row>
    <row r="507" spans="1:25" x14ac:dyDescent="0.35">
      <c r="A507" s="1">
        <f>Data!A507</f>
        <v>32540</v>
      </c>
      <c r="B507" s="2">
        <f>IFERROR((Data!B507/Data!B506-1)*100,"")</f>
        <v>0.33003300330032292</v>
      </c>
      <c r="C507" s="2">
        <f>IFERROR((Data!C507/Data!C506-1)*100,"")</f>
        <v>-0.4425176766135297</v>
      </c>
      <c r="D507">
        <f t="shared" si="65"/>
        <v>0.10180169419345224</v>
      </c>
      <c r="E507">
        <f t="shared" si="66"/>
        <v>0.35892842952114368</v>
      </c>
      <c r="P507" t="str" cm="1">
        <f t="array" ref="P507">_xlfn.IFS(
  AND(D507&gt;0,E507&gt;0),"Expansion",
  AND(D507&lt;0,E507&gt;0),"Slowdown",
  AND(D507&lt;0,E507&lt;0),"Contraction",
  AND(D507&gt;0,E507&lt;0),"Recovery",
  TRUE,"Undefined"
)</f>
        <v>Expansion</v>
      </c>
      <c r="Q507" t="str">
        <f t="shared" si="73"/>
        <v>Expansion</v>
      </c>
      <c r="R507">
        <f t="shared" si="67"/>
        <v>1</v>
      </c>
      <c r="S507">
        <f t="shared" si="68"/>
        <v>1</v>
      </c>
      <c r="T507">
        <f t="shared" si="69"/>
        <v>1</v>
      </c>
      <c r="U507">
        <f t="shared" si="70"/>
        <v>1</v>
      </c>
      <c r="V507" t="str" cm="1">
        <f t="array" ref="V507">_xlfn.IFS(
  AND(S507&gt;0,U507&gt;0),"Expansion",
  AND(S507&lt;0,U507&gt;0),"Slowdown",
  AND(S507&lt;0,U507&lt;0),"Contraction",
  AND(S507&gt;0,U507&lt;0),"Recovery",
  TRUE,"Undefined"
)</f>
        <v>Expansion</v>
      </c>
      <c r="W507">
        <f t="shared" si="71"/>
        <v>0</v>
      </c>
      <c r="X507">
        <f t="shared" si="72"/>
        <v>0</v>
      </c>
      <c r="Y507">
        <v>0</v>
      </c>
    </row>
    <row r="508" spans="1:25" x14ac:dyDescent="0.35">
      <c r="A508" s="1">
        <f>Data!A508</f>
        <v>32568</v>
      </c>
      <c r="B508" s="2">
        <f>IFERROR((Data!B508/Data!B507-1)*100,"")</f>
        <v>0.49342105263159297</v>
      </c>
      <c r="C508" s="2">
        <f>IFERROR((Data!C508/Data!C507-1)*100,"")</f>
        <v>0.25007300518375963</v>
      </c>
      <c r="D508">
        <f t="shared" si="65"/>
        <v>3.4174807353263649E-2</v>
      </c>
      <c r="E508">
        <f t="shared" si="66"/>
        <v>0.4125680876856756</v>
      </c>
      <c r="P508" t="str" cm="1">
        <f t="array" ref="P508">_xlfn.IFS(
  AND(D508&gt;0,E508&gt;0),"Expansion",
  AND(D508&lt;0,E508&gt;0),"Slowdown",
  AND(D508&lt;0,E508&lt;0),"Contraction",
  AND(D508&gt;0,E508&lt;0),"Recovery",
  TRUE,"Undefined"
)</f>
        <v>Expansion</v>
      </c>
      <c r="Q508" t="str">
        <f t="shared" si="73"/>
        <v>Expansion</v>
      </c>
      <c r="R508">
        <f t="shared" si="67"/>
        <v>1</v>
      </c>
      <c r="S508">
        <f t="shared" si="68"/>
        <v>1</v>
      </c>
      <c r="T508">
        <f t="shared" si="69"/>
        <v>1</v>
      </c>
      <c r="U508">
        <f t="shared" si="70"/>
        <v>1</v>
      </c>
      <c r="V508" t="str" cm="1">
        <f t="array" ref="V508">_xlfn.IFS(
  AND(S508&gt;0,U508&gt;0),"Expansion",
  AND(S508&lt;0,U508&gt;0),"Slowdown",
  AND(S508&lt;0,U508&lt;0),"Contraction",
  AND(S508&gt;0,U508&lt;0),"Recovery",
  TRUE,"Undefined"
)</f>
        <v>Expansion</v>
      </c>
      <c r="W508">
        <f t="shared" si="71"/>
        <v>0</v>
      </c>
      <c r="X508">
        <f t="shared" si="72"/>
        <v>0</v>
      </c>
      <c r="Y508">
        <v>0</v>
      </c>
    </row>
    <row r="509" spans="1:25" x14ac:dyDescent="0.35">
      <c r="A509" s="1">
        <f>Data!A509</f>
        <v>32599</v>
      </c>
      <c r="B509" s="2">
        <f>IFERROR((Data!B509/Data!B508-1)*100,"")</f>
        <v>0.73649754500817455</v>
      </c>
      <c r="C509" s="2">
        <f>IFERROR((Data!C509/Data!C508-1)*100,"")</f>
        <v>-1.4966952004358269E-2</v>
      </c>
      <c r="D509">
        <f t="shared" si="65"/>
        <v>-6.9137207811376111E-2</v>
      </c>
      <c r="E509">
        <f t="shared" si="66"/>
        <v>0.51998386698003018</v>
      </c>
      <c r="P509" t="str" cm="1">
        <f t="array" ref="P509">_xlfn.IFS(
  AND(D509&gt;0,E509&gt;0),"Expansion",
  AND(D509&lt;0,E509&gt;0),"Slowdown",
  AND(D509&lt;0,E509&lt;0),"Contraction",
  AND(D509&gt;0,E509&lt;0),"Recovery",
  TRUE,"Undefined"
)</f>
        <v>Slowdown</v>
      </c>
      <c r="Q509" t="str">
        <f t="shared" si="73"/>
        <v>Expansion</v>
      </c>
      <c r="R509">
        <f t="shared" si="67"/>
        <v>1</v>
      </c>
      <c r="S509">
        <f t="shared" si="68"/>
        <v>1</v>
      </c>
      <c r="T509">
        <f t="shared" si="69"/>
        <v>1</v>
      </c>
      <c r="U509">
        <f t="shared" si="70"/>
        <v>1</v>
      </c>
      <c r="V509" t="str" cm="1">
        <f t="array" ref="V509">_xlfn.IFS(
  AND(S509&gt;0,U509&gt;0),"Expansion",
  AND(S509&lt;0,U509&gt;0),"Slowdown",
  AND(S509&lt;0,U509&lt;0),"Contraction",
  AND(S509&gt;0,U509&lt;0),"Recovery",
  TRUE,"Undefined"
)</f>
        <v>Expansion</v>
      </c>
      <c r="W509">
        <f t="shared" si="71"/>
        <v>0</v>
      </c>
      <c r="X509">
        <f t="shared" si="72"/>
        <v>0</v>
      </c>
      <c r="Y509">
        <v>0</v>
      </c>
    </row>
    <row r="510" spans="1:25" x14ac:dyDescent="0.35">
      <c r="A510" s="1">
        <f>Data!A510</f>
        <v>32629</v>
      </c>
      <c r="B510" s="2">
        <f>IFERROR((Data!B510/Data!B509-1)*100,"")</f>
        <v>0.48740861088547582</v>
      </c>
      <c r="C510" s="2">
        <f>IFERROR((Data!C510/Data!C509-1)*100,"")</f>
        <v>-0.56850739445915011</v>
      </c>
      <c r="D510">
        <f t="shared" si="65"/>
        <v>-0.11113378042658291</v>
      </c>
      <c r="E510">
        <f t="shared" si="66"/>
        <v>0.57244240284174774</v>
      </c>
      <c r="P510" t="str" cm="1">
        <f t="array" ref="P510">_xlfn.IFS(
  AND(D510&gt;0,E510&gt;0),"Expansion",
  AND(D510&lt;0,E510&gt;0),"Slowdown",
  AND(D510&lt;0,E510&lt;0),"Contraction",
  AND(D510&gt;0,E510&lt;0),"Recovery",
  TRUE,"Undefined"
)</f>
        <v>Slowdown</v>
      </c>
      <c r="Q510" t="str">
        <f t="shared" si="73"/>
        <v>Expansion</v>
      </c>
      <c r="R510">
        <f t="shared" si="67"/>
        <v>1</v>
      </c>
      <c r="S510">
        <f t="shared" si="68"/>
        <v>1</v>
      </c>
      <c r="T510">
        <f t="shared" si="69"/>
        <v>1</v>
      </c>
      <c r="U510">
        <f t="shared" si="70"/>
        <v>1</v>
      </c>
      <c r="V510" t="str" cm="1">
        <f t="array" ref="V510">_xlfn.IFS(
  AND(S510&gt;0,U510&gt;0),"Expansion",
  AND(S510&lt;0,U510&gt;0),"Slowdown",
  AND(S510&lt;0,U510&lt;0),"Contraction",
  AND(S510&gt;0,U510&lt;0),"Recovery",
  TRUE,"Undefined"
)</f>
        <v>Expansion</v>
      </c>
      <c r="W510">
        <f t="shared" si="71"/>
        <v>0</v>
      </c>
      <c r="X510">
        <f t="shared" si="72"/>
        <v>0</v>
      </c>
      <c r="Y510">
        <v>0</v>
      </c>
    </row>
    <row r="511" spans="1:25" x14ac:dyDescent="0.35">
      <c r="A511" s="1">
        <f>Data!A511</f>
        <v>32660</v>
      </c>
      <c r="B511" s="2">
        <f>IFERROR((Data!B511/Data!B510-1)*100,"")</f>
        <v>0.32336297493935628</v>
      </c>
      <c r="C511" s="2">
        <f>IFERROR((Data!C511/Data!C510-1)*100,"")</f>
        <v>-7.6083296640661047E-3</v>
      </c>
      <c r="D511">
        <f t="shared" si="65"/>
        <v>-0.1970275587091915</v>
      </c>
      <c r="E511">
        <f t="shared" si="66"/>
        <v>0.51575637694433552</v>
      </c>
      <c r="P511" t="str" cm="1">
        <f t="array" ref="P511">_xlfn.IFS(
  AND(D511&gt;0,E511&gt;0),"Expansion",
  AND(D511&lt;0,E511&gt;0),"Slowdown",
  AND(D511&lt;0,E511&lt;0),"Contraction",
  AND(D511&gt;0,E511&lt;0),"Recovery",
  TRUE,"Undefined"
)</f>
        <v>Slowdown</v>
      </c>
      <c r="Q511" t="str">
        <f t="shared" si="73"/>
        <v>Slowdown</v>
      </c>
      <c r="R511">
        <f t="shared" si="67"/>
        <v>1</v>
      </c>
      <c r="S511">
        <f t="shared" si="68"/>
        <v>1</v>
      </c>
      <c r="T511">
        <f t="shared" si="69"/>
        <v>1</v>
      </c>
      <c r="U511">
        <f t="shared" si="70"/>
        <v>1</v>
      </c>
      <c r="V511" t="str" cm="1">
        <f t="array" ref="V511">_xlfn.IFS(
  AND(S511&gt;0,U511&gt;0),"Expansion",
  AND(S511&lt;0,U511&gt;0),"Slowdown",
  AND(S511&lt;0,U511&lt;0),"Contraction",
  AND(S511&gt;0,U511&lt;0),"Recovery",
  TRUE,"Undefined"
)</f>
        <v>Expansion</v>
      </c>
      <c r="W511">
        <f t="shared" si="71"/>
        <v>0</v>
      </c>
      <c r="X511">
        <f t="shared" si="72"/>
        <v>0</v>
      </c>
      <c r="Y511">
        <v>0</v>
      </c>
    </row>
    <row r="512" spans="1:25" x14ac:dyDescent="0.35">
      <c r="A512" s="1">
        <f>Data!A512</f>
        <v>32690</v>
      </c>
      <c r="B512" s="2">
        <f>IFERROR((Data!B512/Data!B511-1)*100,"")</f>
        <v>0.32232070910556132</v>
      </c>
      <c r="C512" s="2">
        <f>IFERROR((Data!C512/Data!C511-1)*100,"")</f>
        <v>-0.96471247229629187</v>
      </c>
      <c r="D512">
        <f t="shared" si="65"/>
        <v>-0.51360939880650269</v>
      </c>
      <c r="E512">
        <f t="shared" si="66"/>
        <v>0.37769743164346448</v>
      </c>
      <c r="P512" t="str" cm="1">
        <f t="array" ref="P512">_xlfn.IFS(
  AND(D512&gt;0,E512&gt;0),"Expansion",
  AND(D512&lt;0,E512&gt;0),"Slowdown",
  AND(D512&lt;0,E512&lt;0),"Contraction",
  AND(D512&gt;0,E512&lt;0),"Recovery",
  TRUE,"Undefined"
)</f>
        <v>Slowdown</v>
      </c>
      <c r="Q512" t="str">
        <f t="shared" si="73"/>
        <v>Slowdown</v>
      </c>
      <c r="R512">
        <f t="shared" si="67"/>
        <v>-1</v>
      </c>
      <c r="S512">
        <f t="shared" si="68"/>
        <v>-1</v>
      </c>
      <c r="T512">
        <f t="shared" si="69"/>
        <v>1</v>
      </c>
      <c r="U512">
        <f t="shared" si="70"/>
        <v>1</v>
      </c>
      <c r="V512" t="str" cm="1">
        <f t="array" ref="V512">_xlfn.IFS(
  AND(S512&gt;0,U512&gt;0),"Expansion",
  AND(S512&lt;0,U512&gt;0),"Slowdown",
  AND(S512&lt;0,U512&lt;0),"Contraction",
  AND(S512&gt;0,U512&lt;0),"Recovery",
  TRUE,"Undefined"
)</f>
        <v>Slowdown</v>
      </c>
      <c r="W512">
        <f t="shared" si="71"/>
        <v>0</v>
      </c>
      <c r="X512">
        <f t="shared" si="72"/>
        <v>0</v>
      </c>
      <c r="Y512">
        <v>0</v>
      </c>
    </row>
    <row r="513" spans="1:25" x14ac:dyDescent="0.35">
      <c r="A513" s="1">
        <f>Data!A513</f>
        <v>32721</v>
      </c>
      <c r="B513" s="2">
        <f>IFERROR((Data!B513/Data!B512-1)*100,"")</f>
        <v>0</v>
      </c>
      <c r="C513" s="2">
        <f>IFERROR((Data!C513/Data!C512-1)*100,"")</f>
        <v>0.97983123494045365</v>
      </c>
      <c r="D513">
        <f t="shared" si="65"/>
        <v>2.5034776600318942E-3</v>
      </c>
      <c r="E513">
        <f t="shared" si="66"/>
        <v>0.21522789468163919</v>
      </c>
      <c r="P513" t="str" cm="1">
        <f t="array" ref="P513">_xlfn.IFS(
  AND(D513&gt;0,E513&gt;0),"Expansion",
  AND(D513&lt;0,E513&gt;0),"Slowdown",
  AND(D513&lt;0,E513&lt;0),"Contraction",
  AND(D513&gt;0,E513&lt;0),"Recovery",
  TRUE,"Undefined"
)</f>
        <v>Expansion</v>
      </c>
      <c r="Q513" t="str">
        <f t="shared" si="73"/>
        <v>Slowdown</v>
      </c>
      <c r="R513">
        <f t="shared" si="67"/>
        <v>1</v>
      </c>
      <c r="S513">
        <f t="shared" si="68"/>
        <v>1</v>
      </c>
      <c r="T513">
        <f t="shared" si="69"/>
        <v>1</v>
      </c>
      <c r="U513">
        <f t="shared" si="70"/>
        <v>1</v>
      </c>
      <c r="V513" t="str" cm="1">
        <f t="array" ref="V513">_xlfn.IFS(
  AND(S513&gt;0,U513&gt;0),"Expansion",
  AND(S513&lt;0,U513&gt;0),"Slowdown",
  AND(S513&lt;0,U513&lt;0),"Contraction",
  AND(S513&gt;0,U513&lt;0),"Recovery",
  TRUE,"Undefined"
)</f>
        <v>Expansion</v>
      </c>
      <c r="W513">
        <f t="shared" si="71"/>
        <v>0</v>
      </c>
      <c r="X513">
        <f t="shared" si="72"/>
        <v>0</v>
      </c>
      <c r="Y513">
        <v>0</v>
      </c>
    </row>
    <row r="514" spans="1:25" x14ac:dyDescent="0.35">
      <c r="A514" s="1">
        <f>Data!A514</f>
        <v>32752</v>
      </c>
      <c r="B514" s="2">
        <f>IFERROR((Data!B514/Data!B513-1)*100,"")</f>
        <v>0.24096385542169418</v>
      </c>
      <c r="C514" s="2">
        <f>IFERROR((Data!C514/Data!C513-1)*100,"")</f>
        <v>-0.31340451846432194</v>
      </c>
      <c r="D514">
        <f t="shared" si="65"/>
        <v>-9.9428585273386716E-2</v>
      </c>
      <c r="E514">
        <f t="shared" si="66"/>
        <v>0.18776152150908518</v>
      </c>
      <c r="P514" t="str" cm="1">
        <f t="array" ref="P514">_xlfn.IFS(
  AND(D514&gt;0,E514&gt;0),"Expansion",
  AND(D514&lt;0,E514&gt;0),"Slowdown",
  AND(D514&lt;0,E514&lt;0),"Contraction",
  AND(D514&gt;0,E514&lt;0),"Recovery",
  TRUE,"Undefined"
)</f>
        <v>Slowdown</v>
      </c>
      <c r="Q514" t="str">
        <f t="shared" si="73"/>
        <v>Slowdown</v>
      </c>
      <c r="R514">
        <f t="shared" si="67"/>
        <v>1</v>
      </c>
      <c r="S514">
        <f t="shared" si="68"/>
        <v>1</v>
      </c>
      <c r="T514">
        <f t="shared" si="69"/>
        <v>1</v>
      </c>
      <c r="U514">
        <f t="shared" si="70"/>
        <v>1</v>
      </c>
      <c r="V514" t="str" cm="1">
        <f t="array" ref="V514">_xlfn.IFS(
  AND(S514&gt;0,U514&gt;0),"Expansion",
  AND(S514&lt;0,U514&gt;0),"Slowdown",
  AND(S514&lt;0,U514&lt;0),"Contraction",
  AND(S514&gt;0,U514&lt;0),"Recovery",
  TRUE,"Undefined"
)</f>
        <v>Expansion</v>
      </c>
      <c r="W514">
        <f t="shared" si="71"/>
        <v>0</v>
      </c>
      <c r="X514">
        <f t="shared" si="72"/>
        <v>0</v>
      </c>
      <c r="Y514">
        <v>0</v>
      </c>
    </row>
    <row r="515" spans="1:25" x14ac:dyDescent="0.35">
      <c r="A515" s="1">
        <f>Data!A515</f>
        <v>32782</v>
      </c>
      <c r="B515" s="2">
        <f>IFERROR((Data!B515/Data!B514-1)*100,"")</f>
        <v>0.48076923076922906</v>
      </c>
      <c r="C515" s="2">
        <f>IFERROR((Data!C515/Data!C514-1)*100,"")</f>
        <v>-0.13478489629682455</v>
      </c>
      <c r="D515">
        <f t="shared" si="65"/>
        <v>0.17721394005976907</v>
      </c>
      <c r="E515">
        <f t="shared" si="66"/>
        <v>0.24057769539697441</v>
      </c>
      <c r="P515" t="str" cm="1">
        <f t="array" ref="P515">_xlfn.IFS(
  AND(D515&gt;0,E515&gt;0),"Expansion",
  AND(D515&lt;0,E515&gt;0),"Slowdown",
  AND(D515&lt;0,E515&lt;0),"Contraction",
  AND(D515&gt;0,E515&lt;0),"Recovery",
  TRUE,"Undefined"
)</f>
        <v>Expansion</v>
      </c>
      <c r="Q515" t="str">
        <f t="shared" si="73"/>
        <v>Slowdown</v>
      </c>
      <c r="R515">
        <f t="shared" si="67"/>
        <v>1</v>
      </c>
      <c r="S515">
        <f t="shared" si="68"/>
        <v>1</v>
      </c>
      <c r="T515">
        <f t="shared" si="69"/>
        <v>1</v>
      </c>
      <c r="U515">
        <f t="shared" si="70"/>
        <v>1</v>
      </c>
      <c r="V515" t="str" cm="1">
        <f t="array" ref="V515">_xlfn.IFS(
  AND(S515&gt;0,U515&gt;0),"Expansion",
  AND(S515&lt;0,U515&gt;0),"Slowdown",
  AND(S515&lt;0,U515&lt;0),"Contraction",
  AND(S515&gt;0,U515&lt;0),"Recovery",
  TRUE,"Undefined"
)</f>
        <v>Expansion</v>
      </c>
      <c r="W515">
        <f t="shared" si="71"/>
        <v>0</v>
      </c>
      <c r="X515">
        <f t="shared" si="72"/>
        <v>0</v>
      </c>
      <c r="Y515">
        <v>0</v>
      </c>
    </row>
    <row r="516" spans="1:25" x14ac:dyDescent="0.35">
      <c r="A516" s="1">
        <f>Data!A516</f>
        <v>32813</v>
      </c>
      <c r="B516" s="2">
        <f>IFERROR((Data!B516/Data!B515-1)*100,"")</f>
        <v>0.39872408293459838</v>
      </c>
      <c r="C516" s="2">
        <f>IFERROR((Data!C516/Data!C515-1)*100,"")</f>
        <v>0.3379048597808687</v>
      </c>
      <c r="D516">
        <f t="shared" si="65"/>
        <v>-3.6761518326759259E-2</v>
      </c>
      <c r="E516">
        <f t="shared" si="66"/>
        <v>0.37348572304184052</v>
      </c>
      <c r="P516" t="str" cm="1">
        <f t="array" ref="P516">_xlfn.IFS(
  AND(D516&gt;0,E516&gt;0),"Expansion",
  AND(D516&lt;0,E516&gt;0),"Slowdown",
  AND(D516&lt;0,E516&lt;0),"Contraction",
  AND(D516&gt;0,E516&lt;0),"Recovery",
  TRUE,"Undefined"
)</f>
        <v>Slowdown</v>
      </c>
      <c r="Q516" t="str">
        <f t="shared" si="73"/>
        <v>Slowdown</v>
      </c>
      <c r="R516">
        <f t="shared" si="67"/>
        <v>1</v>
      </c>
      <c r="S516">
        <f t="shared" si="68"/>
        <v>1</v>
      </c>
      <c r="T516">
        <f t="shared" si="69"/>
        <v>1</v>
      </c>
      <c r="U516">
        <f t="shared" si="70"/>
        <v>1</v>
      </c>
      <c r="V516" t="str" cm="1">
        <f t="array" ref="V516">_xlfn.IFS(
  AND(S516&gt;0,U516&gt;0),"Expansion",
  AND(S516&lt;0,U516&gt;0),"Slowdown",
  AND(S516&lt;0,U516&lt;0),"Contraction",
  AND(S516&gt;0,U516&lt;0),"Recovery",
  TRUE,"Undefined"
)</f>
        <v>Expansion</v>
      </c>
      <c r="W516">
        <f t="shared" si="71"/>
        <v>0</v>
      </c>
      <c r="X516">
        <f t="shared" si="72"/>
        <v>0</v>
      </c>
      <c r="Y516">
        <v>0</v>
      </c>
    </row>
    <row r="517" spans="1:25" x14ac:dyDescent="0.35">
      <c r="A517" s="1">
        <f>Data!A517</f>
        <v>32843</v>
      </c>
      <c r="B517" s="2">
        <f>IFERROR((Data!B517/Data!B516-1)*100,"")</f>
        <v>0.31771247021445959</v>
      </c>
      <c r="C517" s="2">
        <f>IFERROR((Data!C517/Data!C516-1)*100,"")</f>
        <v>0.54842118228197734</v>
      </c>
      <c r="D517">
        <f t="shared" ref="D517:D580" si="74">SUM(C515:C517)/3</f>
        <v>0.2505137152553405</v>
      </c>
      <c r="E517">
        <f t="shared" ref="E517:E580" si="75">SUM(B515:B517)/3</f>
        <v>0.39906859463942901</v>
      </c>
      <c r="P517" t="str" cm="1">
        <f t="array" ref="P517">_xlfn.IFS(
  AND(D517&gt;0,E517&gt;0),"Expansion",
  AND(D517&lt;0,E517&gt;0),"Slowdown",
  AND(D517&lt;0,E517&lt;0),"Contraction",
  AND(D517&gt;0,E517&lt;0),"Recovery",
  TRUE,"Undefined"
)</f>
        <v>Expansion</v>
      </c>
      <c r="Q517" t="str">
        <f t="shared" si="73"/>
        <v>Slowdown</v>
      </c>
      <c r="R517">
        <f t="shared" si="67"/>
        <v>1</v>
      </c>
      <c r="S517">
        <f t="shared" si="68"/>
        <v>1</v>
      </c>
      <c r="T517">
        <f t="shared" si="69"/>
        <v>1</v>
      </c>
      <c r="U517">
        <f t="shared" si="70"/>
        <v>1</v>
      </c>
      <c r="V517" t="str" cm="1">
        <f t="array" ref="V517">_xlfn.IFS(
  AND(S517&gt;0,U517&gt;0),"Expansion",
  AND(S517&lt;0,U517&gt;0),"Slowdown",
  AND(S517&lt;0,U517&lt;0),"Contraction",
  AND(S517&gt;0,U517&lt;0),"Recovery",
  TRUE,"Undefined"
)</f>
        <v>Expansion</v>
      </c>
      <c r="W517">
        <f t="shared" si="71"/>
        <v>0</v>
      </c>
      <c r="X517">
        <f t="shared" si="72"/>
        <v>0</v>
      </c>
      <c r="Y517">
        <v>0</v>
      </c>
    </row>
    <row r="518" spans="1:25" x14ac:dyDescent="0.35">
      <c r="A518" s="1">
        <f>Data!A518</f>
        <v>32874</v>
      </c>
      <c r="B518" s="2">
        <f>IFERROR((Data!B518/Data!B517-1)*100,"")</f>
        <v>0.95011876484560887</v>
      </c>
      <c r="C518" s="2">
        <f>IFERROR((Data!C518/Data!C517-1)*100,"")</f>
        <v>-0.50577988098537974</v>
      </c>
      <c r="D518">
        <f t="shared" si="74"/>
        <v>0.12684872035915543</v>
      </c>
      <c r="E518">
        <f t="shared" si="75"/>
        <v>0.55551843933155565</v>
      </c>
      <c r="P518" t="str" cm="1">
        <f t="array" ref="P518">_xlfn.IFS(
  AND(D518&gt;0,E518&gt;0),"Expansion",
  AND(D518&lt;0,E518&gt;0),"Slowdown",
  AND(D518&lt;0,E518&lt;0),"Contraction",
  AND(D518&gt;0,E518&lt;0),"Recovery",
  TRUE,"Undefined"
)</f>
        <v>Expansion</v>
      </c>
      <c r="Q518" t="str">
        <f t="shared" si="73"/>
        <v>Slowdown</v>
      </c>
      <c r="R518">
        <f t="shared" ref="R518:R581" si="76">IF(D518&gt;-0.26, 1, -1)</f>
        <v>1</v>
      </c>
      <c r="S518">
        <f t="shared" ref="S518:S581" si="77">IF(R518=1, IF(D518 &lt; -$L$5, -1, 1), IF(D518 &gt; $L$5, 1, -1))</f>
        <v>1</v>
      </c>
      <c r="T518">
        <f t="shared" ref="T518:T581" si="78">IF(E518&gt;0, 1, -1)</f>
        <v>1</v>
      </c>
      <c r="U518">
        <f t="shared" ref="U518:U581" si="79">IF(T518=1, IF(E518 &lt; -$M$5, -1, 1), IF(E518 &gt; $M$5, 1, -1))</f>
        <v>1</v>
      </c>
      <c r="V518" t="str" cm="1">
        <f t="array" ref="V518">_xlfn.IFS(
  AND(S518&gt;0,U518&gt;0),"Expansion",
  AND(S518&lt;0,U518&gt;0),"Slowdown",
  AND(S518&lt;0,U518&lt;0),"Contraction",
  AND(S518&gt;0,U518&lt;0),"Recovery",
  TRUE,"Undefined"
)</f>
        <v>Expansion</v>
      </c>
      <c r="W518">
        <f t="shared" ref="W518:W581" si="80">IF(Q518="Contraction", 1, 0)</f>
        <v>0</v>
      </c>
      <c r="X518">
        <f t="shared" ref="X518:X581" si="81">IF(V518="Contraction", 1, 0)</f>
        <v>0</v>
      </c>
      <c r="Y518">
        <v>0</v>
      </c>
    </row>
    <row r="519" spans="1:25" x14ac:dyDescent="0.35">
      <c r="A519" s="1">
        <f>Data!A519</f>
        <v>32905</v>
      </c>
      <c r="B519" s="2">
        <f>IFERROR((Data!B519/Data!B518-1)*100,"")</f>
        <v>0.39215686274509665</v>
      </c>
      <c r="C519" s="2">
        <f>IFERROR((Data!C519/Data!C518-1)*100,"")</f>
        <v>0.90816310000161327</v>
      </c>
      <c r="D519">
        <f t="shared" si="74"/>
        <v>0.31693480043273697</v>
      </c>
      <c r="E519">
        <f t="shared" si="75"/>
        <v>0.553329365935055</v>
      </c>
      <c r="P519" t="str" cm="1">
        <f t="array" ref="P519">_xlfn.IFS(
  AND(D519&gt;0,E519&gt;0),"Expansion",
  AND(D519&lt;0,E519&gt;0),"Slowdown",
  AND(D519&lt;0,E519&lt;0),"Contraction",
  AND(D519&gt;0,E519&lt;0),"Recovery",
  TRUE,"Undefined"
)</f>
        <v>Expansion</v>
      </c>
      <c r="Q519" t="str">
        <f t="shared" si="73"/>
        <v>Expansion</v>
      </c>
      <c r="R519">
        <f t="shared" si="76"/>
        <v>1</v>
      </c>
      <c r="S519">
        <f t="shared" si="77"/>
        <v>1</v>
      </c>
      <c r="T519">
        <f t="shared" si="78"/>
        <v>1</v>
      </c>
      <c r="U519">
        <f t="shared" si="79"/>
        <v>1</v>
      </c>
      <c r="V519" t="str" cm="1">
        <f t="array" ref="V519">_xlfn.IFS(
  AND(S519&gt;0,U519&gt;0),"Expansion",
  AND(S519&lt;0,U519&gt;0),"Slowdown",
  AND(S519&lt;0,U519&lt;0),"Contraction",
  AND(S519&gt;0,U519&lt;0),"Recovery",
  TRUE,"Undefined"
)</f>
        <v>Expansion</v>
      </c>
      <c r="W519">
        <f t="shared" si="80"/>
        <v>0</v>
      </c>
      <c r="X519">
        <f t="shared" si="81"/>
        <v>0</v>
      </c>
      <c r="Y519">
        <v>0</v>
      </c>
    </row>
    <row r="520" spans="1:25" x14ac:dyDescent="0.35">
      <c r="A520" s="1">
        <f>Data!A520</f>
        <v>32933</v>
      </c>
      <c r="B520" s="2">
        <f>IFERROR((Data!B520/Data!B519-1)*100,"")</f>
        <v>0.46874999999999556</v>
      </c>
      <c r="C520" s="2">
        <f>IFERROR((Data!C520/Data!C519-1)*100,"")</f>
        <v>0.49815699571036376</v>
      </c>
      <c r="D520">
        <f t="shared" si="74"/>
        <v>0.30018007157553245</v>
      </c>
      <c r="E520">
        <f t="shared" si="75"/>
        <v>0.60367520919690032</v>
      </c>
      <c r="P520" t="str" cm="1">
        <f t="array" ref="P520">_xlfn.IFS(
  AND(D520&gt;0,E520&gt;0),"Expansion",
  AND(D520&lt;0,E520&gt;0),"Slowdown",
  AND(D520&lt;0,E520&lt;0),"Contraction",
  AND(D520&gt;0,E520&lt;0),"Recovery",
  TRUE,"Undefined"
)</f>
        <v>Expansion</v>
      </c>
      <c r="Q520" t="str">
        <f t="shared" ref="Q520:Q583" si="82">IF(AND(P520=P519, P519=P518), P520, Q519)</f>
        <v>Expansion</v>
      </c>
      <c r="R520">
        <f t="shared" si="76"/>
        <v>1</v>
      </c>
      <c r="S520">
        <f t="shared" si="77"/>
        <v>1</v>
      </c>
      <c r="T520">
        <f t="shared" si="78"/>
        <v>1</v>
      </c>
      <c r="U520">
        <f t="shared" si="79"/>
        <v>1</v>
      </c>
      <c r="V520" t="str" cm="1">
        <f t="array" ref="V520">_xlfn.IFS(
  AND(S520&gt;0,U520&gt;0),"Expansion",
  AND(S520&lt;0,U520&gt;0),"Slowdown",
  AND(S520&lt;0,U520&lt;0),"Contraction",
  AND(S520&gt;0,U520&lt;0),"Recovery",
  TRUE,"Undefined"
)</f>
        <v>Expansion</v>
      </c>
      <c r="W520">
        <f t="shared" si="80"/>
        <v>0</v>
      </c>
      <c r="X520">
        <f t="shared" si="81"/>
        <v>0</v>
      </c>
      <c r="Y520">
        <v>0</v>
      </c>
    </row>
    <row r="521" spans="1:25" x14ac:dyDescent="0.35">
      <c r="A521" s="1">
        <f>Data!A521</f>
        <v>32964</v>
      </c>
      <c r="B521" s="2">
        <f>IFERROR((Data!B521/Data!B520-1)*100,"")</f>
        <v>0.2332814930015692</v>
      </c>
      <c r="C521" s="2">
        <f>IFERROR((Data!C521/Data!C520-1)*100,"")</f>
        <v>-0.26198124917132803</v>
      </c>
      <c r="D521">
        <f t="shared" si="74"/>
        <v>0.38144628218021631</v>
      </c>
      <c r="E521">
        <f t="shared" si="75"/>
        <v>0.36472945191555378</v>
      </c>
      <c r="P521" t="str" cm="1">
        <f t="array" ref="P521">_xlfn.IFS(
  AND(D521&gt;0,E521&gt;0),"Expansion",
  AND(D521&lt;0,E521&gt;0),"Slowdown",
  AND(D521&lt;0,E521&lt;0),"Contraction",
  AND(D521&gt;0,E521&lt;0),"Recovery",
  TRUE,"Undefined"
)</f>
        <v>Expansion</v>
      </c>
      <c r="Q521" t="str">
        <f t="shared" si="82"/>
        <v>Expansion</v>
      </c>
      <c r="R521">
        <f t="shared" si="76"/>
        <v>1</v>
      </c>
      <c r="S521">
        <f t="shared" si="77"/>
        <v>1</v>
      </c>
      <c r="T521">
        <f t="shared" si="78"/>
        <v>1</v>
      </c>
      <c r="U521">
        <f t="shared" si="79"/>
        <v>1</v>
      </c>
      <c r="V521" t="str" cm="1">
        <f t="array" ref="V521">_xlfn.IFS(
  AND(S521&gt;0,U521&gt;0),"Expansion",
  AND(S521&lt;0,U521&gt;0),"Slowdown",
  AND(S521&lt;0,U521&lt;0),"Contraction",
  AND(S521&gt;0,U521&lt;0),"Recovery",
  TRUE,"Undefined"
)</f>
        <v>Expansion</v>
      </c>
      <c r="W521">
        <f t="shared" si="80"/>
        <v>0</v>
      </c>
      <c r="X521">
        <f t="shared" si="81"/>
        <v>0</v>
      </c>
      <c r="Y521">
        <v>0</v>
      </c>
    </row>
    <row r="522" spans="1:25" x14ac:dyDescent="0.35">
      <c r="A522" s="1">
        <f>Data!A522</f>
        <v>32994</v>
      </c>
      <c r="B522" s="2">
        <f>IFERROR((Data!B522/Data!B521-1)*100,"")</f>
        <v>0.15515903801395226</v>
      </c>
      <c r="C522" s="2">
        <f>IFERROR((Data!C522/Data!C521-1)*100,"")</f>
        <v>0.30415193822785902</v>
      </c>
      <c r="D522">
        <f t="shared" si="74"/>
        <v>0.18010922825563158</v>
      </c>
      <c r="E522">
        <f t="shared" si="75"/>
        <v>0.28573017700517234</v>
      </c>
      <c r="P522" t="str" cm="1">
        <f t="array" ref="P522">_xlfn.IFS(
  AND(D522&gt;0,E522&gt;0),"Expansion",
  AND(D522&lt;0,E522&gt;0),"Slowdown",
  AND(D522&lt;0,E522&lt;0),"Contraction",
  AND(D522&gt;0,E522&lt;0),"Recovery",
  TRUE,"Undefined"
)</f>
        <v>Expansion</v>
      </c>
      <c r="Q522" t="str">
        <f t="shared" si="82"/>
        <v>Expansion</v>
      </c>
      <c r="R522">
        <f t="shared" si="76"/>
        <v>1</v>
      </c>
      <c r="S522">
        <f t="shared" si="77"/>
        <v>1</v>
      </c>
      <c r="T522">
        <f t="shared" si="78"/>
        <v>1</v>
      </c>
      <c r="U522">
        <f t="shared" si="79"/>
        <v>1</v>
      </c>
      <c r="V522" t="str" cm="1">
        <f t="array" ref="V522">_xlfn.IFS(
  AND(S522&gt;0,U522&gt;0),"Expansion",
  AND(S522&lt;0,U522&gt;0),"Slowdown",
  AND(S522&lt;0,U522&lt;0),"Contraction",
  AND(S522&gt;0,U522&lt;0),"Recovery",
  TRUE,"Undefined"
)</f>
        <v>Expansion</v>
      </c>
      <c r="W522">
        <f t="shared" si="80"/>
        <v>0</v>
      </c>
      <c r="X522">
        <f t="shared" si="81"/>
        <v>0</v>
      </c>
      <c r="Y522">
        <v>0</v>
      </c>
    </row>
    <row r="523" spans="1:25" x14ac:dyDescent="0.35">
      <c r="A523" s="1">
        <f>Data!A523</f>
        <v>33025</v>
      </c>
      <c r="B523" s="2">
        <f>IFERROR((Data!B523/Data!B522-1)*100,"")</f>
        <v>0.61967467079784289</v>
      </c>
      <c r="C523" s="2">
        <f>IFERROR((Data!C523/Data!C522-1)*100,"")</f>
        <v>0.33915734409779574</v>
      </c>
      <c r="D523">
        <f t="shared" si="74"/>
        <v>0.12710934438477559</v>
      </c>
      <c r="E523">
        <f t="shared" si="75"/>
        <v>0.33603840060445478</v>
      </c>
      <c r="P523" t="str" cm="1">
        <f t="array" ref="P523">_xlfn.IFS(
  AND(D523&gt;0,E523&gt;0),"Expansion",
  AND(D523&lt;0,E523&gt;0),"Slowdown",
  AND(D523&lt;0,E523&lt;0),"Contraction",
  AND(D523&gt;0,E523&lt;0),"Recovery",
  TRUE,"Undefined"
)</f>
        <v>Expansion</v>
      </c>
      <c r="Q523" t="str">
        <f t="shared" si="82"/>
        <v>Expansion</v>
      </c>
      <c r="R523">
        <f t="shared" si="76"/>
        <v>1</v>
      </c>
      <c r="S523">
        <f t="shared" si="77"/>
        <v>1</v>
      </c>
      <c r="T523">
        <f t="shared" si="78"/>
        <v>1</v>
      </c>
      <c r="U523">
        <f t="shared" si="79"/>
        <v>1</v>
      </c>
      <c r="V523" t="str" cm="1">
        <f t="array" ref="V523">_xlfn.IFS(
  AND(S523&gt;0,U523&gt;0),"Expansion",
  AND(S523&lt;0,U523&gt;0),"Slowdown",
  AND(S523&lt;0,U523&lt;0),"Contraction",
  AND(S523&gt;0,U523&lt;0),"Recovery",
  TRUE,"Undefined"
)</f>
        <v>Expansion</v>
      </c>
      <c r="W523">
        <f t="shared" si="80"/>
        <v>0</v>
      </c>
      <c r="X523">
        <f t="shared" si="81"/>
        <v>0</v>
      </c>
      <c r="Y523">
        <v>0</v>
      </c>
    </row>
    <row r="524" spans="1:25" x14ac:dyDescent="0.35">
      <c r="A524" s="1">
        <f>Data!A524</f>
        <v>33055</v>
      </c>
      <c r="B524" s="2">
        <f>IFERROR((Data!B524/Data!B523-1)*100,"")</f>
        <v>0.46189376443417363</v>
      </c>
      <c r="C524" s="2">
        <f>IFERROR((Data!C524/Data!C523-1)*100,"")</f>
        <v>-0.17473447679914322</v>
      </c>
      <c r="D524">
        <f t="shared" si="74"/>
        <v>0.15619160184217051</v>
      </c>
      <c r="E524">
        <f t="shared" si="75"/>
        <v>0.41224249108198957</v>
      </c>
      <c r="P524" t="str" cm="1">
        <f t="array" ref="P524">_xlfn.IFS(
  AND(D524&gt;0,E524&gt;0),"Expansion",
  AND(D524&lt;0,E524&gt;0),"Slowdown",
  AND(D524&lt;0,E524&lt;0),"Contraction",
  AND(D524&gt;0,E524&lt;0),"Recovery",
  TRUE,"Undefined"
)</f>
        <v>Expansion</v>
      </c>
      <c r="Q524" t="str">
        <f t="shared" si="82"/>
        <v>Expansion</v>
      </c>
      <c r="R524">
        <f t="shared" si="76"/>
        <v>1</v>
      </c>
      <c r="S524">
        <f t="shared" si="77"/>
        <v>1</v>
      </c>
      <c r="T524">
        <f t="shared" si="78"/>
        <v>1</v>
      </c>
      <c r="U524">
        <f t="shared" si="79"/>
        <v>1</v>
      </c>
      <c r="V524" t="str" cm="1">
        <f t="array" ref="V524">_xlfn.IFS(
  AND(S524&gt;0,U524&gt;0),"Expansion",
  AND(S524&lt;0,U524&gt;0),"Slowdown",
  AND(S524&lt;0,U524&lt;0),"Contraction",
  AND(S524&gt;0,U524&lt;0),"Recovery",
  TRUE,"Undefined"
)</f>
        <v>Expansion</v>
      </c>
      <c r="W524">
        <f t="shared" si="80"/>
        <v>0</v>
      </c>
      <c r="X524">
        <f t="shared" si="81"/>
        <v>0</v>
      </c>
      <c r="Y524">
        <v>0</v>
      </c>
    </row>
    <row r="525" spans="1:25" x14ac:dyDescent="0.35">
      <c r="A525" s="1">
        <f>Data!A525</f>
        <v>33086</v>
      </c>
      <c r="B525" s="2">
        <f>IFERROR((Data!B525/Data!B524-1)*100,"")</f>
        <v>0.84291187739462536</v>
      </c>
      <c r="C525" s="2">
        <f>IFERROR((Data!C525/Data!C524-1)*100,"")</f>
        <v>0.34928357809220767</v>
      </c>
      <c r="D525">
        <f t="shared" si="74"/>
        <v>0.17123548179695339</v>
      </c>
      <c r="E525">
        <f t="shared" si="75"/>
        <v>0.641493437542214</v>
      </c>
      <c r="P525" t="str" cm="1">
        <f t="array" ref="P525">_xlfn.IFS(
  AND(D525&gt;0,E525&gt;0),"Expansion",
  AND(D525&lt;0,E525&gt;0),"Slowdown",
  AND(D525&lt;0,E525&lt;0),"Contraction",
  AND(D525&gt;0,E525&lt;0),"Recovery",
  TRUE,"Undefined"
)</f>
        <v>Expansion</v>
      </c>
      <c r="Q525" t="str">
        <f t="shared" si="82"/>
        <v>Expansion</v>
      </c>
      <c r="R525">
        <f t="shared" si="76"/>
        <v>1</v>
      </c>
      <c r="S525">
        <f t="shared" si="77"/>
        <v>1</v>
      </c>
      <c r="T525">
        <f t="shared" si="78"/>
        <v>1</v>
      </c>
      <c r="U525">
        <f t="shared" si="79"/>
        <v>1</v>
      </c>
      <c r="V525" t="str" cm="1">
        <f t="array" ref="V525">_xlfn.IFS(
  AND(S525&gt;0,U525&gt;0),"Expansion",
  AND(S525&lt;0,U525&gt;0),"Slowdown",
  AND(S525&lt;0,U525&lt;0),"Contraction",
  AND(S525&gt;0,U525&lt;0),"Recovery",
  TRUE,"Undefined"
)</f>
        <v>Expansion</v>
      </c>
      <c r="W525">
        <f t="shared" si="80"/>
        <v>0</v>
      </c>
      <c r="X525">
        <f t="shared" si="81"/>
        <v>0</v>
      </c>
      <c r="Y525">
        <v>1</v>
      </c>
    </row>
    <row r="526" spans="1:25" x14ac:dyDescent="0.35">
      <c r="A526" s="1">
        <f>Data!A526</f>
        <v>33117</v>
      </c>
      <c r="B526" s="2">
        <f>IFERROR((Data!B526/Data!B525-1)*100,"")</f>
        <v>0.68389057750759541</v>
      </c>
      <c r="C526" s="2">
        <f>IFERROR((Data!C526/Data!C525-1)*100,"")</f>
        <v>7.6254021208255196E-3</v>
      </c>
      <c r="D526">
        <f t="shared" si="74"/>
        <v>6.0724834471296653E-2</v>
      </c>
      <c r="E526">
        <f t="shared" si="75"/>
        <v>0.6628987397787981</v>
      </c>
      <c r="P526" t="str" cm="1">
        <f t="array" ref="P526">_xlfn.IFS(
  AND(D526&gt;0,E526&gt;0),"Expansion",
  AND(D526&lt;0,E526&gt;0),"Slowdown",
  AND(D526&lt;0,E526&lt;0),"Contraction",
  AND(D526&gt;0,E526&lt;0),"Recovery",
  TRUE,"Undefined"
)</f>
        <v>Expansion</v>
      </c>
      <c r="Q526" t="str">
        <f t="shared" si="82"/>
        <v>Expansion</v>
      </c>
      <c r="R526">
        <f t="shared" si="76"/>
        <v>1</v>
      </c>
      <c r="S526">
        <f t="shared" si="77"/>
        <v>1</v>
      </c>
      <c r="T526">
        <f t="shared" si="78"/>
        <v>1</v>
      </c>
      <c r="U526">
        <f t="shared" si="79"/>
        <v>1</v>
      </c>
      <c r="V526" t="str" cm="1">
        <f t="array" ref="V526">_xlfn.IFS(
  AND(S526&gt;0,U526&gt;0),"Expansion",
  AND(S526&lt;0,U526&gt;0),"Slowdown",
  AND(S526&lt;0,U526&lt;0),"Contraction",
  AND(S526&gt;0,U526&lt;0),"Recovery",
  TRUE,"Undefined"
)</f>
        <v>Expansion</v>
      </c>
      <c r="W526">
        <f t="shared" si="80"/>
        <v>0</v>
      </c>
      <c r="X526">
        <f t="shared" si="81"/>
        <v>0</v>
      </c>
      <c r="Y526">
        <v>1</v>
      </c>
    </row>
    <row r="527" spans="1:25" x14ac:dyDescent="0.35">
      <c r="A527" s="1">
        <f>Data!A527</f>
        <v>33147</v>
      </c>
      <c r="B527" s="2">
        <f>IFERROR((Data!B527/Data!B526-1)*100,"")</f>
        <v>0.6792452830188811</v>
      </c>
      <c r="C527" s="2">
        <f>IFERROR((Data!C527/Data!C526-1)*100,"")</f>
        <v>-0.5842518859517476</v>
      </c>
      <c r="D527">
        <f t="shared" si="74"/>
        <v>-7.5780968579571464E-2</v>
      </c>
      <c r="E527">
        <f t="shared" si="75"/>
        <v>0.73534924597370066</v>
      </c>
      <c r="P527" t="str" cm="1">
        <f t="array" ref="P527">_xlfn.IFS(
  AND(D527&gt;0,E527&gt;0),"Expansion",
  AND(D527&lt;0,E527&gt;0),"Slowdown",
  AND(D527&lt;0,E527&lt;0),"Contraction",
  AND(D527&gt;0,E527&lt;0),"Recovery",
  TRUE,"Undefined"
)</f>
        <v>Slowdown</v>
      </c>
      <c r="Q527" t="str">
        <f t="shared" si="82"/>
        <v>Expansion</v>
      </c>
      <c r="R527">
        <f t="shared" si="76"/>
        <v>1</v>
      </c>
      <c r="S527">
        <f t="shared" si="77"/>
        <v>1</v>
      </c>
      <c r="T527">
        <f t="shared" si="78"/>
        <v>1</v>
      </c>
      <c r="U527">
        <f t="shared" si="79"/>
        <v>1</v>
      </c>
      <c r="V527" t="str" cm="1">
        <f t="array" ref="V527">_xlfn.IFS(
  AND(S527&gt;0,U527&gt;0),"Expansion",
  AND(S527&lt;0,U527&gt;0),"Slowdown",
  AND(S527&lt;0,U527&lt;0),"Contraction",
  AND(S527&gt;0,U527&lt;0),"Recovery",
  TRUE,"Undefined"
)</f>
        <v>Expansion</v>
      </c>
      <c r="W527">
        <f t="shared" si="80"/>
        <v>0</v>
      </c>
      <c r="X527">
        <f t="shared" si="81"/>
        <v>0</v>
      </c>
      <c r="Y527">
        <v>1</v>
      </c>
    </row>
    <row r="528" spans="1:25" x14ac:dyDescent="0.35">
      <c r="A528" s="1">
        <f>Data!A528</f>
        <v>33178</v>
      </c>
      <c r="B528" s="2">
        <f>IFERROR((Data!B528/Data!B527-1)*100,"")</f>
        <v>0.22488755622187551</v>
      </c>
      <c r="C528" s="2">
        <f>IFERROR((Data!C528/Data!C527-1)*100,"")</f>
        <v>-1.2715608497311681</v>
      </c>
      <c r="D528">
        <f t="shared" si="74"/>
        <v>-0.61606244452069669</v>
      </c>
      <c r="E528">
        <f t="shared" si="75"/>
        <v>0.52934113891611734</v>
      </c>
      <c r="P528" t="str" cm="1">
        <f t="array" ref="P528">_xlfn.IFS(
  AND(D528&gt;0,E528&gt;0),"Expansion",
  AND(D528&lt;0,E528&gt;0),"Slowdown",
  AND(D528&lt;0,E528&lt;0),"Contraction",
  AND(D528&gt;0,E528&lt;0),"Recovery",
  TRUE,"Undefined"
)</f>
        <v>Slowdown</v>
      </c>
      <c r="Q528" t="str">
        <f t="shared" si="82"/>
        <v>Expansion</v>
      </c>
      <c r="R528">
        <f t="shared" si="76"/>
        <v>-1</v>
      </c>
      <c r="S528">
        <f t="shared" si="77"/>
        <v>-1</v>
      </c>
      <c r="T528">
        <f t="shared" si="78"/>
        <v>1</v>
      </c>
      <c r="U528">
        <f t="shared" si="79"/>
        <v>1</v>
      </c>
      <c r="V528" t="str" cm="1">
        <f t="array" ref="V528">_xlfn.IFS(
  AND(S528&gt;0,U528&gt;0),"Expansion",
  AND(S528&lt;0,U528&gt;0),"Slowdown",
  AND(S528&lt;0,U528&lt;0),"Contraction",
  AND(S528&gt;0,U528&lt;0),"Recovery",
  TRUE,"Undefined"
)</f>
        <v>Slowdown</v>
      </c>
      <c r="W528">
        <f t="shared" si="80"/>
        <v>0</v>
      </c>
      <c r="X528">
        <f t="shared" si="81"/>
        <v>0</v>
      </c>
      <c r="Y528">
        <v>1</v>
      </c>
    </row>
    <row r="529" spans="1:25" x14ac:dyDescent="0.35">
      <c r="A529" s="1">
        <f>Data!A529</f>
        <v>33208</v>
      </c>
      <c r="B529" s="2">
        <f>IFERROR((Data!B529/Data!B528-1)*100,"")</f>
        <v>0.37397157816005944</v>
      </c>
      <c r="C529" s="2">
        <f>IFERROR((Data!C529/Data!C528-1)*100,"")</f>
        <v>-0.73395297198354248</v>
      </c>
      <c r="D529">
        <f t="shared" si="74"/>
        <v>-0.86325523588881936</v>
      </c>
      <c r="E529">
        <f t="shared" si="75"/>
        <v>0.42603480580027203</v>
      </c>
      <c r="P529" t="str" cm="1">
        <f t="array" ref="P529">_xlfn.IFS(
  AND(D529&gt;0,E529&gt;0),"Expansion",
  AND(D529&lt;0,E529&gt;0),"Slowdown",
  AND(D529&lt;0,E529&lt;0),"Contraction",
  AND(D529&gt;0,E529&lt;0),"Recovery",
  TRUE,"Undefined"
)</f>
        <v>Slowdown</v>
      </c>
      <c r="Q529" t="str">
        <f t="shared" si="82"/>
        <v>Slowdown</v>
      </c>
      <c r="R529">
        <f t="shared" si="76"/>
        <v>-1</v>
      </c>
      <c r="S529">
        <f t="shared" si="77"/>
        <v>-1</v>
      </c>
      <c r="T529">
        <f t="shared" si="78"/>
        <v>1</v>
      </c>
      <c r="U529">
        <f t="shared" si="79"/>
        <v>1</v>
      </c>
      <c r="V529" t="str" cm="1">
        <f t="array" ref="V529">_xlfn.IFS(
  AND(S529&gt;0,U529&gt;0),"Expansion",
  AND(S529&lt;0,U529&gt;0),"Slowdown",
  AND(S529&lt;0,U529&lt;0),"Contraction",
  AND(S529&gt;0,U529&lt;0),"Recovery",
  TRUE,"Undefined"
)</f>
        <v>Slowdown</v>
      </c>
      <c r="W529">
        <f t="shared" si="80"/>
        <v>0</v>
      </c>
      <c r="X529">
        <f t="shared" si="81"/>
        <v>0</v>
      </c>
      <c r="Y529">
        <v>1</v>
      </c>
    </row>
    <row r="530" spans="1:25" x14ac:dyDescent="0.35">
      <c r="A530" s="1">
        <f>Data!A530</f>
        <v>33239</v>
      </c>
      <c r="B530" s="2">
        <f>IFERROR((Data!B530/Data!B529-1)*100,"")</f>
        <v>0.37257824143070994</v>
      </c>
      <c r="C530" s="2">
        <f>IFERROR((Data!C530/Data!C529-1)*100,"")</f>
        <v>-0.32558791688948041</v>
      </c>
      <c r="D530">
        <f t="shared" si="74"/>
        <v>-0.77703391286806367</v>
      </c>
      <c r="E530">
        <f t="shared" si="75"/>
        <v>0.32381245860421498</v>
      </c>
      <c r="P530" t="str" cm="1">
        <f t="array" ref="P530">_xlfn.IFS(
  AND(D530&gt;0,E530&gt;0),"Expansion",
  AND(D530&lt;0,E530&gt;0),"Slowdown",
  AND(D530&lt;0,E530&lt;0),"Contraction",
  AND(D530&gt;0,E530&lt;0),"Recovery",
  TRUE,"Undefined"
)</f>
        <v>Slowdown</v>
      </c>
      <c r="Q530" t="str">
        <f t="shared" si="82"/>
        <v>Slowdown</v>
      </c>
      <c r="R530">
        <f t="shared" si="76"/>
        <v>-1</v>
      </c>
      <c r="S530">
        <f t="shared" si="77"/>
        <v>-1</v>
      </c>
      <c r="T530">
        <f t="shared" si="78"/>
        <v>1</v>
      </c>
      <c r="U530">
        <f t="shared" si="79"/>
        <v>1</v>
      </c>
      <c r="V530" t="str" cm="1">
        <f t="array" ref="V530">_xlfn.IFS(
  AND(S530&gt;0,U530&gt;0),"Expansion",
  AND(S530&lt;0,U530&gt;0),"Slowdown",
  AND(S530&lt;0,U530&lt;0),"Contraction",
  AND(S530&gt;0,U530&lt;0),"Recovery",
  TRUE,"Undefined"
)</f>
        <v>Slowdown</v>
      </c>
      <c r="W530">
        <f t="shared" si="80"/>
        <v>0</v>
      </c>
      <c r="X530">
        <f t="shared" si="81"/>
        <v>0</v>
      </c>
      <c r="Y530">
        <v>1</v>
      </c>
    </row>
    <row r="531" spans="1:25" x14ac:dyDescent="0.35">
      <c r="A531" s="1">
        <f>Data!A531</f>
        <v>33270</v>
      </c>
      <c r="B531" s="2">
        <f>IFERROR((Data!B531/Data!B530-1)*100,"")</f>
        <v>7.423904974017681E-2</v>
      </c>
      <c r="C531" s="2">
        <f>IFERROR((Data!C531/Data!C530-1)*100,"")</f>
        <v>-0.73885058599341136</v>
      </c>
      <c r="D531">
        <f t="shared" si="74"/>
        <v>-0.59946382495547812</v>
      </c>
      <c r="E531">
        <f t="shared" si="75"/>
        <v>0.27359628977698208</v>
      </c>
      <c r="P531" t="str" cm="1">
        <f t="array" ref="P531">_xlfn.IFS(
  AND(D531&gt;0,E531&gt;0),"Expansion",
  AND(D531&lt;0,E531&gt;0),"Slowdown",
  AND(D531&lt;0,E531&lt;0),"Contraction",
  AND(D531&gt;0,E531&lt;0),"Recovery",
  TRUE,"Undefined"
)</f>
        <v>Slowdown</v>
      </c>
      <c r="Q531" t="str">
        <f t="shared" si="82"/>
        <v>Slowdown</v>
      </c>
      <c r="R531">
        <f t="shared" si="76"/>
        <v>-1</v>
      </c>
      <c r="S531">
        <f t="shared" si="77"/>
        <v>-1</v>
      </c>
      <c r="T531">
        <f t="shared" si="78"/>
        <v>1</v>
      </c>
      <c r="U531">
        <f t="shared" si="79"/>
        <v>1</v>
      </c>
      <c r="V531" t="str" cm="1">
        <f t="array" ref="V531">_xlfn.IFS(
  AND(S531&gt;0,U531&gt;0),"Expansion",
  AND(S531&lt;0,U531&gt;0),"Slowdown",
  AND(S531&lt;0,U531&lt;0),"Contraction",
  AND(S531&gt;0,U531&lt;0),"Recovery",
  TRUE,"Undefined"
)</f>
        <v>Slowdown</v>
      </c>
      <c r="W531">
        <f t="shared" si="80"/>
        <v>0</v>
      </c>
      <c r="X531">
        <f t="shared" si="81"/>
        <v>0</v>
      </c>
      <c r="Y531">
        <v>1</v>
      </c>
    </row>
    <row r="532" spans="1:25" x14ac:dyDescent="0.35">
      <c r="A532" s="1">
        <f>Data!A532</f>
        <v>33298</v>
      </c>
      <c r="B532" s="2">
        <f>IFERROR((Data!B532/Data!B531-1)*100,"")</f>
        <v>0</v>
      </c>
      <c r="C532" s="2">
        <f>IFERROR((Data!C532/Data!C531-1)*100,"")</f>
        <v>-0.5754418806996231</v>
      </c>
      <c r="D532">
        <f t="shared" si="74"/>
        <v>-0.54662679452750496</v>
      </c>
      <c r="E532">
        <f t="shared" si="75"/>
        <v>0.14893909705696226</v>
      </c>
      <c r="P532" t="str" cm="1">
        <f t="array" ref="P532">_xlfn.IFS(
  AND(D532&gt;0,E532&gt;0),"Expansion",
  AND(D532&lt;0,E532&gt;0),"Slowdown",
  AND(D532&lt;0,E532&lt;0),"Contraction",
  AND(D532&gt;0,E532&lt;0),"Recovery",
  TRUE,"Undefined"
)</f>
        <v>Slowdown</v>
      </c>
      <c r="Q532" t="str">
        <f t="shared" si="82"/>
        <v>Slowdown</v>
      </c>
      <c r="R532">
        <f t="shared" si="76"/>
        <v>-1</v>
      </c>
      <c r="S532">
        <f t="shared" si="77"/>
        <v>-1</v>
      </c>
      <c r="T532">
        <f t="shared" si="78"/>
        <v>1</v>
      </c>
      <c r="U532">
        <f t="shared" si="79"/>
        <v>1</v>
      </c>
      <c r="V532" t="str" cm="1">
        <f t="array" ref="V532">_xlfn.IFS(
  AND(S532&gt;0,U532&gt;0),"Expansion",
  AND(S532&lt;0,U532&gt;0),"Slowdown",
  AND(S532&lt;0,U532&lt;0),"Contraction",
  AND(S532&gt;0,U532&lt;0),"Recovery",
  TRUE,"Undefined"
)</f>
        <v>Slowdown</v>
      </c>
      <c r="W532">
        <f t="shared" si="80"/>
        <v>0</v>
      </c>
      <c r="X532">
        <f t="shared" si="81"/>
        <v>0</v>
      </c>
      <c r="Y532">
        <v>1</v>
      </c>
    </row>
    <row r="533" spans="1:25" x14ac:dyDescent="0.35">
      <c r="A533" s="1">
        <f>Data!A533</f>
        <v>33329</v>
      </c>
      <c r="B533" s="2">
        <f>IFERROR((Data!B533/Data!B532-1)*100,"")</f>
        <v>0.2225519287833766</v>
      </c>
      <c r="C533" s="2">
        <f>IFERROR((Data!C533/Data!C532-1)*100,"")</f>
        <v>0.26386186367357567</v>
      </c>
      <c r="D533">
        <f t="shared" si="74"/>
        <v>-0.3501435343398196</v>
      </c>
      <c r="E533">
        <f t="shared" si="75"/>
        <v>9.8930326174517802E-2</v>
      </c>
      <c r="P533" t="str" cm="1">
        <f t="array" ref="P533">_xlfn.IFS(
  AND(D533&gt;0,E533&gt;0),"Expansion",
  AND(D533&lt;0,E533&gt;0),"Slowdown",
  AND(D533&lt;0,E533&lt;0),"Contraction",
  AND(D533&gt;0,E533&lt;0),"Recovery",
  TRUE,"Undefined"
)</f>
        <v>Slowdown</v>
      </c>
      <c r="Q533" t="str">
        <f t="shared" si="82"/>
        <v>Slowdown</v>
      </c>
      <c r="R533">
        <f t="shared" si="76"/>
        <v>-1</v>
      </c>
      <c r="S533">
        <f t="shared" si="77"/>
        <v>-1</v>
      </c>
      <c r="T533">
        <f t="shared" si="78"/>
        <v>1</v>
      </c>
      <c r="U533">
        <f t="shared" si="79"/>
        <v>1</v>
      </c>
      <c r="V533" t="str" cm="1">
        <f t="array" ref="V533">_xlfn.IFS(
  AND(S533&gt;0,U533&gt;0),"Expansion",
  AND(S533&lt;0,U533&gt;0),"Slowdown",
  AND(S533&lt;0,U533&lt;0),"Contraction",
  AND(S533&gt;0,U533&lt;0),"Recovery",
  TRUE,"Undefined"
)</f>
        <v>Slowdown</v>
      </c>
      <c r="W533">
        <f t="shared" si="80"/>
        <v>0</v>
      </c>
      <c r="X533">
        <f t="shared" si="81"/>
        <v>0</v>
      </c>
      <c r="Y533">
        <v>0</v>
      </c>
    </row>
    <row r="534" spans="1:25" x14ac:dyDescent="0.35">
      <c r="A534" s="1">
        <f>Data!A534</f>
        <v>33359</v>
      </c>
      <c r="B534" s="2">
        <f>IFERROR((Data!B534/Data!B533-1)*100,"")</f>
        <v>0.37009622501851247</v>
      </c>
      <c r="C534" s="2">
        <f>IFERROR((Data!C534/Data!C533-1)*100,"")</f>
        <v>0.9414187900247617</v>
      </c>
      <c r="D534">
        <f t="shared" si="74"/>
        <v>0.20994625766623809</v>
      </c>
      <c r="E534">
        <f t="shared" si="75"/>
        <v>0.19754938460062968</v>
      </c>
      <c r="P534" t="str" cm="1">
        <f t="array" ref="P534">_xlfn.IFS(
  AND(D534&gt;0,E534&gt;0),"Expansion",
  AND(D534&lt;0,E534&gt;0),"Slowdown",
  AND(D534&lt;0,E534&lt;0),"Contraction",
  AND(D534&gt;0,E534&lt;0),"Recovery",
  TRUE,"Undefined"
)</f>
        <v>Expansion</v>
      </c>
      <c r="Q534" t="str">
        <f t="shared" si="82"/>
        <v>Slowdown</v>
      </c>
      <c r="R534">
        <f t="shared" si="76"/>
        <v>1</v>
      </c>
      <c r="S534">
        <f t="shared" si="77"/>
        <v>1</v>
      </c>
      <c r="T534">
        <f t="shared" si="78"/>
        <v>1</v>
      </c>
      <c r="U534">
        <f t="shared" si="79"/>
        <v>1</v>
      </c>
      <c r="V534" t="str" cm="1">
        <f t="array" ref="V534">_xlfn.IFS(
  AND(S534&gt;0,U534&gt;0),"Expansion",
  AND(S534&lt;0,U534&gt;0),"Slowdown",
  AND(S534&lt;0,U534&lt;0),"Contraction",
  AND(S534&gt;0,U534&lt;0),"Recovery",
  TRUE,"Undefined"
)</f>
        <v>Expansion</v>
      </c>
      <c r="W534">
        <f t="shared" si="80"/>
        <v>0</v>
      </c>
      <c r="X534">
        <f t="shared" si="81"/>
        <v>0</v>
      </c>
      <c r="Y534">
        <v>0</v>
      </c>
    </row>
    <row r="535" spans="1:25" x14ac:dyDescent="0.35">
      <c r="A535" s="1">
        <f>Data!A535</f>
        <v>33390</v>
      </c>
      <c r="B535" s="2">
        <f>IFERROR((Data!B535/Data!B534-1)*100,"")</f>
        <v>0.29498525073747839</v>
      </c>
      <c r="C535" s="2">
        <f>IFERROR((Data!C535/Data!C534-1)*100,"")</f>
        <v>0.81030668175483545</v>
      </c>
      <c r="D535">
        <f t="shared" si="74"/>
        <v>0.67186244515105764</v>
      </c>
      <c r="E535">
        <f t="shared" si="75"/>
        <v>0.29587780151312248</v>
      </c>
      <c r="P535" t="str" cm="1">
        <f t="array" ref="P535">_xlfn.IFS(
  AND(D535&gt;0,E535&gt;0),"Expansion",
  AND(D535&lt;0,E535&gt;0),"Slowdown",
  AND(D535&lt;0,E535&lt;0),"Contraction",
  AND(D535&gt;0,E535&lt;0),"Recovery",
  TRUE,"Undefined"
)</f>
        <v>Expansion</v>
      </c>
      <c r="Q535" t="str">
        <f t="shared" si="82"/>
        <v>Slowdown</v>
      </c>
      <c r="R535">
        <f t="shared" si="76"/>
        <v>1</v>
      </c>
      <c r="S535">
        <f t="shared" si="77"/>
        <v>1</v>
      </c>
      <c r="T535">
        <f t="shared" si="78"/>
        <v>1</v>
      </c>
      <c r="U535">
        <f t="shared" si="79"/>
        <v>1</v>
      </c>
      <c r="V535" t="str" cm="1">
        <f t="array" ref="V535">_xlfn.IFS(
  AND(S535&gt;0,U535&gt;0),"Expansion",
  AND(S535&lt;0,U535&gt;0),"Slowdown",
  AND(S535&lt;0,U535&lt;0),"Contraction",
  AND(S535&gt;0,U535&lt;0),"Recovery",
  TRUE,"Undefined"
)</f>
        <v>Expansion</v>
      </c>
      <c r="W535">
        <f t="shared" si="80"/>
        <v>0</v>
      </c>
      <c r="X535">
        <f t="shared" si="81"/>
        <v>0</v>
      </c>
      <c r="Y535">
        <v>0</v>
      </c>
    </row>
    <row r="536" spans="1:25" x14ac:dyDescent="0.35">
      <c r="A536" s="1">
        <f>Data!A536</f>
        <v>33420</v>
      </c>
      <c r="B536" s="2">
        <f>IFERROR((Data!B536/Data!B535-1)*100,"")</f>
        <v>0.14705882352941124</v>
      </c>
      <c r="C536" s="2">
        <f>IFERROR((Data!C536/Data!C535-1)*100,"")</f>
        <v>0.28006062565282264</v>
      </c>
      <c r="D536">
        <f t="shared" si="74"/>
        <v>0.6772620324774733</v>
      </c>
      <c r="E536">
        <f t="shared" si="75"/>
        <v>0.27071343309513402</v>
      </c>
      <c r="P536" t="str" cm="1">
        <f t="array" ref="P536">_xlfn.IFS(
  AND(D536&gt;0,E536&gt;0),"Expansion",
  AND(D536&lt;0,E536&gt;0),"Slowdown",
  AND(D536&lt;0,E536&lt;0),"Contraction",
  AND(D536&gt;0,E536&lt;0),"Recovery",
  TRUE,"Undefined"
)</f>
        <v>Expansion</v>
      </c>
      <c r="Q536" t="str">
        <f t="shared" si="82"/>
        <v>Expansion</v>
      </c>
      <c r="R536">
        <f t="shared" si="76"/>
        <v>1</v>
      </c>
      <c r="S536">
        <f t="shared" si="77"/>
        <v>1</v>
      </c>
      <c r="T536">
        <f t="shared" si="78"/>
        <v>1</v>
      </c>
      <c r="U536">
        <f t="shared" si="79"/>
        <v>1</v>
      </c>
      <c r="V536" t="str" cm="1">
        <f t="array" ref="V536">_xlfn.IFS(
  AND(S536&gt;0,U536&gt;0),"Expansion",
  AND(S536&lt;0,U536&gt;0),"Slowdown",
  AND(S536&lt;0,U536&lt;0),"Contraction",
  AND(S536&gt;0,U536&lt;0),"Recovery",
  TRUE,"Undefined"
)</f>
        <v>Expansion</v>
      </c>
      <c r="W536">
        <f t="shared" si="80"/>
        <v>0</v>
      </c>
      <c r="X536">
        <f t="shared" si="81"/>
        <v>0</v>
      </c>
      <c r="Y536">
        <v>0</v>
      </c>
    </row>
    <row r="537" spans="1:25" x14ac:dyDescent="0.35">
      <c r="A537" s="1">
        <f>Data!A537</f>
        <v>33451</v>
      </c>
      <c r="B537" s="2">
        <f>IFERROR((Data!B537/Data!B536-1)*100,"")</f>
        <v>0.2936857562408246</v>
      </c>
      <c r="C537" s="2">
        <f>IFERROR((Data!C537/Data!C536-1)*100,"")</f>
        <v>-1.1339613319227837E-3</v>
      </c>
      <c r="D537">
        <f t="shared" si="74"/>
        <v>0.3630777820252451</v>
      </c>
      <c r="E537">
        <f t="shared" si="75"/>
        <v>0.24524327683590474</v>
      </c>
      <c r="P537" t="str" cm="1">
        <f t="array" ref="P537">_xlfn.IFS(
  AND(D537&gt;0,E537&gt;0),"Expansion",
  AND(D537&lt;0,E537&gt;0),"Slowdown",
  AND(D537&lt;0,E537&lt;0),"Contraction",
  AND(D537&gt;0,E537&lt;0),"Recovery",
  TRUE,"Undefined"
)</f>
        <v>Expansion</v>
      </c>
      <c r="Q537" t="str">
        <f t="shared" si="82"/>
        <v>Expansion</v>
      </c>
      <c r="R537">
        <f t="shared" si="76"/>
        <v>1</v>
      </c>
      <c r="S537">
        <f t="shared" si="77"/>
        <v>1</v>
      </c>
      <c r="T537">
        <f t="shared" si="78"/>
        <v>1</v>
      </c>
      <c r="U537">
        <f t="shared" si="79"/>
        <v>1</v>
      </c>
      <c r="V537" t="str" cm="1">
        <f t="array" ref="V537">_xlfn.IFS(
  AND(S537&gt;0,U537&gt;0),"Expansion",
  AND(S537&lt;0,U537&gt;0),"Slowdown",
  AND(S537&lt;0,U537&lt;0),"Contraction",
  AND(S537&gt;0,U537&lt;0),"Recovery",
  TRUE,"Undefined"
)</f>
        <v>Expansion</v>
      </c>
      <c r="W537">
        <f t="shared" si="80"/>
        <v>0</v>
      </c>
      <c r="X537">
        <f t="shared" si="81"/>
        <v>0</v>
      </c>
      <c r="Y537">
        <v>0</v>
      </c>
    </row>
    <row r="538" spans="1:25" x14ac:dyDescent="0.35">
      <c r="A538" s="1">
        <f>Data!A538</f>
        <v>33482</v>
      </c>
      <c r="B538" s="2">
        <f>IFERROR((Data!B538/Data!B537-1)*100,"")</f>
        <v>0.29282576866764831</v>
      </c>
      <c r="C538" s="2">
        <f>IFERROR((Data!C538/Data!C537-1)*100,"")</f>
        <v>0.79329594458430464</v>
      </c>
      <c r="D538">
        <f t="shared" si="74"/>
        <v>0.35740753630173483</v>
      </c>
      <c r="E538">
        <f t="shared" si="75"/>
        <v>0.24452344947929472</v>
      </c>
      <c r="P538" t="str" cm="1">
        <f t="array" ref="P538">_xlfn.IFS(
  AND(D538&gt;0,E538&gt;0),"Expansion",
  AND(D538&lt;0,E538&gt;0),"Slowdown",
  AND(D538&lt;0,E538&lt;0),"Contraction",
  AND(D538&gt;0,E538&lt;0),"Recovery",
  TRUE,"Undefined"
)</f>
        <v>Expansion</v>
      </c>
      <c r="Q538" t="str">
        <f t="shared" si="82"/>
        <v>Expansion</v>
      </c>
      <c r="R538">
        <f t="shared" si="76"/>
        <v>1</v>
      </c>
      <c r="S538">
        <f t="shared" si="77"/>
        <v>1</v>
      </c>
      <c r="T538">
        <f t="shared" si="78"/>
        <v>1</v>
      </c>
      <c r="U538">
        <f t="shared" si="79"/>
        <v>1</v>
      </c>
      <c r="V538" t="str" cm="1">
        <f t="array" ref="V538">_xlfn.IFS(
  AND(S538&gt;0,U538&gt;0),"Expansion",
  AND(S538&lt;0,U538&gt;0),"Slowdown",
  AND(S538&lt;0,U538&lt;0),"Contraction",
  AND(S538&gt;0,U538&lt;0),"Recovery",
  TRUE,"Undefined"
)</f>
        <v>Expansion</v>
      </c>
      <c r="W538">
        <f t="shared" si="80"/>
        <v>0</v>
      </c>
      <c r="X538">
        <f t="shared" si="81"/>
        <v>0</v>
      </c>
      <c r="Y538">
        <v>0</v>
      </c>
    </row>
    <row r="539" spans="1:25" x14ac:dyDescent="0.35">
      <c r="A539" s="1">
        <f>Data!A539</f>
        <v>33512</v>
      </c>
      <c r="B539" s="2">
        <f>IFERROR((Data!B539/Data!B538-1)*100,"")</f>
        <v>0.14598540145984717</v>
      </c>
      <c r="C539" s="2">
        <f>IFERROR((Data!C539/Data!C538-1)*100,"")</f>
        <v>-5.4645247872453506E-2</v>
      </c>
      <c r="D539">
        <f t="shared" si="74"/>
        <v>0.24583891179330944</v>
      </c>
      <c r="E539">
        <f t="shared" si="75"/>
        <v>0.24416564212277336</v>
      </c>
      <c r="P539" t="str" cm="1">
        <f t="array" ref="P539">_xlfn.IFS(
  AND(D539&gt;0,E539&gt;0),"Expansion",
  AND(D539&lt;0,E539&gt;0),"Slowdown",
  AND(D539&lt;0,E539&lt;0),"Contraction",
  AND(D539&gt;0,E539&lt;0),"Recovery",
  TRUE,"Undefined"
)</f>
        <v>Expansion</v>
      </c>
      <c r="Q539" t="str">
        <f t="shared" si="82"/>
        <v>Expansion</v>
      </c>
      <c r="R539">
        <f t="shared" si="76"/>
        <v>1</v>
      </c>
      <c r="S539">
        <f t="shared" si="77"/>
        <v>1</v>
      </c>
      <c r="T539">
        <f t="shared" si="78"/>
        <v>1</v>
      </c>
      <c r="U539">
        <f t="shared" si="79"/>
        <v>1</v>
      </c>
      <c r="V539" t="str" cm="1">
        <f t="array" ref="V539">_xlfn.IFS(
  AND(S539&gt;0,U539&gt;0),"Expansion",
  AND(S539&lt;0,U539&gt;0),"Slowdown",
  AND(S539&lt;0,U539&lt;0),"Contraction",
  AND(S539&gt;0,U539&lt;0),"Recovery",
  TRUE,"Undefined"
)</f>
        <v>Expansion</v>
      </c>
      <c r="W539">
        <f t="shared" si="80"/>
        <v>0</v>
      </c>
      <c r="X539">
        <f t="shared" si="81"/>
        <v>0</v>
      </c>
      <c r="Y539">
        <v>0</v>
      </c>
    </row>
    <row r="540" spans="1:25" x14ac:dyDescent="0.35">
      <c r="A540" s="1">
        <f>Data!A540</f>
        <v>33543</v>
      </c>
      <c r="B540" s="2">
        <f>IFERROR((Data!B540/Data!B539-1)*100,"")</f>
        <v>0.43731778425657453</v>
      </c>
      <c r="C540" s="2">
        <f>IFERROR((Data!C540/Data!C539-1)*100,"")</f>
        <v>-0.15823624478374931</v>
      </c>
      <c r="D540">
        <f t="shared" si="74"/>
        <v>0.19347148397603395</v>
      </c>
      <c r="E540">
        <f t="shared" si="75"/>
        <v>0.29204298479468999</v>
      </c>
      <c r="P540" t="str" cm="1">
        <f t="array" ref="P540">_xlfn.IFS(
  AND(D540&gt;0,E540&gt;0),"Expansion",
  AND(D540&lt;0,E540&gt;0),"Slowdown",
  AND(D540&lt;0,E540&lt;0),"Contraction",
  AND(D540&gt;0,E540&lt;0),"Recovery",
  TRUE,"Undefined"
)</f>
        <v>Expansion</v>
      </c>
      <c r="Q540" t="str">
        <f t="shared" si="82"/>
        <v>Expansion</v>
      </c>
      <c r="R540">
        <f t="shared" si="76"/>
        <v>1</v>
      </c>
      <c r="S540">
        <f t="shared" si="77"/>
        <v>1</v>
      </c>
      <c r="T540">
        <f t="shared" si="78"/>
        <v>1</v>
      </c>
      <c r="U540">
        <f t="shared" si="79"/>
        <v>1</v>
      </c>
      <c r="V540" t="str" cm="1">
        <f t="array" ref="V540">_xlfn.IFS(
  AND(S540&gt;0,U540&gt;0),"Expansion",
  AND(S540&lt;0,U540&gt;0),"Slowdown",
  AND(S540&lt;0,U540&lt;0),"Contraction",
  AND(S540&gt;0,U540&lt;0),"Recovery",
  TRUE,"Undefined"
)</f>
        <v>Expansion</v>
      </c>
      <c r="W540">
        <f t="shared" si="80"/>
        <v>0</v>
      </c>
      <c r="X540">
        <f t="shared" si="81"/>
        <v>0</v>
      </c>
      <c r="Y540">
        <v>0</v>
      </c>
    </row>
    <row r="541" spans="1:25" x14ac:dyDescent="0.35">
      <c r="A541" s="1">
        <f>Data!A541</f>
        <v>33573</v>
      </c>
      <c r="B541" s="2">
        <f>IFERROR((Data!B541/Data!B540-1)*100,"")</f>
        <v>0.29027576197386828</v>
      </c>
      <c r="C541" s="2">
        <f>IFERROR((Data!C541/Data!C540-1)*100,"")</f>
        <v>-0.48625237770808516</v>
      </c>
      <c r="D541">
        <f t="shared" si="74"/>
        <v>-0.23304462345476265</v>
      </c>
      <c r="E541">
        <f t="shared" si="75"/>
        <v>0.29119298256343001</v>
      </c>
      <c r="P541" t="str" cm="1">
        <f t="array" ref="P541">_xlfn.IFS(
  AND(D541&gt;0,E541&gt;0),"Expansion",
  AND(D541&lt;0,E541&gt;0),"Slowdown",
  AND(D541&lt;0,E541&lt;0),"Contraction",
  AND(D541&gt;0,E541&lt;0),"Recovery",
  TRUE,"Undefined"
)</f>
        <v>Slowdown</v>
      </c>
      <c r="Q541" t="str">
        <f t="shared" si="82"/>
        <v>Expansion</v>
      </c>
      <c r="R541">
        <f t="shared" si="76"/>
        <v>1</v>
      </c>
      <c r="S541">
        <f t="shared" si="77"/>
        <v>1</v>
      </c>
      <c r="T541">
        <f t="shared" si="78"/>
        <v>1</v>
      </c>
      <c r="U541">
        <f t="shared" si="79"/>
        <v>1</v>
      </c>
      <c r="V541" t="str" cm="1">
        <f t="array" ref="V541">_xlfn.IFS(
  AND(S541&gt;0,U541&gt;0),"Expansion",
  AND(S541&lt;0,U541&gt;0),"Slowdown",
  AND(S541&lt;0,U541&lt;0),"Contraction",
  AND(S541&gt;0,U541&lt;0),"Recovery",
  TRUE,"Undefined"
)</f>
        <v>Expansion</v>
      </c>
      <c r="W541">
        <f t="shared" si="80"/>
        <v>0</v>
      </c>
      <c r="X541">
        <f t="shared" si="81"/>
        <v>0</v>
      </c>
      <c r="Y541">
        <v>0</v>
      </c>
    </row>
    <row r="542" spans="1:25" x14ac:dyDescent="0.35">
      <c r="A542" s="1">
        <f>Data!A542</f>
        <v>33604</v>
      </c>
      <c r="B542" s="2">
        <f>IFERROR((Data!B542/Data!B541-1)*100,"")</f>
        <v>7.2358900144742222E-2</v>
      </c>
      <c r="C542" s="2">
        <f>IFERROR((Data!C542/Data!C541-1)*100,"")</f>
        <v>-0.52375002427766937</v>
      </c>
      <c r="D542">
        <f t="shared" si="74"/>
        <v>-0.38941288225650128</v>
      </c>
      <c r="E542">
        <f t="shared" si="75"/>
        <v>0.26665081545839503</v>
      </c>
      <c r="P542" t="str" cm="1">
        <f t="array" ref="P542">_xlfn.IFS(
  AND(D542&gt;0,E542&gt;0),"Expansion",
  AND(D542&lt;0,E542&gt;0),"Slowdown",
  AND(D542&lt;0,E542&lt;0),"Contraction",
  AND(D542&gt;0,E542&lt;0),"Recovery",
  TRUE,"Undefined"
)</f>
        <v>Slowdown</v>
      </c>
      <c r="Q542" t="str">
        <f t="shared" si="82"/>
        <v>Expansion</v>
      </c>
      <c r="R542">
        <f t="shared" si="76"/>
        <v>-1</v>
      </c>
      <c r="S542">
        <f t="shared" si="77"/>
        <v>-1</v>
      </c>
      <c r="T542">
        <f t="shared" si="78"/>
        <v>1</v>
      </c>
      <c r="U542">
        <f t="shared" si="79"/>
        <v>1</v>
      </c>
      <c r="V542" t="str" cm="1">
        <f t="array" ref="V542">_xlfn.IFS(
  AND(S542&gt;0,U542&gt;0),"Expansion",
  AND(S542&lt;0,U542&gt;0),"Slowdown",
  AND(S542&lt;0,U542&lt;0),"Contraction",
  AND(S542&gt;0,U542&lt;0),"Recovery",
  TRUE,"Undefined"
)</f>
        <v>Slowdown</v>
      </c>
      <c r="W542">
        <f t="shared" si="80"/>
        <v>0</v>
      </c>
      <c r="X542">
        <f t="shared" si="81"/>
        <v>0</v>
      </c>
      <c r="Y542">
        <v>0</v>
      </c>
    </row>
    <row r="543" spans="1:25" x14ac:dyDescent="0.35">
      <c r="A543" s="1">
        <f>Data!A543</f>
        <v>33635</v>
      </c>
      <c r="B543" s="2">
        <f>IFERROR((Data!B543/Data!B542-1)*100,"")</f>
        <v>0.21691973969630851</v>
      </c>
      <c r="C543" s="2">
        <f>IFERROR((Data!C543/Data!C542-1)*100,"")</f>
        <v>0.70596925560024726</v>
      </c>
      <c r="D543">
        <f t="shared" si="74"/>
        <v>-0.10134438212850243</v>
      </c>
      <c r="E543">
        <f t="shared" si="75"/>
        <v>0.19318480060497301</v>
      </c>
      <c r="P543" t="str" cm="1">
        <f t="array" ref="P543">_xlfn.IFS(
  AND(D543&gt;0,E543&gt;0),"Expansion",
  AND(D543&lt;0,E543&gt;0),"Slowdown",
  AND(D543&lt;0,E543&lt;0),"Contraction",
  AND(D543&gt;0,E543&lt;0),"Recovery",
  TRUE,"Undefined"
)</f>
        <v>Slowdown</v>
      </c>
      <c r="Q543" t="str">
        <f t="shared" si="82"/>
        <v>Slowdown</v>
      </c>
      <c r="R543">
        <f t="shared" si="76"/>
        <v>1</v>
      </c>
      <c r="S543">
        <f t="shared" si="77"/>
        <v>1</v>
      </c>
      <c r="T543">
        <f t="shared" si="78"/>
        <v>1</v>
      </c>
      <c r="U543">
        <f t="shared" si="79"/>
        <v>1</v>
      </c>
      <c r="V543" t="str" cm="1">
        <f t="array" ref="V543">_xlfn.IFS(
  AND(S543&gt;0,U543&gt;0),"Expansion",
  AND(S543&lt;0,U543&gt;0),"Slowdown",
  AND(S543&lt;0,U543&lt;0),"Contraction",
  AND(S543&gt;0,U543&lt;0),"Recovery",
  TRUE,"Undefined"
)</f>
        <v>Expansion</v>
      </c>
      <c r="W543">
        <f t="shared" si="80"/>
        <v>0</v>
      </c>
      <c r="X543">
        <f t="shared" si="81"/>
        <v>0</v>
      </c>
      <c r="Y543">
        <v>0</v>
      </c>
    </row>
    <row r="544" spans="1:25" x14ac:dyDescent="0.35">
      <c r="A544" s="1">
        <f>Data!A544</f>
        <v>33664</v>
      </c>
      <c r="B544" s="2">
        <f>IFERROR((Data!B544/Data!B543-1)*100,"")</f>
        <v>0.36075036075036149</v>
      </c>
      <c r="C544" s="2">
        <f>IFERROR((Data!C544/Data!C543-1)*100,"")</f>
        <v>0.85256601853123115</v>
      </c>
      <c r="D544">
        <f t="shared" si="74"/>
        <v>0.34492841661793633</v>
      </c>
      <c r="E544">
        <f t="shared" si="75"/>
        <v>0.21667633353047075</v>
      </c>
      <c r="P544" t="str" cm="1">
        <f t="array" ref="P544">_xlfn.IFS(
  AND(D544&gt;0,E544&gt;0),"Expansion",
  AND(D544&lt;0,E544&gt;0),"Slowdown",
  AND(D544&lt;0,E544&lt;0),"Contraction",
  AND(D544&gt;0,E544&lt;0),"Recovery",
  TRUE,"Undefined"
)</f>
        <v>Expansion</v>
      </c>
      <c r="Q544" t="str">
        <f t="shared" si="82"/>
        <v>Slowdown</v>
      </c>
      <c r="R544">
        <f t="shared" si="76"/>
        <v>1</v>
      </c>
      <c r="S544">
        <f t="shared" si="77"/>
        <v>1</v>
      </c>
      <c r="T544">
        <f t="shared" si="78"/>
        <v>1</v>
      </c>
      <c r="U544">
        <f t="shared" si="79"/>
        <v>1</v>
      </c>
      <c r="V544" t="str" cm="1">
        <f t="array" ref="V544">_xlfn.IFS(
  AND(S544&gt;0,U544&gt;0),"Expansion",
  AND(S544&lt;0,U544&gt;0),"Slowdown",
  AND(S544&lt;0,U544&lt;0),"Contraction",
  AND(S544&gt;0,U544&lt;0),"Recovery",
  TRUE,"Undefined"
)</f>
        <v>Expansion</v>
      </c>
      <c r="W544">
        <f t="shared" si="80"/>
        <v>0</v>
      </c>
      <c r="X544">
        <f t="shared" si="81"/>
        <v>0</v>
      </c>
      <c r="Y544">
        <v>0</v>
      </c>
    </row>
    <row r="545" spans="1:25" x14ac:dyDescent="0.35">
      <c r="A545" s="1">
        <f>Data!A545</f>
        <v>33695</v>
      </c>
      <c r="B545" s="2">
        <f>IFERROR((Data!B545/Data!B544-1)*100,"")</f>
        <v>0.21567217828901697</v>
      </c>
      <c r="C545" s="2">
        <f>IFERROR((Data!C545/Data!C544-1)*100,"")</f>
        <v>0.75901267477476164</v>
      </c>
      <c r="D545">
        <f t="shared" si="74"/>
        <v>0.77251598296874668</v>
      </c>
      <c r="E545">
        <f t="shared" si="75"/>
        <v>0.26444742624522899</v>
      </c>
      <c r="P545" t="str" cm="1">
        <f t="array" ref="P545">_xlfn.IFS(
  AND(D545&gt;0,E545&gt;0),"Expansion",
  AND(D545&lt;0,E545&gt;0),"Slowdown",
  AND(D545&lt;0,E545&lt;0),"Contraction",
  AND(D545&gt;0,E545&lt;0),"Recovery",
  TRUE,"Undefined"
)</f>
        <v>Expansion</v>
      </c>
      <c r="Q545" t="str">
        <f t="shared" si="82"/>
        <v>Slowdown</v>
      </c>
      <c r="R545">
        <f t="shared" si="76"/>
        <v>1</v>
      </c>
      <c r="S545">
        <f t="shared" si="77"/>
        <v>1</v>
      </c>
      <c r="T545">
        <f t="shared" si="78"/>
        <v>1</v>
      </c>
      <c r="U545">
        <f t="shared" si="79"/>
        <v>1</v>
      </c>
      <c r="V545" t="str" cm="1">
        <f t="array" ref="V545">_xlfn.IFS(
  AND(S545&gt;0,U545&gt;0),"Expansion",
  AND(S545&lt;0,U545&gt;0),"Slowdown",
  AND(S545&lt;0,U545&lt;0),"Contraction",
  AND(S545&gt;0,U545&lt;0),"Recovery",
  TRUE,"Undefined"
)</f>
        <v>Expansion</v>
      </c>
      <c r="W545">
        <f t="shared" si="80"/>
        <v>0</v>
      </c>
      <c r="X545">
        <f t="shared" si="81"/>
        <v>0</v>
      </c>
      <c r="Y545">
        <v>0</v>
      </c>
    </row>
    <row r="546" spans="1:25" x14ac:dyDescent="0.35">
      <c r="A546" s="1">
        <f>Data!A546</f>
        <v>33725</v>
      </c>
      <c r="B546" s="2">
        <f>IFERROR((Data!B546/Data!B545-1)*100,"")</f>
        <v>0.21520803443326741</v>
      </c>
      <c r="C546" s="2">
        <f>IFERROR((Data!C546/Data!C545-1)*100,"")</f>
        <v>0.32910949647837473</v>
      </c>
      <c r="D546">
        <f t="shared" si="74"/>
        <v>0.64689606326145588</v>
      </c>
      <c r="E546">
        <f t="shared" si="75"/>
        <v>0.26387685782421527</v>
      </c>
      <c r="P546" t="str" cm="1">
        <f t="array" ref="P546">_xlfn.IFS(
  AND(D546&gt;0,E546&gt;0),"Expansion",
  AND(D546&lt;0,E546&gt;0),"Slowdown",
  AND(D546&lt;0,E546&lt;0),"Contraction",
  AND(D546&gt;0,E546&lt;0),"Recovery",
  TRUE,"Undefined"
)</f>
        <v>Expansion</v>
      </c>
      <c r="Q546" t="str">
        <f t="shared" si="82"/>
        <v>Expansion</v>
      </c>
      <c r="R546">
        <f t="shared" si="76"/>
        <v>1</v>
      </c>
      <c r="S546">
        <f t="shared" si="77"/>
        <v>1</v>
      </c>
      <c r="T546">
        <f t="shared" si="78"/>
        <v>1</v>
      </c>
      <c r="U546">
        <f t="shared" si="79"/>
        <v>1</v>
      </c>
      <c r="V546" t="str" cm="1">
        <f t="array" ref="V546">_xlfn.IFS(
  AND(S546&gt;0,U546&gt;0),"Expansion",
  AND(S546&lt;0,U546&gt;0),"Slowdown",
  AND(S546&lt;0,U546&lt;0),"Contraction",
  AND(S546&gt;0,U546&lt;0),"Recovery",
  TRUE,"Undefined"
)</f>
        <v>Expansion</v>
      </c>
      <c r="W546">
        <f t="shared" si="80"/>
        <v>0</v>
      </c>
      <c r="X546">
        <f t="shared" si="81"/>
        <v>0</v>
      </c>
      <c r="Y546">
        <v>0</v>
      </c>
    </row>
    <row r="547" spans="1:25" x14ac:dyDescent="0.35">
      <c r="A547" s="1">
        <f>Data!A547</f>
        <v>33756</v>
      </c>
      <c r="B547" s="2">
        <f>IFERROR((Data!B547/Data!B546-1)*100,"")</f>
        <v>0.28632784538296097</v>
      </c>
      <c r="C547" s="2">
        <f>IFERROR((Data!C547/Data!C546-1)*100,"")</f>
        <v>5.1185344827575641E-2</v>
      </c>
      <c r="D547">
        <f t="shared" si="74"/>
        <v>0.37976917202690402</v>
      </c>
      <c r="E547">
        <f t="shared" si="75"/>
        <v>0.23906935270174845</v>
      </c>
      <c r="P547" t="str" cm="1">
        <f t="array" ref="P547">_xlfn.IFS(
  AND(D547&gt;0,E547&gt;0),"Expansion",
  AND(D547&lt;0,E547&gt;0),"Slowdown",
  AND(D547&lt;0,E547&lt;0),"Contraction",
  AND(D547&gt;0,E547&lt;0),"Recovery",
  TRUE,"Undefined"
)</f>
        <v>Expansion</v>
      </c>
      <c r="Q547" t="str">
        <f t="shared" si="82"/>
        <v>Expansion</v>
      </c>
      <c r="R547">
        <f t="shared" si="76"/>
        <v>1</v>
      </c>
      <c r="S547">
        <f t="shared" si="77"/>
        <v>1</v>
      </c>
      <c r="T547">
        <f t="shared" si="78"/>
        <v>1</v>
      </c>
      <c r="U547">
        <f t="shared" si="79"/>
        <v>1</v>
      </c>
      <c r="V547" t="str" cm="1">
        <f t="array" ref="V547">_xlfn.IFS(
  AND(S547&gt;0,U547&gt;0),"Expansion",
  AND(S547&lt;0,U547&gt;0),"Slowdown",
  AND(S547&lt;0,U547&lt;0),"Contraction",
  AND(S547&gt;0,U547&lt;0),"Recovery",
  TRUE,"Undefined"
)</f>
        <v>Expansion</v>
      </c>
      <c r="W547">
        <f t="shared" si="80"/>
        <v>0</v>
      </c>
      <c r="X547">
        <f t="shared" si="81"/>
        <v>0</v>
      </c>
      <c r="Y547">
        <v>0</v>
      </c>
    </row>
    <row r="548" spans="1:25" x14ac:dyDescent="0.35">
      <c r="A548" s="1">
        <f>Data!A548</f>
        <v>33786</v>
      </c>
      <c r="B548" s="2">
        <f>IFERROR((Data!B548/Data!B547-1)*100,"")</f>
        <v>0.2855103497501732</v>
      </c>
      <c r="C548" s="2">
        <f>IFERROR((Data!C548/Data!C547-1)*100,"")</f>
        <v>0.9207064715544</v>
      </c>
      <c r="D548">
        <f t="shared" si="74"/>
        <v>0.43366710428678346</v>
      </c>
      <c r="E548">
        <f t="shared" si="75"/>
        <v>0.26234874318880053</v>
      </c>
      <c r="P548" t="str" cm="1">
        <f t="array" ref="P548">_xlfn.IFS(
  AND(D548&gt;0,E548&gt;0),"Expansion",
  AND(D548&lt;0,E548&gt;0),"Slowdown",
  AND(D548&lt;0,E548&lt;0),"Contraction",
  AND(D548&gt;0,E548&lt;0),"Recovery",
  TRUE,"Undefined"
)</f>
        <v>Expansion</v>
      </c>
      <c r="Q548" t="str">
        <f t="shared" si="82"/>
        <v>Expansion</v>
      </c>
      <c r="R548">
        <f t="shared" si="76"/>
        <v>1</v>
      </c>
      <c r="S548">
        <f t="shared" si="77"/>
        <v>1</v>
      </c>
      <c r="T548">
        <f t="shared" si="78"/>
        <v>1</v>
      </c>
      <c r="U548">
        <f t="shared" si="79"/>
        <v>1</v>
      </c>
      <c r="V548" t="str" cm="1">
        <f t="array" ref="V548">_xlfn.IFS(
  AND(S548&gt;0,U548&gt;0),"Expansion",
  AND(S548&lt;0,U548&gt;0),"Slowdown",
  AND(S548&lt;0,U548&lt;0),"Contraction",
  AND(S548&gt;0,U548&lt;0),"Recovery",
  TRUE,"Undefined"
)</f>
        <v>Expansion</v>
      </c>
      <c r="W548">
        <f t="shared" si="80"/>
        <v>0</v>
      </c>
      <c r="X548">
        <f t="shared" si="81"/>
        <v>0</v>
      </c>
      <c r="Y548">
        <v>0</v>
      </c>
    </row>
    <row r="549" spans="1:25" x14ac:dyDescent="0.35">
      <c r="A549" s="1">
        <f>Data!A549</f>
        <v>33817</v>
      </c>
      <c r="B549" s="2">
        <f>IFERROR((Data!B549/Data!B548-1)*100,"")</f>
        <v>0.2135231316725994</v>
      </c>
      <c r="C549" s="2">
        <f>IFERROR((Data!C549/Data!C548-1)*100,"")</f>
        <v>-0.55918615892626145</v>
      </c>
      <c r="D549">
        <f t="shared" si="74"/>
        <v>0.13756855248523805</v>
      </c>
      <c r="E549">
        <f t="shared" si="75"/>
        <v>0.26178710893524454</v>
      </c>
      <c r="P549" t="str" cm="1">
        <f t="array" ref="P549">_xlfn.IFS(
  AND(D549&gt;0,E549&gt;0),"Expansion",
  AND(D549&lt;0,E549&gt;0),"Slowdown",
  AND(D549&lt;0,E549&lt;0),"Contraction",
  AND(D549&gt;0,E549&lt;0),"Recovery",
  TRUE,"Undefined"
)</f>
        <v>Expansion</v>
      </c>
      <c r="Q549" t="str">
        <f t="shared" si="82"/>
        <v>Expansion</v>
      </c>
      <c r="R549">
        <f t="shared" si="76"/>
        <v>1</v>
      </c>
      <c r="S549">
        <f t="shared" si="77"/>
        <v>1</v>
      </c>
      <c r="T549">
        <f t="shared" si="78"/>
        <v>1</v>
      </c>
      <c r="U549">
        <f t="shared" si="79"/>
        <v>1</v>
      </c>
      <c r="V549" t="str" cm="1">
        <f t="array" ref="V549">_xlfn.IFS(
  AND(S549&gt;0,U549&gt;0),"Expansion",
  AND(S549&lt;0,U549&gt;0),"Slowdown",
  AND(S549&lt;0,U549&lt;0),"Contraction",
  AND(S549&gt;0,U549&lt;0),"Recovery",
  TRUE,"Undefined"
)</f>
        <v>Expansion</v>
      </c>
      <c r="W549">
        <f t="shared" si="80"/>
        <v>0</v>
      </c>
      <c r="X549">
        <f t="shared" si="81"/>
        <v>0</v>
      </c>
      <c r="Y549">
        <v>0</v>
      </c>
    </row>
    <row r="550" spans="1:25" x14ac:dyDescent="0.35">
      <c r="A550" s="1">
        <f>Data!A550</f>
        <v>33848</v>
      </c>
      <c r="B550" s="2">
        <f>IFERROR((Data!B550/Data!B549-1)*100,"")</f>
        <v>0.21306818181816567</v>
      </c>
      <c r="C550" s="2">
        <f>IFERROR((Data!C550/Data!C549-1)*100,"")</f>
        <v>0.32985434326631147</v>
      </c>
      <c r="D550">
        <f t="shared" si="74"/>
        <v>0.23045821863148333</v>
      </c>
      <c r="E550">
        <f t="shared" si="75"/>
        <v>0.23736722108031275</v>
      </c>
      <c r="P550" t="str" cm="1">
        <f t="array" ref="P550">_xlfn.IFS(
  AND(D550&gt;0,E550&gt;0),"Expansion",
  AND(D550&lt;0,E550&gt;0),"Slowdown",
  AND(D550&lt;0,E550&lt;0),"Contraction",
  AND(D550&gt;0,E550&lt;0),"Recovery",
  TRUE,"Undefined"
)</f>
        <v>Expansion</v>
      </c>
      <c r="Q550" t="str">
        <f t="shared" si="82"/>
        <v>Expansion</v>
      </c>
      <c r="R550">
        <f t="shared" si="76"/>
        <v>1</v>
      </c>
      <c r="S550">
        <f t="shared" si="77"/>
        <v>1</v>
      </c>
      <c r="T550">
        <f t="shared" si="78"/>
        <v>1</v>
      </c>
      <c r="U550">
        <f t="shared" si="79"/>
        <v>1</v>
      </c>
      <c r="V550" t="str" cm="1">
        <f t="array" ref="V550">_xlfn.IFS(
  AND(S550&gt;0,U550&gt;0),"Expansion",
  AND(S550&lt;0,U550&gt;0),"Slowdown",
  AND(S550&lt;0,U550&lt;0),"Contraction",
  AND(S550&gt;0,U550&lt;0),"Recovery",
  TRUE,"Undefined"
)</f>
        <v>Expansion</v>
      </c>
      <c r="W550">
        <f t="shared" si="80"/>
        <v>0</v>
      </c>
      <c r="X550">
        <f t="shared" si="81"/>
        <v>0</v>
      </c>
      <c r="Y550">
        <v>0</v>
      </c>
    </row>
    <row r="551" spans="1:25" x14ac:dyDescent="0.35">
      <c r="A551" s="1">
        <f>Data!A551</f>
        <v>33878</v>
      </c>
      <c r="B551" s="2">
        <f>IFERROR((Data!B551/Data!B550-1)*100,"")</f>
        <v>0.42523033309709302</v>
      </c>
      <c r="C551" s="2">
        <f>IFERROR((Data!C551/Data!C550-1)*100,"")</f>
        <v>0.67515805336768597</v>
      </c>
      <c r="D551">
        <f t="shared" si="74"/>
        <v>0.14860874590257867</v>
      </c>
      <c r="E551">
        <f t="shared" si="75"/>
        <v>0.28394054886261938</v>
      </c>
      <c r="P551" t="str" cm="1">
        <f t="array" ref="P551">_xlfn.IFS(
  AND(D551&gt;0,E551&gt;0),"Expansion",
  AND(D551&lt;0,E551&gt;0),"Slowdown",
  AND(D551&lt;0,E551&lt;0),"Contraction",
  AND(D551&gt;0,E551&lt;0),"Recovery",
  TRUE,"Undefined"
)</f>
        <v>Expansion</v>
      </c>
      <c r="Q551" t="str">
        <f t="shared" si="82"/>
        <v>Expansion</v>
      </c>
      <c r="R551">
        <f t="shared" si="76"/>
        <v>1</v>
      </c>
      <c r="S551">
        <f t="shared" si="77"/>
        <v>1</v>
      </c>
      <c r="T551">
        <f t="shared" si="78"/>
        <v>1</v>
      </c>
      <c r="U551">
        <f t="shared" si="79"/>
        <v>1</v>
      </c>
      <c r="V551" t="str" cm="1">
        <f t="array" ref="V551">_xlfn.IFS(
  AND(S551&gt;0,U551&gt;0),"Expansion",
  AND(S551&lt;0,U551&gt;0),"Slowdown",
  AND(S551&lt;0,U551&lt;0),"Contraction",
  AND(S551&gt;0,U551&lt;0),"Recovery",
  TRUE,"Undefined"
)</f>
        <v>Expansion</v>
      </c>
      <c r="W551">
        <f t="shared" si="80"/>
        <v>0</v>
      </c>
      <c r="X551">
        <f t="shared" si="81"/>
        <v>0</v>
      </c>
      <c r="Y551">
        <v>0</v>
      </c>
    </row>
    <row r="552" spans="1:25" x14ac:dyDescent="0.35">
      <c r="A552" s="1">
        <f>Data!A552</f>
        <v>33909</v>
      </c>
      <c r="B552" s="2">
        <f>IFERROR((Data!B552/Data!B551-1)*100,"")</f>
        <v>0.28228652081863093</v>
      </c>
      <c r="C552" s="2">
        <f>IFERROR((Data!C552/Data!C551-1)*100,"")</f>
        <v>0.37922171266961957</v>
      </c>
      <c r="D552">
        <f t="shared" si="74"/>
        <v>0.46141136976787234</v>
      </c>
      <c r="E552">
        <f t="shared" si="75"/>
        <v>0.3068616785779632</v>
      </c>
      <c r="P552" t="str" cm="1">
        <f t="array" ref="P552">_xlfn.IFS(
  AND(D552&gt;0,E552&gt;0),"Expansion",
  AND(D552&lt;0,E552&gt;0),"Slowdown",
  AND(D552&lt;0,E552&lt;0),"Contraction",
  AND(D552&gt;0,E552&lt;0),"Recovery",
  TRUE,"Undefined"
)</f>
        <v>Expansion</v>
      </c>
      <c r="Q552" t="str">
        <f t="shared" si="82"/>
        <v>Expansion</v>
      </c>
      <c r="R552">
        <f t="shared" si="76"/>
        <v>1</v>
      </c>
      <c r="S552">
        <f t="shared" si="77"/>
        <v>1</v>
      </c>
      <c r="T552">
        <f t="shared" si="78"/>
        <v>1</v>
      </c>
      <c r="U552">
        <f t="shared" si="79"/>
        <v>1</v>
      </c>
      <c r="V552" t="str" cm="1">
        <f t="array" ref="V552">_xlfn.IFS(
  AND(S552&gt;0,U552&gt;0),"Expansion",
  AND(S552&lt;0,U552&gt;0),"Slowdown",
  AND(S552&lt;0,U552&lt;0),"Contraction",
  AND(S552&gt;0,U552&lt;0),"Recovery",
  TRUE,"Undefined"
)</f>
        <v>Expansion</v>
      </c>
      <c r="W552">
        <f t="shared" si="80"/>
        <v>0</v>
      </c>
      <c r="X552">
        <f t="shared" si="81"/>
        <v>0</v>
      </c>
      <c r="Y552">
        <v>0</v>
      </c>
    </row>
    <row r="553" spans="1:25" x14ac:dyDescent="0.35">
      <c r="A553" s="1">
        <f>Data!A553</f>
        <v>33939</v>
      </c>
      <c r="B553" s="2">
        <f>IFERROR((Data!B553/Data!B552-1)*100,"")</f>
        <v>0.14074595355384467</v>
      </c>
      <c r="C553" s="2">
        <f>IFERROR((Data!C553/Data!C552-1)*100,"")</f>
        <v>0.16889209896300272</v>
      </c>
      <c r="D553">
        <f t="shared" si="74"/>
        <v>0.40775728833343611</v>
      </c>
      <c r="E553">
        <f t="shared" si="75"/>
        <v>0.28275426915652285</v>
      </c>
      <c r="P553" t="str" cm="1">
        <f t="array" ref="P553">_xlfn.IFS(
  AND(D553&gt;0,E553&gt;0),"Expansion",
  AND(D553&lt;0,E553&gt;0),"Slowdown",
  AND(D553&lt;0,E553&lt;0),"Contraction",
  AND(D553&gt;0,E553&lt;0),"Recovery",
  TRUE,"Undefined"
)</f>
        <v>Expansion</v>
      </c>
      <c r="Q553" t="str">
        <f t="shared" si="82"/>
        <v>Expansion</v>
      </c>
      <c r="R553">
        <f t="shared" si="76"/>
        <v>1</v>
      </c>
      <c r="S553">
        <f t="shared" si="77"/>
        <v>1</v>
      </c>
      <c r="T553">
        <f t="shared" si="78"/>
        <v>1</v>
      </c>
      <c r="U553">
        <f t="shared" si="79"/>
        <v>1</v>
      </c>
      <c r="V553" t="str" cm="1">
        <f t="array" ref="V553">_xlfn.IFS(
  AND(S553&gt;0,U553&gt;0),"Expansion",
  AND(S553&lt;0,U553&gt;0),"Slowdown",
  AND(S553&lt;0,U553&lt;0),"Contraction",
  AND(S553&gt;0,U553&lt;0),"Recovery",
  TRUE,"Undefined"
)</f>
        <v>Expansion</v>
      </c>
      <c r="W553">
        <f t="shared" si="80"/>
        <v>0</v>
      </c>
      <c r="X553">
        <f t="shared" si="81"/>
        <v>0</v>
      </c>
      <c r="Y553">
        <v>0</v>
      </c>
    </row>
    <row r="554" spans="1:25" x14ac:dyDescent="0.35">
      <c r="A554" s="1">
        <f>Data!A554</f>
        <v>33970</v>
      </c>
      <c r="B554" s="2">
        <f>IFERROR((Data!B554/Data!B553-1)*100,"")</f>
        <v>0.35137034434293835</v>
      </c>
      <c r="C554" s="2">
        <f>IFERROR((Data!C554/Data!C553-1)*100,"")</f>
        <v>0.3839896069506743</v>
      </c>
      <c r="D554">
        <f t="shared" si="74"/>
        <v>0.31070113952776551</v>
      </c>
      <c r="E554">
        <f t="shared" si="75"/>
        <v>0.25813427290513796</v>
      </c>
      <c r="P554" t="str" cm="1">
        <f t="array" ref="P554">_xlfn.IFS(
  AND(D554&gt;0,E554&gt;0),"Expansion",
  AND(D554&lt;0,E554&gt;0),"Slowdown",
  AND(D554&lt;0,E554&lt;0),"Contraction",
  AND(D554&gt;0,E554&lt;0),"Recovery",
  TRUE,"Undefined"
)</f>
        <v>Expansion</v>
      </c>
      <c r="Q554" t="str">
        <f t="shared" si="82"/>
        <v>Expansion</v>
      </c>
      <c r="R554">
        <f t="shared" si="76"/>
        <v>1</v>
      </c>
      <c r="S554">
        <f t="shared" si="77"/>
        <v>1</v>
      </c>
      <c r="T554">
        <f t="shared" si="78"/>
        <v>1</v>
      </c>
      <c r="U554">
        <f t="shared" si="79"/>
        <v>1</v>
      </c>
      <c r="V554" t="str" cm="1">
        <f t="array" ref="V554">_xlfn.IFS(
  AND(S554&gt;0,U554&gt;0),"Expansion",
  AND(S554&lt;0,U554&gt;0),"Slowdown",
  AND(S554&lt;0,U554&lt;0),"Contraction",
  AND(S554&gt;0,U554&lt;0),"Recovery",
  TRUE,"Undefined"
)</f>
        <v>Expansion</v>
      </c>
      <c r="W554">
        <f t="shared" si="80"/>
        <v>0</v>
      </c>
      <c r="X554">
        <f t="shared" si="81"/>
        <v>0</v>
      </c>
      <c r="Y554">
        <v>0</v>
      </c>
    </row>
    <row r="555" spans="1:25" x14ac:dyDescent="0.35">
      <c r="A555" s="1">
        <f>Data!A555</f>
        <v>34001</v>
      </c>
      <c r="B555" s="2">
        <f>IFERROR((Data!B555/Data!B554-1)*100,"")</f>
        <v>0.21008403361342243</v>
      </c>
      <c r="C555" s="2">
        <f>IFERROR((Data!C555/Data!C554-1)*100,"")</f>
        <v>0.48159534844838259</v>
      </c>
      <c r="D555">
        <f t="shared" si="74"/>
        <v>0.3448256847873532</v>
      </c>
      <c r="E555">
        <f t="shared" si="75"/>
        <v>0.23406677717006849</v>
      </c>
      <c r="P555" t="str" cm="1">
        <f t="array" ref="P555">_xlfn.IFS(
  AND(D555&gt;0,E555&gt;0),"Expansion",
  AND(D555&lt;0,E555&gt;0),"Slowdown",
  AND(D555&lt;0,E555&lt;0),"Contraction",
  AND(D555&gt;0,E555&lt;0),"Recovery",
  TRUE,"Undefined"
)</f>
        <v>Expansion</v>
      </c>
      <c r="Q555" t="str">
        <f t="shared" si="82"/>
        <v>Expansion</v>
      </c>
      <c r="R555">
        <f t="shared" si="76"/>
        <v>1</v>
      </c>
      <c r="S555">
        <f t="shared" si="77"/>
        <v>1</v>
      </c>
      <c r="T555">
        <f t="shared" si="78"/>
        <v>1</v>
      </c>
      <c r="U555">
        <f t="shared" si="79"/>
        <v>1</v>
      </c>
      <c r="V555" t="str" cm="1">
        <f t="array" ref="V555">_xlfn.IFS(
  AND(S555&gt;0,U555&gt;0),"Expansion",
  AND(S555&lt;0,U555&gt;0),"Slowdown",
  AND(S555&lt;0,U555&lt;0),"Contraction",
  AND(S555&gt;0,U555&lt;0),"Recovery",
  TRUE,"Undefined"
)</f>
        <v>Expansion</v>
      </c>
      <c r="W555">
        <f t="shared" si="80"/>
        <v>0</v>
      </c>
      <c r="X555">
        <f t="shared" si="81"/>
        <v>0</v>
      </c>
      <c r="Y555">
        <v>0</v>
      </c>
    </row>
    <row r="556" spans="1:25" x14ac:dyDescent="0.35">
      <c r="A556" s="1">
        <f>Data!A556</f>
        <v>34029</v>
      </c>
      <c r="B556" s="2">
        <f>IFERROR((Data!B556/Data!B555-1)*100,"")</f>
        <v>0.13976240391335715</v>
      </c>
      <c r="C556" s="2">
        <f>IFERROR((Data!C556/Data!C555-1)*100,"")</f>
        <v>-8.735319809765052E-2</v>
      </c>
      <c r="D556">
        <f t="shared" si="74"/>
        <v>0.25941058576713544</v>
      </c>
      <c r="E556">
        <f t="shared" si="75"/>
        <v>0.23373892728990597</v>
      </c>
      <c r="P556" t="str" cm="1">
        <f t="array" ref="P556">_xlfn.IFS(
  AND(D556&gt;0,E556&gt;0),"Expansion",
  AND(D556&lt;0,E556&gt;0),"Slowdown",
  AND(D556&lt;0,E556&lt;0),"Contraction",
  AND(D556&gt;0,E556&lt;0),"Recovery",
  TRUE,"Undefined"
)</f>
        <v>Expansion</v>
      </c>
      <c r="Q556" t="str">
        <f t="shared" si="82"/>
        <v>Expansion</v>
      </c>
      <c r="R556">
        <f t="shared" si="76"/>
        <v>1</v>
      </c>
      <c r="S556">
        <f t="shared" si="77"/>
        <v>1</v>
      </c>
      <c r="T556">
        <f t="shared" si="78"/>
        <v>1</v>
      </c>
      <c r="U556">
        <f t="shared" si="79"/>
        <v>1</v>
      </c>
      <c r="V556" t="str" cm="1">
        <f t="array" ref="V556">_xlfn.IFS(
  AND(S556&gt;0,U556&gt;0),"Expansion",
  AND(S556&lt;0,U556&gt;0),"Slowdown",
  AND(S556&lt;0,U556&lt;0),"Contraction",
  AND(S556&gt;0,U556&lt;0),"Recovery",
  TRUE,"Undefined"
)</f>
        <v>Expansion</v>
      </c>
      <c r="W556">
        <f t="shared" si="80"/>
        <v>0</v>
      </c>
      <c r="X556">
        <f t="shared" si="81"/>
        <v>0</v>
      </c>
      <c r="Y556">
        <v>0</v>
      </c>
    </row>
    <row r="557" spans="1:25" x14ac:dyDescent="0.35">
      <c r="A557" s="1">
        <f>Data!A557</f>
        <v>34060</v>
      </c>
      <c r="B557" s="2">
        <f>IFERROR((Data!B557/Data!B556-1)*100,"")</f>
        <v>0.34891835310537633</v>
      </c>
      <c r="C557" s="2">
        <f>IFERROR((Data!C557/Data!C556-1)*100,"")</f>
        <v>0.27431606021077748</v>
      </c>
      <c r="D557">
        <f t="shared" si="74"/>
        <v>0.22285273685383652</v>
      </c>
      <c r="E557">
        <f t="shared" si="75"/>
        <v>0.23292159687738531</v>
      </c>
      <c r="P557" t="str" cm="1">
        <f t="array" ref="P557">_xlfn.IFS(
  AND(D557&gt;0,E557&gt;0),"Expansion",
  AND(D557&lt;0,E557&gt;0),"Slowdown",
  AND(D557&lt;0,E557&lt;0),"Contraction",
  AND(D557&gt;0,E557&lt;0),"Recovery",
  TRUE,"Undefined"
)</f>
        <v>Expansion</v>
      </c>
      <c r="Q557" t="str">
        <f t="shared" si="82"/>
        <v>Expansion</v>
      </c>
      <c r="R557">
        <f t="shared" si="76"/>
        <v>1</v>
      </c>
      <c r="S557">
        <f t="shared" si="77"/>
        <v>1</v>
      </c>
      <c r="T557">
        <f t="shared" si="78"/>
        <v>1</v>
      </c>
      <c r="U557">
        <f t="shared" si="79"/>
        <v>1</v>
      </c>
      <c r="V557" t="str" cm="1">
        <f t="array" ref="V557">_xlfn.IFS(
  AND(S557&gt;0,U557&gt;0),"Expansion",
  AND(S557&lt;0,U557&gt;0),"Slowdown",
  AND(S557&lt;0,U557&lt;0),"Contraction",
  AND(S557&gt;0,U557&lt;0),"Recovery",
  TRUE,"Undefined"
)</f>
        <v>Expansion</v>
      </c>
      <c r="W557">
        <f t="shared" si="80"/>
        <v>0</v>
      </c>
      <c r="X557">
        <f t="shared" si="81"/>
        <v>0</v>
      </c>
      <c r="Y557">
        <v>0</v>
      </c>
    </row>
    <row r="558" spans="1:25" x14ac:dyDescent="0.35">
      <c r="A558" s="1">
        <f>Data!A558</f>
        <v>34090</v>
      </c>
      <c r="B558" s="2">
        <f>IFERROR((Data!B558/Data!B557-1)*100,"")</f>
        <v>0.27816411682890507</v>
      </c>
      <c r="C558" s="2">
        <f>IFERROR((Data!C558/Data!C557-1)*100,"")</f>
        <v>-0.37844013772083684</v>
      </c>
      <c r="D558">
        <f t="shared" si="74"/>
        <v>-6.382575853590329E-2</v>
      </c>
      <c r="E558">
        <f t="shared" si="75"/>
        <v>0.25561495794921285</v>
      </c>
      <c r="P558" t="str" cm="1">
        <f t="array" ref="P558">_xlfn.IFS(
  AND(D558&gt;0,E558&gt;0),"Expansion",
  AND(D558&lt;0,E558&gt;0),"Slowdown",
  AND(D558&lt;0,E558&lt;0),"Contraction",
  AND(D558&gt;0,E558&lt;0),"Recovery",
  TRUE,"Undefined"
)</f>
        <v>Slowdown</v>
      </c>
      <c r="Q558" t="str">
        <f t="shared" si="82"/>
        <v>Expansion</v>
      </c>
      <c r="R558">
        <f t="shared" si="76"/>
        <v>1</v>
      </c>
      <c r="S558">
        <f t="shared" si="77"/>
        <v>1</v>
      </c>
      <c r="T558">
        <f t="shared" si="78"/>
        <v>1</v>
      </c>
      <c r="U558">
        <f t="shared" si="79"/>
        <v>1</v>
      </c>
      <c r="V558" t="str" cm="1">
        <f t="array" ref="V558">_xlfn.IFS(
  AND(S558&gt;0,U558&gt;0),"Expansion",
  AND(S558&lt;0,U558&gt;0),"Slowdown",
  AND(S558&lt;0,U558&lt;0),"Contraction",
  AND(S558&gt;0,U558&lt;0),"Recovery",
  TRUE,"Undefined"
)</f>
        <v>Expansion</v>
      </c>
      <c r="W558">
        <f t="shared" si="80"/>
        <v>0</v>
      </c>
      <c r="X558">
        <f t="shared" si="81"/>
        <v>0</v>
      </c>
      <c r="Y558">
        <v>0</v>
      </c>
    </row>
    <row r="559" spans="1:25" x14ac:dyDescent="0.35">
      <c r="A559" s="1">
        <f>Data!A559</f>
        <v>34121</v>
      </c>
      <c r="B559" s="2">
        <f>IFERROR((Data!B559/Data!B558-1)*100,"")</f>
        <v>6.9348127600576959E-2</v>
      </c>
      <c r="C559" s="2">
        <f>IFERROR((Data!C559/Data!C558-1)*100,"")</f>
        <v>0.22551864657938125</v>
      </c>
      <c r="D559">
        <f t="shared" si="74"/>
        <v>4.0464856356440627E-2</v>
      </c>
      <c r="E559">
        <f t="shared" si="75"/>
        <v>0.23214353251161945</v>
      </c>
      <c r="P559" t="str" cm="1">
        <f t="array" ref="P559">_xlfn.IFS(
  AND(D559&gt;0,E559&gt;0),"Expansion",
  AND(D559&lt;0,E559&gt;0),"Slowdown",
  AND(D559&lt;0,E559&lt;0),"Contraction",
  AND(D559&gt;0,E559&lt;0),"Recovery",
  TRUE,"Undefined"
)</f>
        <v>Expansion</v>
      </c>
      <c r="Q559" t="str">
        <f t="shared" si="82"/>
        <v>Expansion</v>
      </c>
      <c r="R559">
        <f t="shared" si="76"/>
        <v>1</v>
      </c>
      <c r="S559">
        <f t="shared" si="77"/>
        <v>1</v>
      </c>
      <c r="T559">
        <f t="shared" si="78"/>
        <v>1</v>
      </c>
      <c r="U559">
        <f t="shared" si="79"/>
        <v>1</v>
      </c>
      <c r="V559" t="str" cm="1">
        <f t="array" ref="V559">_xlfn.IFS(
  AND(S559&gt;0,U559&gt;0),"Expansion",
  AND(S559&lt;0,U559&gt;0),"Slowdown",
  AND(S559&lt;0,U559&lt;0),"Contraction",
  AND(S559&gt;0,U559&lt;0),"Recovery",
  TRUE,"Undefined"
)</f>
        <v>Expansion</v>
      </c>
      <c r="W559">
        <f t="shared" si="80"/>
        <v>0</v>
      </c>
      <c r="X559">
        <f t="shared" si="81"/>
        <v>0</v>
      </c>
      <c r="Y559">
        <v>0</v>
      </c>
    </row>
    <row r="560" spans="1:25" x14ac:dyDescent="0.35">
      <c r="A560" s="1">
        <f>Data!A560</f>
        <v>34151</v>
      </c>
      <c r="B560" s="2">
        <f>IFERROR((Data!B560/Data!B559-1)*100,"")</f>
        <v>0.1386001386001201</v>
      </c>
      <c r="C560" s="2">
        <f>IFERROR((Data!C560/Data!C559-1)*100,"")</f>
        <v>0.2696746193213917</v>
      </c>
      <c r="D560">
        <f t="shared" si="74"/>
        <v>3.8917709393312037E-2</v>
      </c>
      <c r="E560">
        <f t="shared" si="75"/>
        <v>0.16203746100986738</v>
      </c>
      <c r="P560" t="str" cm="1">
        <f t="array" ref="P560">_xlfn.IFS(
  AND(D560&gt;0,E560&gt;0),"Expansion",
  AND(D560&lt;0,E560&gt;0),"Slowdown",
  AND(D560&lt;0,E560&lt;0),"Contraction",
  AND(D560&gt;0,E560&lt;0),"Recovery",
  TRUE,"Undefined"
)</f>
        <v>Expansion</v>
      </c>
      <c r="Q560" t="str">
        <f t="shared" si="82"/>
        <v>Expansion</v>
      </c>
      <c r="R560">
        <f t="shared" si="76"/>
        <v>1</v>
      </c>
      <c r="S560">
        <f t="shared" si="77"/>
        <v>1</v>
      </c>
      <c r="T560">
        <f t="shared" si="78"/>
        <v>1</v>
      </c>
      <c r="U560">
        <f t="shared" si="79"/>
        <v>1</v>
      </c>
      <c r="V560" t="str" cm="1">
        <f t="array" ref="V560">_xlfn.IFS(
  AND(S560&gt;0,U560&gt;0),"Expansion",
  AND(S560&lt;0,U560&gt;0),"Slowdown",
  AND(S560&lt;0,U560&lt;0),"Contraction",
  AND(S560&gt;0,U560&lt;0),"Recovery",
  TRUE,"Undefined"
)</f>
        <v>Expansion</v>
      </c>
      <c r="W560">
        <f t="shared" si="80"/>
        <v>0</v>
      </c>
      <c r="X560">
        <f t="shared" si="81"/>
        <v>0</v>
      </c>
      <c r="Y560">
        <v>0</v>
      </c>
    </row>
    <row r="561" spans="1:25" x14ac:dyDescent="0.35">
      <c r="A561" s="1">
        <f>Data!A561</f>
        <v>34182</v>
      </c>
      <c r="B561" s="2">
        <f>IFERROR((Data!B561/Data!B560-1)*100,"")</f>
        <v>0.20761245674740803</v>
      </c>
      <c r="C561" s="2">
        <f>IFERROR((Data!C561/Data!C560-1)*100,"")</f>
        <v>-0.12057408624809307</v>
      </c>
      <c r="D561">
        <f t="shared" si="74"/>
        <v>0.12487305988422663</v>
      </c>
      <c r="E561">
        <f t="shared" si="75"/>
        <v>0.13852024098270169</v>
      </c>
      <c r="P561" t="str" cm="1">
        <f t="array" ref="P561">_xlfn.IFS(
  AND(D561&gt;0,E561&gt;0),"Expansion",
  AND(D561&lt;0,E561&gt;0),"Slowdown",
  AND(D561&lt;0,E561&lt;0),"Contraction",
  AND(D561&gt;0,E561&lt;0),"Recovery",
  TRUE,"Undefined"
)</f>
        <v>Expansion</v>
      </c>
      <c r="Q561" t="str">
        <f t="shared" si="82"/>
        <v>Expansion</v>
      </c>
      <c r="R561">
        <f t="shared" si="76"/>
        <v>1</v>
      </c>
      <c r="S561">
        <f t="shared" si="77"/>
        <v>1</v>
      </c>
      <c r="T561">
        <f t="shared" si="78"/>
        <v>1</v>
      </c>
      <c r="U561">
        <f t="shared" si="79"/>
        <v>1</v>
      </c>
      <c r="V561" t="str" cm="1">
        <f t="array" ref="V561">_xlfn.IFS(
  AND(S561&gt;0,U561&gt;0),"Expansion",
  AND(S561&lt;0,U561&gt;0),"Slowdown",
  AND(S561&lt;0,U561&lt;0),"Contraction",
  AND(S561&gt;0,U561&lt;0),"Recovery",
  TRUE,"Undefined"
)</f>
        <v>Expansion</v>
      </c>
      <c r="W561">
        <f t="shared" si="80"/>
        <v>0</v>
      </c>
      <c r="X561">
        <f t="shared" si="81"/>
        <v>0</v>
      </c>
      <c r="Y561">
        <v>0</v>
      </c>
    </row>
    <row r="562" spans="1:25" x14ac:dyDescent="0.35">
      <c r="A562" s="1">
        <f>Data!A562</f>
        <v>34213</v>
      </c>
      <c r="B562" s="2">
        <f>IFERROR((Data!B562/Data!B561-1)*100,"")</f>
        <v>0.13812154696131174</v>
      </c>
      <c r="C562" s="2">
        <f>IFERROR((Data!C562/Data!C561-1)*100,"")</f>
        <v>0.53055129662122891</v>
      </c>
      <c r="D562">
        <f t="shared" si="74"/>
        <v>0.22655060989817585</v>
      </c>
      <c r="E562">
        <f t="shared" si="75"/>
        <v>0.16144471410294661</v>
      </c>
      <c r="P562" t="str" cm="1">
        <f t="array" ref="P562">_xlfn.IFS(
  AND(D562&gt;0,E562&gt;0),"Expansion",
  AND(D562&lt;0,E562&gt;0),"Slowdown",
  AND(D562&lt;0,E562&lt;0),"Contraction",
  AND(D562&gt;0,E562&lt;0),"Recovery",
  TRUE,"Undefined"
)</f>
        <v>Expansion</v>
      </c>
      <c r="Q562" t="str">
        <f t="shared" si="82"/>
        <v>Expansion</v>
      </c>
      <c r="R562">
        <f t="shared" si="76"/>
        <v>1</v>
      </c>
      <c r="S562">
        <f t="shared" si="77"/>
        <v>1</v>
      </c>
      <c r="T562">
        <f t="shared" si="78"/>
        <v>1</v>
      </c>
      <c r="U562">
        <f t="shared" si="79"/>
        <v>1</v>
      </c>
      <c r="V562" t="str" cm="1">
        <f t="array" ref="V562">_xlfn.IFS(
  AND(S562&gt;0,U562&gt;0),"Expansion",
  AND(S562&lt;0,U562&gt;0),"Slowdown",
  AND(S562&lt;0,U562&lt;0),"Contraction",
  AND(S562&gt;0,U562&lt;0),"Recovery",
  TRUE,"Undefined"
)</f>
        <v>Expansion</v>
      </c>
      <c r="W562">
        <f t="shared" si="80"/>
        <v>0</v>
      </c>
      <c r="X562">
        <f t="shared" si="81"/>
        <v>0</v>
      </c>
      <c r="Y562">
        <v>0</v>
      </c>
    </row>
    <row r="563" spans="1:25" x14ac:dyDescent="0.35">
      <c r="A563" s="1">
        <f>Data!A563</f>
        <v>34243</v>
      </c>
      <c r="B563" s="2">
        <f>IFERROR((Data!B563/Data!B562-1)*100,"")</f>
        <v>0.41379310344826781</v>
      </c>
      <c r="C563" s="2">
        <f>IFERROR((Data!C563/Data!C562-1)*100,"")</f>
        <v>0.73303891439260305</v>
      </c>
      <c r="D563">
        <f t="shared" si="74"/>
        <v>0.38100537492191294</v>
      </c>
      <c r="E563">
        <f t="shared" si="75"/>
        <v>0.2531757023856625</v>
      </c>
      <c r="P563" t="str" cm="1">
        <f t="array" ref="P563">_xlfn.IFS(
  AND(D563&gt;0,E563&gt;0),"Expansion",
  AND(D563&lt;0,E563&gt;0),"Slowdown",
  AND(D563&lt;0,E563&lt;0),"Contraction",
  AND(D563&gt;0,E563&lt;0),"Recovery",
  TRUE,"Undefined"
)</f>
        <v>Expansion</v>
      </c>
      <c r="Q563" t="str">
        <f t="shared" si="82"/>
        <v>Expansion</v>
      </c>
      <c r="R563">
        <f t="shared" si="76"/>
        <v>1</v>
      </c>
      <c r="S563">
        <f t="shared" si="77"/>
        <v>1</v>
      </c>
      <c r="T563">
        <f t="shared" si="78"/>
        <v>1</v>
      </c>
      <c r="U563">
        <f t="shared" si="79"/>
        <v>1</v>
      </c>
      <c r="V563" t="str" cm="1">
        <f t="array" ref="V563">_xlfn.IFS(
  AND(S563&gt;0,U563&gt;0),"Expansion",
  AND(S563&lt;0,U563&gt;0),"Slowdown",
  AND(S563&lt;0,U563&lt;0),"Contraction",
  AND(S563&gt;0,U563&lt;0),"Recovery",
  TRUE,"Undefined"
)</f>
        <v>Expansion</v>
      </c>
      <c r="W563">
        <f t="shared" si="80"/>
        <v>0</v>
      </c>
      <c r="X563">
        <f t="shared" si="81"/>
        <v>0</v>
      </c>
      <c r="Y563">
        <v>0</v>
      </c>
    </row>
    <row r="564" spans="1:25" x14ac:dyDescent="0.35">
      <c r="A564" s="1">
        <f>Data!A564</f>
        <v>34274</v>
      </c>
      <c r="B564" s="2">
        <f>IFERROR((Data!B564/Data!B563-1)*100,"")</f>
        <v>0.27472527472527375</v>
      </c>
      <c r="C564" s="2">
        <f>IFERROR((Data!C564/Data!C563-1)*100,"")</f>
        <v>0.45694136298819465</v>
      </c>
      <c r="D564">
        <f t="shared" si="74"/>
        <v>0.5735105246673422</v>
      </c>
      <c r="E564">
        <f t="shared" si="75"/>
        <v>0.27554664171161775</v>
      </c>
      <c r="P564" t="str" cm="1">
        <f t="array" ref="P564">_xlfn.IFS(
  AND(D564&gt;0,E564&gt;0),"Expansion",
  AND(D564&lt;0,E564&gt;0),"Slowdown",
  AND(D564&lt;0,E564&lt;0),"Contraction",
  AND(D564&gt;0,E564&lt;0),"Recovery",
  TRUE,"Undefined"
)</f>
        <v>Expansion</v>
      </c>
      <c r="Q564" t="str">
        <f t="shared" si="82"/>
        <v>Expansion</v>
      </c>
      <c r="R564">
        <f t="shared" si="76"/>
        <v>1</v>
      </c>
      <c r="S564">
        <f t="shared" si="77"/>
        <v>1</v>
      </c>
      <c r="T564">
        <f t="shared" si="78"/>
        <v>1</v>
      </c>
      <c r="U564">
        <f t="shared" si="79"/>
        <v>1</v>
      </c>
      <c r="V564" t="str" cm="1">
        <f t="array" ref="V564">_xlfn.IFS(
  AND(S564&gt;0,U564&gt;0),"Expansion",
  AND(S564&lt;0,U564&gt;0),"Slowdown",
  AND(S564&lt;0,U564&lt;0),"Contraction",
  AND(S564&gt;0,U564&lt;0),"Recovery",
  TRUE,"Undefined"
)</f>
        <v>Expansion</v>
      </c>
      <c r="W564">
        <f t="shared" si="80"/>
        <v>0</v>
      </c>
      <c r="X564">
        <f t="shared" si="81"/>
        <v>0</v>
      </c>
      <c r="Y564">
        <v>0</v>
      </c>
    </row>
    <row r="565" spans="1:25" x14ac:dyDescent="0.35">
      <c r="A565" s="1">
        <f>Data!A565</f>
        <v>34304</v>
      </c>
      <c r="B565" s="2">
        <f>IFERROR((Data!B565/Data!B564-1)*100,"")</f>
        <v>0.205479452054802</v>
      </c>
      <c r="C565" s="2">
        <f>IFERROR((Data!C565/Data!C564-1)*100,"")</f>
        <v>0.59227413313016619</v>
      </c>
      <c r="D565">
        <f t="shared" si="74"/>
        <v>0.59408480350365467</v>
      </c>
      <c r="E565">
        <f t="shared" si="75"/>
        <v>0.29799927674278121</v>
      </c>
      <c r="P565" t="str" cm="1">
        <f t="array" ref="P565">_xlfn.IFS(
  AND(D565&gt;0,E565&gt;0),"Expansion",
  AND(D565&lt;0,E565&gt;0),"Slowdown",
  AND(D565&lt;0,E565&lt;0),"Contraction",
  AND(D565&gt;0,E565&lt;0),"Recovery",
  TRUE,"Undefined"
)</f>
        <v>Expansion</v>
      </c>
      <c r="Q565" t="str">
        <f t="shared" si="82"/>
        <v>Expansion</v>
      </c>
      <c r="R565">
        <f t="shared" si="76"/>
        <v>1</v>
      </c>
      <c r="S565">
        <f t="shared" si="77"/>
        <v>1</v>
      </c>
      <c r="T565">
        <f t="shared" si="78"/>
        <v>1</v>
      </c>
      <c r="U565">
        <f t="shared" si="79"/>
        <v>1</v>
      </c>
      <c r="V565" t="str" cm="1">
        <f t="array" ref="V565">_xlfn.IFS(
  AND(S565&gt;0,U565&gt;0),"Expansion",
  AND(S565&lt;0,U565&gt;0),"Slowdown",
  AND(S565&lt;0,U565&lt;0),"Contraction",
  AND(S565&gt;0,U565&lt;0),"Recovery",
  TRUE,"Undefined"
)</f>
        <v>Expansion</v>
      </c>
      <c r="W565">
        <f t="shared" si="80"/>
        <v>0</v>
      </c>
      <c r="X565">
        <f t="shared" si="81"/>
        <v>0</v>
      </c>
      <c r="Y565">
        <v>0</v>
      </c>
    </row>
    <row r="566" spans="1:25" x14ac:dyDescent="0.35">
      <c r="A566" s="1">
        <f>Data!A566</f>
        <v>34335</v>
      </c>
      <c r="B566" s="2">
        <f>IFERROR((Data!B566/Data!B565-1)*100,"")</f>
        <v>0</v>
      </c>
      <c r="C566" s="2">
        <f>IFERROR((Data!C566/Data!C565-1)*100,"")</f>
        <v>0.28778124417676576</v>
      </c>
      <c r="D566">
        <f t="shared" si="74"/>
        <v>0.44566558009837554</v>
      </c>
      <c r="E566">
        <f t="shared" si="75"/>
        <v>0.16006824226002525</v>
      </c>
      <c r="P566" t="str" cm="1">
        <f t="array" ref="P566">_xlfn.IFS(
  AND(D566&gt;0,E566&gt;0),"Expansion",
  AND(D566&lt;0,E566&gt;0),"Slowdown",
  AND(D566&lt;0,E566&lt;0),"Contraction",
  AND(D566&gt;0,E566&lt;0),"Recovery",
  TRUE,"Undefined"
)</f>
        <v>Expansion</v>
      </c>
      <c r="Q566" t="str">
        <f t="shared" si="82"/>
        <v>Expansion</v>
      </c>
      <c r="R566">
        <f t="shared" si="76"/>
        <v>1</v>
      </c>
      <c r="S566">
        <f t="shared" si="77"/>
        <v>1</v>
      </c>
      <c r="T566">
        <f t="shared" si="78"/>
        <v>1</v>
      </c>
      <c r="U566">
        <f t="shared" si="79"/>
        <v>1</v>
      </c>
      <c r="V566" t="str" cm="1">
        <f t="array" ref="V566">_xlfn.IFS(
  AND(S566&gt;0,U566&gt;0),"Expansion",
  AND(S566&lt;0,U566&gt;0),"Slowdown",
  AND(S566&lt;0,U566&lt;0),"Contraction",
  AND(S566&gt;0,U566&lt;0),"Recovery",
  TRUE,"Undefined"
)</f>
        <v>Expansion</v>
      </c>
      <c r="W566">
        <f t="shared" si="80"/>
        <v>0</v>
      </c>
      <c r="X566">
        <f t="shared" si="81"/>
        <v>0</v>
      </c>
      <c r="Y566">
        <v>0</v>
      </c>
    </row>
    <row r="567" spans="1:25" x14ac:dyDescent="0.35">
      <c r="A567" s="1">
        <f>Data!A567</f>
        <v>34366</v>
      </c>
      <c r="B567" s="2">
        <f>IFERROR((Data!B567/Data!B566-1)*100,"")</f>
        <v>0.27341079972658111</v>
      </c>
      <c r="C567" s="2">
        <f>IFERROR((Data!C567/Data!C566-1)*100,"")</f>
        <v>5.8290165145469253E-2</v>
      </c>
      <c r="D567">
        <f t="shared" si="74"/>
        <v>0.31278184748413373</v>
      </c>
      <c r="E567">
        <f t="shared" si="75"/>
        <v>0.15963008392712771</v>
      </c>
      <c r="P567" t="str" cm="1">
        <f t="array" ref="P567">_xlfn.IFS(
  AND(D567&gt;0,E567&gt;0),"Expansion",
  AND(D567&lt;0,E567&gt;0),"Slowdown",
  AND(D567&lt;0,E567&lt;0),"Contraction",
  AND(D567&gt;0,E567&lt;0),"Recovery",
  TRUE,"Undefined"
)</f>
        <v>Expansion</v>
      </c>
      <c r="Q567" t="str">
        <f t="shared" si="82"/>
        <v>Expansion</v>
      </c>
      <c r="R567">
        <f t="shared" si="76"/>
        <v>1</v>
      </c>
      <c r="S567">
        <f t="shared" si="77"/>
        <v>1</v>
      </c>
      <c r="T567">
        <f t="shared" si="78"/>
        <v>1</v>
      </c>
      <c r="U567">
        <f t="shared" si="79"/>
        <v>1</v>
      </c>
      <c r="V567" t="str" cm="1">
        <f t="array" ref="V567">_xlfn.IFS(
  AND(S567&gt;0,U567&gt;0),"Expansion",
  AND(S567&lt;0,U567&gt;0),"Slowdown",
  AND(S567&lt;0,U567&lt;0),"Contraction",
  AND(S567&gt;0,U567&lt;0),"Recovery",
  TRUE,"Undefined"
)</f>
        <v>Expansion</v>
      </c>
      <c r="W567">
        <f t="shared" si="80"/>
        <v>0</v>
      </c>
      <c r="X567">
        <f t="shared" si="81"/>
        <v>0</v>
      </c>
      <c r="Y567">
        <v>0</v>
      </c>
    </row>
    <row r="568" spans="1:25" x14ac:dyDescent="0.35">
      <c r="A568" s="1">
        <f>Data!A568</f>
        <v>34394</v>
      </c>
      <c r="B568" s="2">
        <f>IFERROR((Data!B568/Data!B567-1)*100,"")</f>
        <v>0.27266530334015826</v>
      </c>
      <c r="C568" s="2">
        <f>IFERROR((Data!C568/Data!C567-1)*100,"")</f>
        <v>1.0201575463503865</v>
      </c>
      <c r="D568">
        <f t="shared" si="74"/>
        <v>0.45540965189087385</v>
      </c>
      <c r="E568">
        <f t="shared" si="75"/>
        <v>0.18202536768891311</v>
      </c>
      <c r="P568" t="str" cm="1">
        <f t="array" ref="P568">_xlfn.IFS(
  AND(D568&gt;0,E568&gt;0),"Expansion",
  AND(D568&lt;0,E568&gt;0),"Slowdown",
  AND(D568&lt;0,E568&lt;0),"Contraction",
  AND(D568&gt;0,E568&lt;0),"Recovery",
  TRUE,"Undefined"
)</f>
        <v>Expansion</v>
      </c>
      <c r="Q568" t="str">
        <f t="shared" si="82"/>
        <v>Expansion</v>
      </c>
      <c r="R568">
        <f t="shared" si="76"/>
        <v>1</v>
      </c>
      <c r="S568">
        <f t="shared" si="77"/>
        <v>1</v>
      </c>
      <c r="T568">
        <f t="shared" si="78"/>
        <v>1</v>
      </c>
      <c r="U568">
        <f t="shared" si="79"/>
        <v>1</v>
      </c>
      <c r="V568" t="str" cm="1">
        <f t="array" ref="V568">_xlfn.IFS(
  AND(S568&gt;0,U568&gt;0),"Expansion",
  AND(S568&lt;0,U568&gt;0),"Slowdown",
  AND(S568&lt;0,U568&lt;0),"Contraction",
  AND(S568&gt;0,U568&lt;0),"Recovery",
  TRUE,"Undefined"
)</f>
        <v>Expansion</v>
      </c>
      <c r="W568">
        <f t="shared" si="80"/>
        <v>0</v>
      </c>
      <c r="X568">
        <f t="shared" si="81"/>
        <v>0</v>
      </c>
      <c r="Y568">
        <v>0</v>
      </c>
    </row>
    <row r="569" spans="1:25" x14ac:dyDescent="0.35">
      <c r="A569" s="1">
        <f>Data!A569</f>
        <v>34425</v>
      </c>
      <c r="B569" s="2">
        <f>IFERROR((Data!B569/Data!B568-1)*100,"")</f>
        <v>6.7980965329694776E-2</v>
      </c>
      <c r="C569" s="2">
        <f>IFERROR((Data!C569/Data!C568-1)*100,"")</f>
        <v>0.59135544776385274</v>
      </c>
      <c r="D569">
        <f t="shared" si="74"/>
        <v>0.55660105308656949</v>
      </c>
      <c r="E569">
        <f t="shared" si="75"/>
        <v>0.20468568946547805</v>
      </c>
      <c r="P569" t="str" cm="1">
        <f t="array" ref="P569">_xlfn.IFS(
  AND(D569&gt;0,E569&gt;0),"Expansion",
  AND(D569&lt;0,E569&gt;0),"Slowdown",
  AND(D569&lt;0,E569&lt;0),"Contraction",
  AND(D569&gt;0,E569&lt;0),"Recovery",
  TRUE,"Undefined"
)</f>
        <v>Expansion</v>
      </c>
      <c r="Q569" t="str">
        <f t="shared" si="82"/>
        <v>Expansion</v>
      </c>
      <c r="R569">
        <f t="shared" si="76"/>
        <v>1</v>
      </c>
      <c r="S569">
        <f t="shared" si="77"/>
        <v>1</v>
      </c>
      <c r="T569">
        <f t="shared" si="78"/>
        <v>1</v>
      </c>
      <c r="U569">
        <f t="shared" si="79"/>
        <v>1</v>
      </c>
      <c r="V569" t="str" cm="1">
        <f t="array" ref="V569">_xlfn.IFS(
  AND(S569&gt;0,U569&gt;0),"Expansion",
  AND(S569&lt;0,U569&gt;0),"Slowdown",
  AND(S569&lt;0,U569&lt;0),"Contraction",
  AND(S569&gt;0,U569&lt;0),"Recovery",
  TRUE,"Undefined"
)</f>
        <v>Expansion</v>
      </c>
      <c r="W569">
        <f t="shared" si="80"/>
        <v>0</v>
      </c>
      <c r="X569">
        <f t="shared" si="81"/>
        <v>0</v>
      </c>
      <c r="Y569">
        <v>0</v>
      </c>
    </row>
    <row r="570" spans="1:25" x14ac:dyDescent="0.35">
      <c r="A570" s="1">
        <f>Data!A570</f>
        <v>34455</v>
      </c>
      <c r="B570" s="2">
        <f>IFERROR((Data!B570/Data!B569-1)*100,"")</f>
        <v>0.20380434782609758</v>
      </c>
      <c r="C570" s="2">
        <f>IFERROR((Data!C570/Data!C569-1)*100,"")</f>
        <v>0.46010484259610962</v>
      </c>
      <c r="D570">
        <f t="shared" si="74"/>
        <v>0.69053927890344957</v>
      </c>
      <c r="E570">
        <f t="shared" si="75"/>
        <v>0.18148353883198354</v>
      </c>
      <c r="P570" t="str" cm="1">
        <f t="array" ref="P570">_xlfn.IFS(
  AND(D570&gt;0,E570&gt;0),"Expansion",
  AND(D570&lt;0,E570&gt;0),"Slowdown",
  AND(D570&lt;0,E570&lt;0),"Contraction",
  AND(D570&gt;0,E570&lt;0),"Recovery",
  TRUE,"Undefined"
)</f>
        <v>Expansion</v>
      </c>
      <c r="Q570" t="str">
        <f t="shared" si="82"/>
        <v>Expansion</v>
      </c>
      <c r="R570">
        <f t="shared" si="76"/>
        <v>1</v>
      </c>
      <c r="S570">
        <f t="shared" si="77"/>
        <v>1</v>
      </c>
      <c r="T570">
        <f t="shared" si="78"/>
        <v>1</v>
      </c>
      <c r="U570">
        <f t="shared" si="79"/>
        <v>1</v>
      </c>
      <c r="V570" t="str" cm="1">
        <f t="array" ref="V570">_xlfn.IFS(
  AND(S570&gt;0,U570&gt;0),"Expansion",
  AND(S570&lt;0,U570&gt;0),"Slowdown",
  AND(S570&lt;0,U570&lt;0),"Contraction",
  AND(S570&gt;0,U570&lt;0),"Recovery",
  TRUE,"Undefined"
)</f>
        <v>Expansion</v>
      </c>
      <c r="W570">
        <f t="shared" si="80"/>
        <v>0</v>
      </c>
      <c r="X570">
        <f t="shared" si="81"/>
        <v>0</v>
      </c>
      <c r="Y570">
        <v>0</v>
      </c>
    </row>
    <row r="571" spans="1:25" x14ac:dyDescent="0.35">
      <c r="A571" s="1">
        <f>Data!A571</f>
        <v>34486</v>
      </c>
      <c r="B571" s="2">
        <f>IFERROR((Data!B571/Data!B570-1)*100,"")</f>
        <v>0.27118644067796183</v>
      </c>
      <c r="C571" s="2">
        <f>IFERROR((Data!C571/Data!C570-1)*100,"")</f>
        <v>0.67511365586805372</v>
      </c>
      <c r="D571">
        <f t="shared" si="74"/>
        <v>0.57552464874267206</v>
      </c>
      <c r="E571">
        <f t="shared" si="75"/>
        <v>0.18099058461125139</v>
      </c>
      <c r="P571" t="str" cm="1">
        <f t="array" ref="P571">_xlfn.IFS(
  AND(D571&gt;0,E571&gt;0),"Expansion",
  AND(D571&lt;0,E571&gt;0),"Slowdown",
  AND(D571&lt;0,E571&lt;0),"Contraction",
  AND(D571&gt;0,E571&lt;0),"Recovery",
  TRUE,"Undefined"
)</f>
        <v>Expansion</v>
      </c>
      <c r="Q571" t="str">
        <f t="shared" si="82"/>
        <v>Expansion</v>
      </c>
      <c r="R571">
        <f t="shared" si="76"/>
        <v>1</v>
      </c>
      <c r="S571">
        <f t="shared" si="77"/>
        <v>1</v>
      </c>
      <c r="T571">
        <f t="shared" si="78"/>
        <v>1</v>
      </c>
      <c r="U571">
        <f t="shared" si="79"/>
        <v>1</v>
      </c>
      <c r="V571" t="str" cm="1">
        <f t="array" ref="V571">_xlfn.IFS(
  AND(S571&gt;0,U571&gt;0),"Expansion",
  AND(S571&lt;0,U571&gt;0),"Slowdown",
  AND(S571&lt;0,U571&lt;0),"Contraction",
  AND(S571&gt;0,U571&lt;0),"Recovery",
  TRUE,"Undefined"
)</f>
        <v>Expansion</v>
      </c>
      <c r="W571">
        <f t="shared" si="80"/>
        <v>0</v>
      </c>
      <c r="X571">
        <f t="shared" si="81"/>
        <v>0</v>
      </c>
      <c r="Y571">
        <v>0</v>
      </c>
    </row>
    <row r="572" spans="1:25" x14ac:dyDescent="0.35">
      <c r="A572" s="1">
        <f>Data!A572</f>
        <v>34516</v>
      </c>
      <c r="B572" s="2">
        <f>IFERROR((Data!B572/Data!B571-1)*100,"")</f>
        <v>0.33806626098715764</v>
      </c>
      <c r="C572" s="2">
        <f>IFERROR((Data!C572/Data!C571-1)*100,"")</f>
        <v>0.13303898639738243</v>
      </c>
      <c r="D572">
        <f t="shared" si="74"/>
        <v>0.42275249495384859</v>
      </c>
      <c r="E572">
        <f t="shared" si="75"/>
        <v>0.27101901649707233</v>
      </c>
      <c r="P572" t="str" cm="1">
        <f t="array" ref="P572">_xlfn.IFS(
  AND(D572&gt;0,E572&gt;0),"Expansion",
  AND(D572&lt;0,E572&gt;0),"Slowdown",
  AND(D572&lt;0,E572&lt;0),"Contraction",
  AND(D572&gt;0,E572&lt;0),"Recovery",
  TRUE,"Undefined"
)</f>
        <v>Expansion</v>
      </c>
      <c r="Q572" t="str">
        <f t="shared" si="82"/>
        <v>Expansion</v>
      </c>
      <c r="R572">
        <f t="shared" si="76"/>
        <v>1</v>
      </c>
      <c r="S572">
        <f t="shared" si="77"/>
        <v>1</v>
      </c>
      <c r="T572">
        <f t="shared" si="78"/>
        <v>1</v>
      </c>
      <c r="U572">
        <f t="shared" si="79"/>
        <v>1</v>
      </c>
      <c r="V572" t="str" cm="1">
        <f t="array" ref="V572">_xlfn.IFS(
  AND(S572&gt;0,U572&gt;0),"Expansion",
  AND(S572&lt;0,U572&gt;0),"Slowdown",
  AND(S572&lt;0,U572&lt;0),"Contraction",
  AND(S572&gt;0,U572&lt;0),"Recovery",
  TRUE,"Undefined"
)</f>
        <v>Expansion</v>
      </c>
      <c r="W572">
        <f t="shared" si="80"/>
        <v>0</v>
      </c>
      <c r="X572">
        <f t="shared" si="81"/>
        <v>0</v>
      </c>
      <c r="Y572">
        <v>0</v>
      </c>
    </row>
    <row r="573" spans="1:25" x14ac:dyDescent="0.35">
      <c r="A573" s="1">
        <f>Data!A573</f>
        <v>34547</v>
      </c>
      <c r="B573" s="2">
        <f>IFERROR((Data!B573/Data!B572-1)*100,"")</f>
        <v>0.40431266846361336</v>
      </c>
      <c r="C573" s="2">
        <f>IFERROR((Data!C573/Data!C572-1)*100,"")</f>
        <v>0.67042309270670675</v>
      </c>
      <c r="D573">
        <f t="shared" si="74"/>
        <v>0.49285857832404761</v>
      </c>
      <c r="E573">
        <f t="shared" si="75"/>
        <v>0.33785512337624429</v>
      </c>
      <c r="P573" t="str" cm="1">
        <f t="array" ref="P573">_xlfn.IFS(
  AND(D573&gt;0,E573&gt;0),"Expansion",
  AND(D573&lt;0,E573&gt;0),"Slowdown",
  AND(D573&lt;0,E573&lt;0),"Contraction",
  AND(D573&gt;0,E573&lt;0),"Recovery",
  TRUE,"Undefined"
)</f>
        <v>Expansion</v>
      </c>
      <c r="Q573" t="str">
        <f t="shared" si="82"/>
        <v>Expansion</v>
      </c>
      <c r="R573">
        <f t="shared" si="76"/>
        <v>1</v>
      </c>
      <c r="S573">
        <f t="shared" si="77"/>
        <v>1</v>
      </c>
      <c r="T573">
        <f t="shared" si="78"/>
        <v>1</v>
      </c>
      <c r="U573">
        <f t="shared" si="79"/>
        <v>1</v>
      </c>
      <c r="V573" t="str" cm="1">
        <f t="array" ref="V573">_xlfn.IFS(
  AND(S573&gt;0,U573&gt;0),"Expansion",
  AND(S573&lt;0,U573&gt;0),"Slowdown",
  AND(S573&lt;0,U573&lt;0),"Contraction",
  AND(S573&gt;0,U573&lt;0),"Recovery",
  TRUE,"Undefined"
)</f>
        <v>Expansion</v>
      </c>
      <c r="W573">
        <f t="shared" si="80"/>
        <v>0</v>
      </c>
      <c r="X573">
        <f t="shared" si="81"/>
        <v>0</v>
      </c>
      <c r="Y573">
        <v>0</v>
      </c>
    </row>
    <row r="574" spans="1:25" x14ac:dyDescent="0.35">
      <c r="A574" s="1">
        <f>Data!A574</f>
        <v>34578</v>
      </c>
      <c r="B574" s="2">
        <f>IFERROR((Data!B574/Data!B573-1)*100,"")</f>
        <v>0.20134228187920211</v>
      </c>
      <c r="C574" s="2">
        <f>IFERROR((Data!C574/Data!C573-1)*100,"")</f>
        <v>0.31454859530057888</v>
      </c>
      <c r="D574">
        <f t="shared" si="74"/>
        <v>0.37267022480155604</v>
      </c>
      <c r="E574">
        <f t="shared" si="75"/>
        <v>0.31457373710999104</v>
      </c>
      <c r="P574" t="str" cm="1">
        <f t="array" ref="P574">_xlfn.IFS(
  AND(D574&gt;0,E574&gt;0),"Expansion",
  AND(D574&lt;0,E574&gt;0),"Slowdown",
  AND(D574&lt;0,E574&lt;0),"Contraction",
  AND(D574&gt;0,E574&lt;0),"Recovery",
  TRUE,"Undefined"
)</f>
        <v>Expansion</v>
      </c>
      <c r="Q574" t="str">
        <f t="shared" si="82"/>
        <v>Expansion</v>
      </c>
      <c r="R574">
        <f t="shared" si="76"/>
        <v>1</v>
      </c>
      <c r="S574">
        <f t="shared" si="77"/>
        <v>1</v>
      </c>
      <c r="T574">
        <f t="shared" si="78"/>
        <v>1</v>
      </c>
      <c r="U574">
        <f t="shared" si="79"/>
        <v>1</v>
      </c>
      <c r="V574" t="str" cm="1">
        <f t="array" ref="V574">_xlfn.IFS(
  AND(S574&gt;0,U574&gt;0),"Expansion",
  AND(S574&lt;0,U574&gt;0),"Slowdown",
  AND(S574&lt;0,U574&lt;0),"Contraction",
  AND(S574&gt;0,U574&lt;0),"Recovery",
  TRUE,"Undefined"
)</f>
        <v>Expansion</v>
      </c>
      <c r="W574">
        <f t="shared" si="80"/>
        <v>0</v>
      </c>
      <c r="X574">
        <f t="shared" si="81"/>
        <v>0</v>
      </c>
      <c r="Y574">
        <v>0</v>
      </c>
    </row>
    <row r="575" spans="1:25" x14ac:dyDescent="0.35">
      <c r="A575" s="1">
        <f>Data!A575</f>
        <v>34608</v>
      </c>
      <c r="B575" s="2">
        <f>IFERROR((Data!B575/Data!B574-1)*100,"")</f>
        <v>6.6979236436703893E-2</v>
      </c>
      <c r="C575" s="2">
        <f>IFERROR((Data!C575/Data!C574-1)*100,"")</f>
        <v>0.80451206912204309</v>
      </c>
      <c r="D575">
        <f t="shared" si="74"/>
        <v>0.5964945857097762</v>
      </c>
      <c r="E575">
        <f t="shared" si="75"/>
        <v>0.22421139559317313</v>
      </c>
      <c r="P575" t="str" cm="1">
        <f t="array" ref="P575">_xlfn.IFS(
  AND(D575&gt;0,E575&gt;0),"Expansion",
  AND(D575&lt;0,E575&gt;0),"Slowdown",
  AND(D575&lt;0,E575&lt;0),"Contraction",
  AND(D575&gt;0,E575&lt;0),"Recovery",
  TRUE,"Undefined"
)</f>
        <v>Expansion</v>
      </c>
      <c r="Q575" t="str">
        <f t="shared" si="82"/>
        <v>Expansion</v>
      </c>
      <c r="R575">
        <f t="shared" si="76"/>
        <v>1</v>
      </c>
      <c r="S575">
        <f t="shared" si="77"/>
        <v>1</v>
      </c>
      <c r="T575">
        <f t="shared" si="78"/>
        <v>1</v>
      </c>
      <c r="U575">
        <f t="shared" si="79"/>
        <v>1</v>
      </c>
      <c r="V575" t="str" cm="1">
        <f t="array" ref="V575">_xlfn.IFS(
  AND(S575&gt;0,U575&gt;0),"Expansion",
  AND(S575&lt;0,U575&gt;0),"Slowdown",
  AND(S575&lt;0,U575&lt;0),"Contraction",
  AND(S575&gt;0,U575&lt;0),"Recovery",
  TRUE,"Undefined"
)</f>
        <v>Expansion</v>
      </c>
      <c r="W575">
        <f t="shared" si="80"/>
        <v>0</v>
      </c>
      <c r="X575">
        <f t="shared" si="81"/>
        <v>0</v>
      </c>
      <c r="Y575">
        <v>0</v>
      </c>
    </row>
    <row r="576" spans="1:25" x14ac:dyDescent="0.35">
      <c r="A576" s="1">
        <f>Data!A576</f>
        <v>34639</v>
      </c>
      <c r="B576" s="2">
        <f>IFERROR((Data!B576/Data!B575-1)*100,"")</f>
        <v>0.26773761713521083</v>
      </c>
      <c r="C576" s="2">
        <f>IFERROR((Data!C576/Data!C575-1)*100,"")</f>
        <v>0.68358816600526673</v>
      </c>
      <c r="D576">
        <f t="shared" si="74"/>
        <v>0.60088294347596294</v>
      </c>
      <c r="E576">
        <f t="shared" si="75"/>
        <v>0.17868637848370561</v>
      </c>
      <c r="P576" t="str" cm="1">
        <f t="array" ref="P576">_xlfn.IFS(
  AND(D576&gt;0,E576&gt;0),"Expansion",
  AND(D576&lt;0,E576&gt;0),"Slowdown",
  AND(D576&lt;0,E576&lt;0),"Contraction",
  AND(D576&gt;0,E576&lt;0),"Recovery",
  TRUE,"Undefined"
)</f>
        <v>Expansion</v>
      </c>
      <c r="Q576" t="str">
        <f t="shared" si="82"/>
        <v>Expansion</v>
      </c>
      <c r="R576">
        <f t="shared" si="76"/>
        <v>1</v>
      </c>
      <c r="S576">
        <f t="shared" si="77"/>
        <v>1</v>
      </c>
      <c r="T576">
        <f t="shared" si="78"/>
        <v>1</v>
      </c>
      <c r="U576">
        <f t="shared" si="79"/>
        <v>1</v>
      </c>
      <c r="V576" t="str" cm="1">
        <f t="array" ref="V576">_xlfn.IFS(
  AND(S576&gt;0,U576&gt;0),"Expansion",
  AND(S576&lt;0,U576&gt;0),"Slowdown",
  AND(S576&lt;0,U576&lt;0),"Contraction",
  AND(S576&gt;0,U576&lt;0),"Recovery",
  TRUE,"Undefined"
)</f>
        <v>Expansion</v>
      </c>
      <c r="W576">
        <f t="shared" si="80"/>
        <v>0</v>
      </c>
      <c r="X576">
        <f t="shared" si="81"/>
        <v>0</v>
      </c>
      <c r="Y576">
        <v>0</v>
      </c>
    </row>
    <row r="577" spans="1:25" x14ac:dyDescent="0.35">
      <c r="A577" s="1">
        <f>Data!A577</f>
        <v>34669</v>
      </c>
      <c r="B577" s="2">
        <f>IFERROR((Data!B577/Data!B576-1)*100,"")</f>
        <v>0.20026702269690944</v>
      </c>
      <c r="C577" s="2">
        <f>IFERROR((Data!C577/Data!C576-1)*100,"")</f>
        <v>1.0218279603479097</v>
      </c>
      <c r="D577">
        <f t="shared" si="74"/>
        <v>0.8366427318250732</v>
      </c>
      <c r="E577">
        <f t="shared" si="75"/>
        <v>0.17832795875627472</v>
      </c>
      <c r="P577" t="str" cm="1">
        <f t="array" ref="P577">_xlfn.IFS(
  AND(D577&gt;0,E577&gt;0),"Expansion",
  AND(D577&lt;0,E577&gt;0),"Slowdown",
  AND(D577&lt;0,E577&lt;0),"Contraction",
  AND(D577&gt;0,E577&lt;0),"Recovery",
  TRUE,"Undefined"
)</f>
        <v>Expansion</v>
      </c>
      <c r="Q577" t="str">
        <f t="shared" si="82"/>
        <v>Expansion</v>
      </c>
      <c r="R577">
        <f t="shared" si="76"/>
        <v>1</v>
      </c>
      <c r="S577">
        <f t="shared" si="77"/>
        <v>1</v>
      </c>
      <c r="T577">
        <f t="shared" si="78"/>
        <v>1</v>
      </c>
      <c r="U577">
        <f t="shared" si="79"/>
        <v>1</v>
      </c>
      <c r="V577" t="str" cm="1">
        <f t="array" ref="V577">_xlfn.IFS(
  AND(S577&gt;0,U577&gt;0),"Expansion",
  AND(S577&lt;0,U577&gt;0),"Slowdown",
  AND(S577&lt;0,U577&lt;0),"Contraction",
  AND(S577&gt;0,U577&lt;0),"Recovery",
  TRUE,"Undefined"
)</f>
        <v>Expansion</v>
      </c>
      <c r="W577">
        <f t="shared" si="80"/>
        <v>0</v>
      </c>
      <c r="X577">
        <f t="shared" si="81"/>
        <v>0</v>
      </c>
      <c r="Y577">
        <v>0</v>
      </c>
    </row>
    <row r="578" spans="1:25" x14ac:dyDescent="0.35">
      <c r="A578" s="1">
        <f>Data!A578</f>
        <v>34700</v>
      </c>
      <c r="B578" s="2">
        <f>IFERROR((Data!B578/Data!B577-1)*100,"")</f>
        <v>0.26648900732844094</v>
      </c>
      <c r="C578" s="2">
        <f>IFERROR((Data!C578/Data!C577-1)*100,"")</f>
        <v>0.17019829295750188</v>
      </c>
      <c r="D578">
        <f t="shared" si="74"/>
        <v>0.6252048064368928</v>
      </c>
      <c r="E578">
        <f t="shared" si="75"/>
        <v>0.24483121572018707</v>
      </c>
      <c r="P578" t="str" cm="1">
        <f t="array" ref="P578">_xlfn.IFS(
  AND(D578&gt;0,E578&gt;0),"Expansion",
  AND(D578&lt;0,E578&gt;0),"Slowdown",
  AND(D578&lt;0,E578&lt;0),"Contraction",
  AND(D578&gt;0,E578&lt;0),"Recovery",
  TRUE,"Undefined"
)</f>
        <v>Expansion</v>
      </c>
      <c r="Q578" t="str">
        <f t="shared" si="82"/>
        <v>Expansion</v>
      </c>
      <c r="R578">
        <f t="shared" si="76"/>
        <v>1</v>
      </c>
      <c r="S578">
        <f t="shared" si="77"/>
        <v>1</v>
      </c>
      <c r="T578">
        <f t="shared" si="78"/>
        <v>1</v>
      </c>
      <c r="U578">
        <f t="shared" si="79"/>
        <v>1</v>
      </c>
      <c r="V578" t="str" cm="1">
        <f t="array" ref="V578">_xlfn.IFS(
  AND(S578&gt;0,U578&gt;0),"Expansion",
  AND(S578&lt;0,U578&gt;0),"Slowdown",
  AND(S578&lt;0,U578&lt;0),"Contraction",
  AND(S578&gt;0,U578&lt;0),"Recovery",
  TRUE,"Undefined"
)</f>
        <v>Expansion</v>
      </c>
      <c r="W578">
        <f t="shared" si="80"/>
        <v>0</v>
      </c>
      <c r="X578">
        <f t="shared" si="81"/>
        <v>0</v>
      </c>
      <c r="Y578">
        <v>0</v>
      </c>
    </row>
    <row r="579" spans="1:25" x14ac:dyDescent="0.35">
      <c r="A579" s="1">
        <f>Data!A579</f>
        <v>34731</v>
      </c>
      <c r="B579" s="2">
        <f>IFERROR((Data!B579/Data!B578-1)*100,"")</f>
        <v>0.26578073089700283</v>
      </c>
      <c r="C579" s="2">
        <f>IFERROR((Data!C579/Data!C578-1)*100,"")</f>
        <v>-0.11280505770735472</v>
      </c>
      <c r="D579">
        <f t="shared" si="74"/>
        <v>0.35974039853268563</v>
      </c>
      <c r="E579">
        <f t="shared" si="75"/>
        <v>0.24417892030745106</v>
      </c>
      <c r="P579" t="str" cm="1">
        <f t="array" ref="P579">_xlfn.IFS(
  AND(D579&gt;0,E579&gt;0),"Expansion",
  AND(D579&lt;0,E579&gt;0),"Slowdown",
  AND(D579&lt;0,E579&lt;0),"Contraction",
  AND(D579&gt;0,E579&lt;0),"Recovery",
  TRUE,"Undefined"
)</f>
        <v>Expansion</v>
      </c>
      <c r="Q579" t="str">
        <f t="shared" si="82"/>
        <v>Expansion</v>
      </c>
      <c r="R579">
        <f t="shared" si="76"/>
        <v>1</v>
      </c>
      <c r="S579">
        <f t="shared" si="77"/>
        <v>1</v>
      </c>
      <c r="T579">
        <f t="shared" si="78"/>
        <v>1</v>
      </c>
      <c r="U579">
        <f t="shared" si="79"/>
        <v>1</v>
      </c>
      <c r="V579" t="str" cm="1">
        <f t="array" ref="V579">_xlfn.IFS(
  AND(S579&gt;0,U579&gt;0),"Expansion",
  AND(S579&lt;0,U579&gt;0),"Slowdown",
  AND(S579&lt;0,U579&lt;0),"Contraction",
  AND(S579&gt;0,U579&lt;0),"Recovery",
  TRUE,"Undefined"
)</f>
        <v>Expansion</v>
      </c>
      <c r="W579">
        <f t="shared" si="80"/>
        <v>0</v>
      </c>
      <c r="X579">
        <f t="shared" si="81"/>
        <v>0</v>
      </c>
      <c r="Y579">
        <v>0</v>
      </c>
    </row>
    <row r="580" spans="1:25" x14ac:dyDescent="0.35">
      <c r="A580" s="1">
        <f>Data!A580</f>
        <v>34759</v>
      </c>
      <c r="B580" s="2">
        <f>IFERROR((Data!B580/Data!B579-1)*100,"")</f>
        <v>0.19880715705764551</v>
      </c>
      <c r="C580" s="2">
        <f>IFERROR((Data!C580/Data!C579-1)*100,"")</f>
        <v>0.16616802213702542</v>
      </c>
      <c r="D580">
        <f t="shared" si="74"/>
        <v>7.4520419129057533E-2</v>
      </c>
      <c r="E580">
        <f t="shared" si="75"/>
        <v>0.24369229842769644</v>
      </c>
      <c r="P580" t="str" cm="1">
        <f t="array" ref="P580">_xlfn.IFS(
  AND(D580&gt;0,E580&gt;0),"Expansion",
  AND(D580&lt;0,E580&gt;0),"Slowdown",
  AND(D580&lt;0,E580&lt;0),"Contraction",
  AND(D580&gt;0,E580&lt;0),"Recovery",
  TRUE,"Undefined"
)</f>
        <v>Expansion</v>
      </c>
      <c r="Q580" t="str">
        <f t="shared" si="82"/>
        <v>Expansion</v>
      </c>
      <c r="R580">
        <f t="shared" si="76"/>
        <v>1</v>
      </c>
      <c r="S580">
        <f t="shared" si="77"/>
        <v>1</v>
      </c>
      <c r="T580">
        <f t="shared" si="78"/>
        <v>1</v>
      </c>
      <c r="U580">
        <f t="shared" si="79"/>
        <v>1</v>
      </c>
      <c r="V580" t="str" cm="1">
        <f t="array" ref="V580">_xlfn.IFS(
  AND(S580&gt;0,U580&gt;0),"Expansion",
  AND(S580&lt;0,U580&gt;0),"Slowdown",
  AND(S580&lt;0,U580&lt;0),"Contraction",
  AND(S580&gt;0,U580&lt;0),"Recovery",
  TRUE,"Undefined"
)</f>
        <v>Expansion</v>
      </c>
      <c r="W580">
        <f t="shared" si="80"/>
        <v>0</v>
      </c>
      <c r="X580">
        <f t="shared" si="81"/>
        <v>0</v>
      </c>
      <c r="Y580">
        <v>0</v>
      </c>
    </row>
    <row r="581" spans="1:25" x14ac:dyDescent="0.35">
      <c r="A581" s="1">
        <f>Data!A581</f>
        <v>34790</v>
      </c>
      <c r="B581" s="2">
        <f>IFERROR((Data!B581/Data!B580-1)*100,"")</f>
        <v>0.39682539682541762</v>
      </c>
      <c r="C581" s="2">
        <f>IFERROR((Data!C581/Data!C580-1)*100,"")</f>
        <v>-0.17262341311966578</v>
      </c>
      <c r="D581">
        <f t="shared" ref="D581:D644" si="83">SUM(C579:C581)/3</f>
        <v>-3.9753482896665027E-2</v>
      </c>
      <c r="E581">
        <f t="shared" ref="E581:E644" si="84">SUM(B579:B581)/3</f>
        <v>0.2871377615933553</v>
      </c>
      <c r="P581" t="str" cm="1">
        <f t="array" ref="P581">_xlfn.IFS(
  AND(D581&gt;0,E581&gt;0),"Expansion",
  AND(D581&lt;0,E581&gt;0),"Slowdown",
  AND(D581&lt;0,E581&lt;0),"Contraction",
  AND(D581&gt;0,E581&lt;0),"Recovery",
  TRUE,"Undefined"
)</f>
        <v>Slowdown</v>
      </c>
      <c r="Q581" t="str">
        <f t="shared" si="82"/>
        <v>Expansion</v>
      </c>
      <c r="R581">
        <f t="shared" si="76"/>
        <v>1</v>
      </c>
      <c r="S581">
        <f t="shared" si="77"/>
        <v>1</v>
      </c>
      <c r="T581">
        <f t="shared" si="78"/>
        <v>1</v>
      </c>
      <c r="U581">
        <f t="shared" si="79"/>
        <v>1</v>
      </c>
      <c r="V581" t="str" cm="1">
        <f t="array" ref="V581">_xlfn.IFS(
  AND(S581&gt;0,U581&gt;0),"Expansion",
  AND(S581&lt;0,U581&gt;0),"Slowdown",
  AND(S581&lt;0,U581&lt;0),"Contraction",
  AND(S581&gt;0,U581&lt;0),"Recovery",
  TRUE,"Undefined"
)</f>
        <v>Expansion</v>
      </c>
      <c r="W581">
        <f t="shared" si="80"/>
        <v>0</v>
      </c>
      <c r="X581">
        <f t="shared" si="81"/>
        <v>0</v>
      </c>
      <c r="Y581">
        <v>0</v>
      </c>
    </row>
    <row r="582" spans="1:25" x14ac:dyDescent="0.35">
      <c r="A582" s="1">
        <f>Data!A582</f>
        <v>34820</v>
      </c>
      <c r="B582" s="2">
        <f>IFERROR((Data!B582/Data!B581-1)*100,"")</f>
        <v>0.19762845849802257</v>
      </c>
      <c r="C582" s="2">
        <f>IFERROR((Data!C582/Data!C581-1)*100,"")</f>
        <v>0.49109262490132366</v>
      </c>
      <c r="D582">
        <f t="shared" si="83"/>
        <v>0.16154574463956109</v>
      </c>
      <c r="E582">
        <f t="shared" si="84"/>
        <v>0.26442033746036192</v>
      </c>
      <c r="P582" t="str" cm="1">
        <f t="array" ref="P582">_xlfn.IFS(
  AND(D582&gt;0,E582&gt;0),"Expansion",
  AND(D582&lt;0,E582&gt;0),"Slowdown",
  AND(D582&lt;0,E582&lt;0),"Contraction",
  AND(D582&gt;0,E582&lt;0),"Recovery",
  TRUE,"Undefined"
)</f>
        <v>Expansion</v>
      </c>
      <c r="Q582" t="str">
        <f t="shared" si="82"/>
        <v>Expansion</v>
      </c>
      <c r="R582">
        <f t="shared" ref="R582:R645" si="85">IF(D582&gt;-0.26, 1, -1)</f>
        <v>1</v>
      </c>
      <c r="S582">
        <f t="shared" ref="S582:S645" si="86">IF(R582=1, IF(D582 &lt; -$L$5, -1, 1), IF(D582 &gt; $L$5, 1, -1))</f>
        <v>1</v>
      </c>
      <c r="T582">
        <f t="shared" ref="T582:T645" si="87">IF(E582&gt;0, 1, -1)</f>
        <v>1</v>
      </c>
      <c r="U582">
        <f t="shared" ref="U582:U645" si="88">IF(T582=1, IF(E582 &lt; -$M$5, -1, 1), IF(E582 &gt; $M$5, 1, -1))</f>
        <v>1</v>
      </c>
      <c r="V582" t="str" cm="1">
        <f t="array" ref="V582">_xlfn.IFS(
  AND(S582&gt;0,U582&gt;0),"Expansion",
  AND(S582&lt;0,U582&gt;0),"Slowdown",
  AND(S582&lt;0,U582&lt;0),"Contraction",
  AND(S582&gt;0,U582&lt;0),"Recovery",
  TRUE,"Undefined"
)</f>
        <v>Expansion</v>
      </c>
      <c r="W582">
        <f t="shared" ref="W582:W645" si="89">IF(Q582="Contraction", 1, 0)</f>
        <v>0</v>
      </c>
      <c r="X582">
        <f t="shared" ref="X582:X645" si="90">IF(V582="Contraction", 1, 0)</f>
        <v>0</v>
      </c>
      <c r="Y582">
        <v>0</v>
      </c>
    </row>
    <row r="583" spans="1:25" x14ac:dyDescent="0.35">
      <c r="A583" s="1">
        <f>Data!A583</f>
        <v>34851</v>
      </c>
      <c r="B583" s="2">
        <f>IFERROR((Data!B583/Data!B582-1)*100,"")</f>
        <v>0.19723865877712132</v>
      </c>
      <c r="C583" s="2">
        <f>IFERROR((Data!C583/Data!C582-1)*100,"")</f>
        <v>0.33143317239276993</v>
      </c>
      <c r="D583">
        <f t="shared" si="83"/>
        <v>0.21663412805814261</v>
      </c>
      <c r="E583">
        <f t="shared" si="84"/>
        <v>0.26389750470018719</v>
      </c>
      <c r="P583" t="str" cm="1">
        <f t="array" ref="P583">_xlfn.IFS(
  AND(D583&gt;0,E583&gt;0),"Expansion",
  AND(D583&lt;0,E583&gt;0),"Slowdown",
  AND(D583&lt;0,E583&lt;0),"Contraction",
  AND(D583&gt;0,E583&lt;0),"Recovery",
  TRUE,"Undefined"
)</f>
        <v>Expansion</v>
      </c>
      <c r="Q583" t="str">
        <f t="shared" si="82"/>
        <v>Expansion</v>
      </c>
      <c r="R583">
        <f t="shared" si="85"/>
        <v>1</v>
      </c>
      <c r="S583">
        <f t="shared" si="86"/>
        <v>1</v>
      </c>
      <c r="T583">
        <f t="shared" si="87"/>
        <v>1</v>
      </c>
      <c r="U583">
        <f t="shared" si="88"/>
        <v>1</v>
      </c>
      <c r="V583" t="str" cm="1">
        <f t="array" ref="V583">_xlfn.IFS(
  AND(S583&gt;0,U583&gt;0),"Expansion",
  AND(S583&lt;0,U583&gt;0),"Slowdown",
  AND(S583&lt;0,U583&lt;0),"Contraction",
  AND(S583&gt;0,U583&lt;0),"Recovery",
  TRUE,"Undefined"
)</f>
        <v>Expansion</v>
      </c>
      <c r="W583">
        <f t="shared" si="89"/>
        <v>0</v>
      </c>
      <c r="X583">
        <f t="shared" si="90"/>
        <v>0</v>
      </c>
      <c r="Y583">
        <v>0</v>
      </c>
    </row>
    <row r="584" spans="1:25" x14ac:dyDescent="0.35">
      <c r="A584" s="1">
        <f>Data!A584</f>
        <v>34881</v>
      </c>
      <c r="B584" s="2">
        <f>IFERROR((Data!B584/Data!B583-1)*100,"")</f>
        <v>0.1312335958005173</v>
      </c>
      <c r="C584" s="2">
        <f>IFERROR((Data!C584/Data!C583-1)*100,"")</f>
        <v>-0.41811273857573772</v>
      </c>
      <c r="D584">
        <f t="shared" si="83"/>
        <v>0.13480435290611861</v>
      </c>
      <c r="E584">
        <f t="shared" si="84"/>
        <v>0.17536690435855373</v>
      </c>
      <c r="P584" t="str" cm="1">
        <f t="array" ref="P584">_xlfn.IFS(
  AND(D584&gt;0,E584&gt;0),"Expansion",
  AND(D584&lt;0,E584&gt;0),"Slowdown",
  AND(D584&lt;0,E584&lt;0),"Contraction",
  AND(D584&gt;0,E584&lt;0),"Recovery",
  TRUE,"Undefined"
)</f>
        <v>Expansion</v>
      </c>
      <c r="Q584" t="str">
        <f t="shared" ref="Q584:Q647" si="91">IF(AND(P584=P583, P583=P582), P584, Q583)</f>
        <v>Expansion</v>
      </c>
      <c r="R584">
        <f t="shared" si="85"/>
        <v>1</v>
      </c>
      <c r="S584">
        <f t="shared" si="86"/>
        <v>1</v>
      </c>
      <c r="T584">
        <f t="shared" si="87"/>
        <v>1</v>
      </c>
      <c r="U584">
        <f t="shared" si="88"/>
        <v>1</v>
      </c>
      <c r="V584" t="str" cm="1">
        <f t="array" ref="V584">_xlfn.IFS(
  AND(S584&gt;0,U584&gt;0),"Expansion",
  AND(S584&lt;0,U584&gt;0),"Slowdown",
  AND(S584&lt;0,U584&lt;0),"Contraction",
  AND(S584&gt;0,U584&lt;0),"Recovery",
  TRUE,"Undefined"
)</f>
        <v>Expansion</v>
      </c>
      <c r="W584">
        <f t="shared" si="89"/>
        <v>0</v>
      </c>
      <c r="X584">
        <f t="shared" si="90"/>
        <v>0</v>
      </c>
      <c r="Y584">
        <v>0</v>
      </c>
    </row>
    <row r="585" spans="1:25" x14ac:dyDescent="0.35">
      <c r="A585" s="1">
        <f>Data!A585</f>
        <v>34912</v>
      </c>
      <c r="B585" s="2">
        <f>IFERROR((Data!B585/Data!B584-1)*100,"")</f>
        <v>0.19659239842726439</v>
      </c>
      <c r="C585" s="2">
        <f>IFERROR((Data!C585/Data!C584-1)*100,"")</f>
        <v>1.3256420444688333</v>
      </c>
      <c r="D585">
        <f t="shared" si="83"/>
        <v>0.41298749276195518</v>
      </c>
      <c r="E585">
        <f t="shared" si="84"/>
        <v>0.17502155100163433</v>
      </c>
      <c r="P585" t="str" cm="1">
        <f t="array" ref="P585">_xlfn.IFS(
  AND(D585&gt;0,E585&gt;0),"Expansion",
  AND(D585&lt;0,E585&gt;0),"Slowdown",
  AND(D585&lt;0,E585&lt;0),"Contraction",
  AND(D585&gt;0,E585&lt;0),"Recovery",
  TRUE,"Undefined"
)</f>
        <v>Expansion</v>
      </c>
      <c r="Q585" t="str">
        <f t="shared" si="91"/>
        <v>Expansion</v>
      </c>
      <c r="R585">
        <f t="shared" si="85"/>
        <v>1</v>
      </c>
      <c r="S585">
        <f t="shared" si="86"/>
        <v>1</v>
      </c>
      <c r="T585">
        <f t="shared" si="87"/>
        <v>1</v>
      </c>
      <c r="U585">
        <f t="shared" si="88"/>
        <v>1</v>
      </c>
      <c r="V585" t="str" cm="1">
        <f t="array" ref="V585">_xlfn.IFS(
  AND(S585&gt;0,U585&gt;0),"Expansion",
  AND(S585&lt;0,U585&gt;0),"Slowdown",
  AND(S585&lt;0,U585&lt;0),"Contraction",
  AND(S585&gt;0,U585&lt;0),"Recovery",
  TRUE,"Undefined"
)</f>
        <v>Expansion</v>
      </c>
      <c r="W585">
        <f t="shared" si="89"/>
        <v>0</v>
      </c>
      <c r="X585">
        <f t="shared" si="90"/>
        <v>0</v>
      </c>
      <c r="Y585">
        <v>0</v>
      </c>
    </row>
    <row r="586" spans="1:25" x14ac:dyDescent="0.35">
      <c r="A586" s="1">
        <f>Data!A586</f>
        <v>34943</v>
      </c>
      <c r="B586" s="2">
        <f>IFERROR((Data!B586/Data!B585-1)*100,"")</f>
        <v>0.13080444735120711</v>
      </c>
      <c r="C586" s="2">
        <f>IFERROR((Data!C586/Data!C585-1)*100,"")</f>
        <v>0.40332880894420331</v>
      </c>
      <c r="D586">
        <f t="shared" si="83"/>
        <v>0.43695270494576627</v>
      </c>
      <c r="E586">
        <f t="shared" si="84"/>
        <v>0.15287681385966292</v>
      </c>
      <c r="P586" t="str" cm="1">
        <f t="array" ref="P586">_xlfn.IFS(
  AND(D586&gt;0,E586&gt;0),"Expansion",
  AND(D586&lt;0,E586&gt;0),"Slowdown",
  AND(D586&lt;0,E586&lt;0),"Contraction",
  AND(D586&gt;0,E586&lt;0),"Recovery",
  TRUE,"Undefined"
)</f>
        <v>Expansion</v>
      </c>
      <c r="Q586" t="str">
        <f t="shared" si="91"/>
        <v>Expansion</v>
      </c>
      <c r="R586">
        <f t="shared" si="85"/>
        <v>1</v>
      </c>
      <c r="S586">
        <f t="shared" si="86"/>
        <v>1</v>
      </c>
      <c r="T586">
        <f t="shared" si="87"/>
        <v>1</v>
      </c>
      <c r="U586">
        <f t="shared" si="88"/>
        <v>1</v>
      </c>
      <c r="V586" t="str" cm="1">
        <f t="array" ref="V586">_xlfn.IFS(
  AND(S586&gt;0,U586&gt;0),"Expansion",
  AND(S586&lt;0,U586&gt;0),"Slowdown",
  AND(S586&lt;0,U586&lt;0),"Contraction",
  AND(S586&gt;0,U586&lt;0),"Recovery",
  TRUE,"Undefined"
)</f>
        <v>Expansion</v>
      </c>
      <c r="W586">
        <f t="shared" si="89"/>
        <v>0</v>
      </c>
      <c r="X586">
        <f t="shared" si="90"/>
        <v>0</v>
      </c>
      <c r="Y586">
        <v>0</v>
      </c>
    </row>
    <row r="587" spans="1:25" x14ac:dyDescent="0.35">
      <c r="A587" s="1">
        <f>Data!A587</f>
        <v>34973</v>
      </c>
      <c r="B587" s="2">
        <f>IFERROR((Data!B587/Data!B586-1)*100,"")</f>
        <v>0.26126714565644082</v>
      </c>
      <c r="C587" s="2">
        <f>IFERROR((Data!C587/Data!C586-1)*100,"")</f>
        <v>-0.1757561088312487</v>
      </c>
      <c r="D587">
        <f t="shared" si="83"/>
        <v>0.51773824819392933</v>
      </c>
      <c r="E587">
        <f t="shared" si="84"/>
        <v>0.19622133047830412</v>
      </c>
      <c r="P587" t="str" cm="1">
        <f t="array" ref="P587">_xlfn.IFS(
  AND(D587&gt;0,E587&gt;0),"Expansion",
  AND(D587&lt;0,E587&gt;0),"Slowdown",
  AND(D587&lt;0,E587&lt;0),"Contraction",
  AND(D587&gt;0,E587&lt;0),"Recovery",
  TRUE,"Undefined"
)</f>
        <v>Expansion</v>
      </c>
      <c r="Q587" t="str">
        <f t="shared" si="91"/>
        <v>Expansion</v>
      </c>
      <c r="R587">
        <f t="shared" si="85"/>
        <v>1</v>
      </c>
      <c r="S587">
        <f t="shared" si="86"/>
        <v>1</v>
      </c>
      <c r="T587">
        <f t="shared" si="87"/>
        <v>1</v>
      </c>
      <c r="U587">
        <f t="shared" si="88"/>
        <v>1</v>
      </c>
      <c r="V587" t="str" cm="1">
        <f t="array" ref="V587">_xlfn.IFS(
  AND(S587&gt;0,U587&gt;0),"Expansion",
  AND(S587&lt;0,U587&gt;0),"Slowdown",
  AND(S587&lt;0,U587&lt;0),"Contraction",
  AND(S587&gt;0,U587&lt;0),"Recovery",
  TRUE,"Undefined"
)</f>
        <v>Expansion</v>
      </c>
      <c r="W587">
        <f t="shared" si="89"/>
        <v>0</v>
      </c>
      <c r="X587">
        <f t="shared" si="90"/>
        <v>0</v>
      </c>
      <c r="Y587">
        <v>0</v>
      </c>
    </row>
    <row r="588" spans="1:25" x14ac:dyDescent="0.35">
      <c r="A588" s="1">
        <f>Data!A588</f>
        <v>35004</v>
      </c>
      <c r="B588" s="2">
        <f>IFERROR((Data!B588/Data!B587-1)*100,"")</f>
        <v>0.13029315960910726</v>
      </c>
      <c r="C588" s="2">
        <f>IFERROR((Data!C588/Data!C587-1)*100,"")</f>
        <v>0.26354726629984615</v>
      </c>
      <c r="D588">
        <f t="shared" si="83"/>
        <v>0.16370665547093358</v>
      </c>
      <c r="E588">
        <f t="shared" si="84"/>
        <v>0.17412158420558507</v>
      </c>
      <c r="P588" t="str" cm="1">
        <f t="array" ref="P588">_xlfn.IFS(
  AND(D588&gt;0,E588&gt;0),"Expansion",
  AND(D588&lt;0,E588&gt;0),"Slowdown",
  AND(D588&lt;0,E588&lt;0),"Contraction",
  AND(D588&gt;0,E588&lt;0),"Recovery",
  TRUE,"Undefined"
)</f>
        <v>Expansion</v>
      </c>
      <c r="Q588" t="str">
        <f t="shared" si="91"/>
        <v>Expansion</v>
      </c>
      <c r="R588">
        <f t="shared" si="85"/>
        <v>1</v>
      </c>
      <c r="S588">
        <f t="shared" si="86"/>
        <v>1</v>
      </c>
      <c r="T588">
        <f t="shared" si="87"/>
        <v>1</v>
      </c>
      <c r="U588">
        <f t="shared" si="88"/>
        <v>1</v>
      </c>
      <c r="V588" t="str" cm="1">
        <f t="array" ref="V588">_xlfn.IFS(
  AND(S588&gt;0,U588&gt;0),"Expansion",
  AND(S588&lt;0,U588&gt;0),"Slowdown",
  AND(S588&lt;0,U588&lt;0),"Contraction",
  AND(S588&gt;0,U588&lt;0),"Recovery",
  TRUE,"Undefined"
)</f>
        <v>Expansion</v>
      </c>
      <c r="W588">
        <f t="shared" si="89"/>
        <v>0</v>
      </c>
      <c r="X588">
        <f t="shared" si="90"/>
        <v>0</v>
      </c>
      <c r="Y588">
        <v>0</v>
      </c>
    </row>
    <row r="589" spans="1:25" x14ac:dyDescent="0.35">
      <c r="A589" s="1">
        <f>Data!A589</f>
        <v>35034</v>
      </c>
      <c r="B589" s="2">
        <f>IFERROR((Data!B589/Data!B588-1)*100,"")</f>
        <v>0.13012361743658385</v>
      </c>
      <c r="C589" s="2">
        <f>IFERROR((Data!C589/Data!C588-1)*100,"")</f>
        <v>0.34708338657751803</v>
      </c>
      <c r="D589">
        <f t="shared" si="83"/>
        <v>0.14495818134870517</v>
      </c>
      <c r="E589">
        <f t="shared" si="84"/>
        <v>0.17389464090071063</v>
      </c>
      <c r="P589" t="str" cm="1">
        <f t="array" ref="P589">_xlfn.IFS(
  AND(D589&gt;0,E589&gt;0),"Expansion",
  AND(D589&lt;0,E589&gt;0),"Slowdown",
  AND(D589&lt;0,E589&lt;0),"Contraction",
  AND(D589&gt;0,E589&lt;0),"Recovery",
  TRUE,"Undefined"
)</f>
        <v>Expansion</v>
      </c>
      <c r="Q589" t="str">
        <f t="shared" si="91"/>
        <v>Expansion</v>
      </c>
      <c r="R589">
        <f t="shared" si="85"/>
        <v>1</v>
      </c>
      <c r="S589">
        <f t="shared" si="86"/>
        <v>1</v>
      </c>
      <c r="T589">
        <f t="shared" si="87"/>
        <v>1</v>
      </c>
      <c r="U589">
        <f t="shared" si="88"/>
        <v>1</v>
      </c>
      <c r="V589" t="str" cm="1">
        <f t="array" ref="V589">_xlfn.IFS(
  AND(S589&gt;0,U589&gt;0),"Expansion",
  AND(S589&lt;0,U589&gt;0),"Slowdown",
  AND(S589&lt;0,U589&lt;0),"Contraction",
  AND(S589&gt;0,U589&lt;0),"Recovery",
  TRUE,"Undefined"
)</f>
        <v>Expansion</v>
      </c>
      <c r="W589">
        <f t="shared" si="89"/>
        <v>0</v>
      </c>
      <c r="X589">
        <f t="shared" si="90"/>
        <v>0</v>
      </c>
      <c r="Y589">
        <v>0</v>
      </c>
    </row>
    <row r="590" spans="1:25" x14ac:dyDescent="0.35">
      <c r="A590" s="1">
        <f>Data!A590</f>
        <v>35065</v>
      </c>
      <c r="B590" s="2">
        <f>IFERROR((Data!B590/Data!B589-1)*100,"")</f>
        <v>0.51981806367771277</v>
      </c>
      <c r="C590" s="2">
        <f>IFERROR((Data!C590/Data!C589-1)*100,"")</f>
        <v>-0.57236360150896282</v>
      </c>
      <c r="D590">
        <f t="shared" si="83"/>
        <v>1.275568378946712E-2</v>
      </c>
      <c r="E590">
        <f t="shared" si="84"/>
        <v>0.26007828024113461</v>
      </c>
      <c r="P590" t="str" cm="1">
        <f t="array" ref="P590">_xlfn.IFS(
  AND(D590&gt;0,E590&gt;0),"Expansion",
  AND(D590&lt;0,E590&gt;0),"Slowdown",
  AND(D590&lt;0,E590&lt;0),"Contraction",
  AND(D590&gt;0,E590&lt;0),"Recovery",
  TRUE,"Undefined"
)</f>
        <v>Expansion</v>
      </c>
      <c r="Q590" t="str">
        <f t="shared" si="91"/>
        <v>Expansion</v>
      </c>
      <c r="R590">
        <f t="shared" si="85"/>
        <v>1</v>
      </c>
      <c r="S590">
        <f t="shared" si="86"/>
        <v>1</v>
      </c>
      <c r="T590">
        <f t="shared" si="87"/>
        <v>1</v>
      </c>
      <c r="U590">
        <f t="shared" si="88"/>
        <v>1</v>
      </c>
      <c r="V590" t="str" cm="1">
        <f t="array" ref="V590">_xlfn.IFS(
  AND(S590&gt;0,U590&gt;0),"Expansion",
  AND(S590&lt;0,U590&gt;0),"Slowdown",
  AND(S590&lt;0,U590&lt;0),"Contraction",
  AND(S590&gt;0,U590&lt;0),"Recovery",
  TRUE,"Undefined"
)</f>
        <v>Expansion</v>
      </c>
      <c r="W590">
        <f t="shared" si="89"/>
        <v>0</v>
      </c>
      <c r="X590">
        <f t="shared" si="90"/>
        <v>0</v>
      </c>
      <c r="Y590">
        <v>0</v>
      </c>
    </row>
    <row r="591" spans="1:25" x14ac:dyDescent="0.35">
      <c r="A591" s="1">
        <f>Data!A591</f>
        <v>35096</v>
      </c>
      <c r="B591" s="2">
        <f>IFERROR((Data!B591/Data!B590-1)*100,"")</f>
        <v>0.19392372333548735</v>
      </c>
      <c r="C591" s="2">
        <f>IFERROR((Data!C591/Data!C590-1)*100,"")</f>
        <v>1.4635221208469718</v>
      </c>
      <c r="D591">
        <f t="shared" si="83"/>
        <v>0.41274730197184234</v>
      </c>
      <c r="E591">
        <f t="shared" si="84"/>
        <v>0.28128846814992797</v>
      </c>
      <c r="P591" t="str" cm="1">
        <f t="array" ref="P591">_xlfn.IFS(
  AND(D591&gt;0,E591&gt;0),"Expansion",
  AND(D591&lt;0,E591&gt;0),"Slowdown",
  AND(D591&lt;0,E591&lt;0),"Contraction",
  AND(D591&gt;0,E591&lt;0),"Recovery",
  TRUE,"Undefined"
)</f>
        <v>Expansion</v>
      </c>
      <c r="Q591" t="str">
        <f t="shared" si="91"/>
        <v>Expansion</v>
      </c>
      <c r="R591">
        <f t="shared" si="85"/>
        <v>1</v>
      </c>
      <c r="S591">
        <f t="shared" si="86"/>
        <v>1</v>
      </c>
      <c r="T591">
        <f t="shared" si="87"/>
        <v>1</v>
      </c>
      <c r="U591">
        <f t="shared" si="88"/>
        <v>1</v>
      </c>
      <c r="V591" t="str" cm="1">
        <f t="array" ref="V591">_xlfn.IFS(
  AND(S591&gt;0,U591&gt;0),"Expansion",
  AND(S591&lt;0,U591&gt;0),"Slowdown",
  AND(S591&lt;0,U591&lt;0),"Contraction",
  AND(S591&gt;0,U591&lt;0),"Recovery",
  TRUE,"Undefined"
)</f>
        <v>Expansion</v>
      </c>
      <c r="W591">
        <f t="shared" si="89"/>
        <v>0</v>
      </c>
      <c r="X591">
        <f t="shared" si="90"/>
        <v>0</v>
      </c>
      <c r="Y591">
        <v>0</v>
      </c>
    </row>
    <row r="592" spans="1:25" x14ac:dyDescent="0.35">
      <c r="A592" s="1">
        <f>Data!A592</f>
        <v>35125</v>
      </c>
      <c r="B592" s="2">
        <f>IFERROR((Data!B592/Data!B591-1)*100,"")</f>
        <v>0.3225806451612856</v>
      </c>
      <c r="C592" s="2">
        <f>IFERROR((Data!C592/Data!C591-1)*100,"")</f>
        <v>-0.12242925706344998</v>
      </c>
      <c r="D592">
        <f t="shared" si="83"/>
        <v>0.25624308742485297</v>
      </c>
      <c r="E592">
        <f t="shared" si="84"/>
        <v>0.34544081072482857</v>
      </c>
      <c r="P592" t="str" cm="1">
        <f t="array" ref="P592">_xlfn.IFS(
  AND(D592&gt;0,E592&gt;0),"Expansion",
  AND(D592&lt;0,E592&gt;0),"Slowdown",
  AND(D592&lt;0,E592&lt;0),"Contraction",
  AND(D592&gt;0,E592&lt;0),"Recovery",
  TRUE,"Undefined"
)</f>
        <v>Expansion</v>
      </c>
      <c r="Q592" t="str">
        <f t="shared" si="91"/>
        <v>Expansion</v>
      </c>
      <c r="R592">
        <f t="shared" si="85"/>
        <v>1</v>
      </c>
      <c r="S592">
        <f t="shared" si="86"/>
        <v>1</v>
      </c>
      <c r="T592">
        <f t="shared" si="87"/>
        <v>1</v>
      </c>
      <c r="U592">
        <f t="shared" si="88"/>
        <v>1</v>
      </c>
      <c r="V592" t="str" cm="1">
        <f t="array" ref="V592">_xlfn.IFS(
  AND(S592&gt;0,U592&gt;0),"Expansion",
  AND(S592&lt;0,U592&gt;0),"Slowdown",
  AND(S592&lt;0,U592&lt;0),"Contraction",
  AND(S592&gt;0,U592&lt;0),"Recovery",
  TRUE,"Undefined"
)</f>
        <v>Expansion</v>
      </c>
      <c r="W592">
        <f t="shared" si="89"/>
        <v>0</v>
      </c>
      <c r="X592">
        <f t="shared" si="90"/>
        <v>0</v>
      </c>
      <c r="Y592">
        <v>0</v>
      </c>
    </row>
    <row r="593" spans="1:25" x14ac:dyDescent="0.35">
      <c r="A593" s="1">
        <f>Data!A593</f>
        <v>35156</v>
      </c>
      <c r="B593" s="2">
        <f>IFERROR((Data!B593/Data!B592-1)*100,"")</f>
        <v>0.38585209003214604</v>
      </c>
      <c r="C593" s="2">
        <f>IFERROR((Data!C593/Data!C592-1)*100,"")</f>
        <v>0.99503974994905597</v>
      </c>
      <c r="D593">
        <f t="shared" si="83"/>
        <v>0.77871087124419258</v>
      </c>
      <c r="E593">
        <f t="shared" si="84"/>
        <v>0.30078548617630635</v>
      </c>
      <c r="P593" t="str" cm="1">
        <f t="array" ref="P593">_xlfn.IFS(
  AND(D593&gt;0,E593&gt;0),"Expansion",
  AND(D593&lt;0,E593&gt;0),"Slowdown",
  AND(D593&lt;0,E593&lt;0),"Contraction",
  AND(D593&gt;0,E593&lt;0),"Recovery",
  TRUE,"Undefined"
)</f>
        <v>Expansion</v>
      </c>
      <c r="Q593" t="str">
        <f t="shared" si="91"/>
        <v>Expansion</v>
      </c>
      <c r="R593">
        <f t="shared" si="85"/>
        <v>1</v>
      </c>
      <c r="S593">
        <f t="shared" si="86"/>
        <v>1</v>
      </c>
      <c r="T593">
        <f t="shared" si="87"/>
        <v>1</v>
      </c>
      <c r="U593">
        <f t="shared" si="88"/>
        <v>1</v>
      </c>
      <c r="V593" t="str" cm="1">
        <f t="array" ref="V593">_xlfn.IFS(
  AND(S593&gt;0,U593&gt;0),"Expansion",
  AND(S593&lt;0,U593&gt;0),"Slowdown",
  AND(S593&lt;0,U593&lt;0),"Contraction",
  AND(S593&gt;0,U593&lt;0),"Recovery",
  TRUE,"Undefined"
)</f>
        <v>Expansion</v>
      </c>
      <c r="W593">
        <f t="shared" si="89"/>
        <v>0</v>
      </c>
      <c r="X593">
        <f t="shared" si="90"/>
        <v>0</v>
      </c>
      <c r="Y593">
        <v>0</v>
      </c>
    </row>
    <row r="594" spans="1:25" x14ac:dyDescent="0.35">
      <c r="A594" s="1">
        <f>Data!A594</f>
        <v>35186</v>
      </c>
      <c r="B594" s="2">
        <f>IFERROR((Data!B594/Data!B593-1)*100,"")</f>
        <v>0.19218449711724261</v>
      </c>
      <c r="C594" s="2">
        <f>IFERROR((Data!C594/Data!C593-1)*100,"")</f>
        <v>0.7473370902025378</v>
      </c>
      <c r="D594">
        <f t="shared" si="83"/>
        <v>0.53998252769604793</v>
      </c>
      <c r="E594">
        <f t="shared" si="84"/>
        <v>0.3002057441035581</v>
      </c>
      <c r="P594" t="str" cm="1">
        <f t="array" ref="P594">_xlfn.IFS(
  AND(D594&gt;0,E594&gt;0),"Expansion",
  AND(D594&lt;0,E594&gt;0),"Slowdown",
  AND(D594&lt;0,E594&lt;0),"Contraction",
  AND(D594&gt;0,E594&lt;0),"Recovery",
  TRUE,"Undefined"
)</f>
        <v>Expansion</v>
      </c>
      <c r="Q594" t="str">
        <f t="shared" si="91"/>
        <v>Expansion</v>
      </c>
      <c r="R594">
        <f t="shared" si="85"/>
        <v>1</v>
      </c>
      <c r="S594">
        <f t="shared" si="86"/>
        <v>1</v>
      </c>
      <c r="T594">
        <f t="shared" si="87"/>
        <v>1</v>
      </c>
      <c r="U594">
        <f t="shared" si="88"/>
        <v>1</v>
      </c>
      <c r="V594" t="str" cm="1">
        <f t="array" ref="V594">_xlfn.IFS(
  AND(S594&gt;0,U594&gt;0),"Expansion",
  AND(S594&lt;0,U594&gt;0),"Slowdown",
  AND(S594&lt;0,U594&lt;0),"Contraction",
  AND(S594&gt;0,U594&lt;0),"Recovery",
  TRUE,"Undefined"
)</f>
        <v>Expansion</v>
      </c>
      <c r="W594">
        <f t="shared" si="89"/>
        <v>0</v>
      </c>
      <c r="X594">
        <f t="shared" si="90"/>
        <v>0</v>
      </c>
      <c r="Y594">
        <v>0</v>
      </c>
    </row>
    <row r="595" spans="1:25" x14ac:dyDescent="0.35">
      <c r="A595" s="1">
        <f>Data!A595</f>
        <v>35217</v>
      </c>
      <c r="B595" s="2">
        <f>IFERROR((Data!B595/Data!B594-1)*100,"")</f>
        <v>0.19181585677747748</v>
      </c>
      <c r="C595" s="2">
        <f>IFERROR((Data!C595/Data!C594-1)*100,"")</f>
        <v>0.76222810480734982</v>
      </c>
      <c r="D595">
        <f t="shared" si="83"/>
        <v>0.83486831498631453</v>
      </c>
      <c r="E595">
        <f t="shared" si="84"/>
        <v>0.2566174813089554</v>
      </c>
      <c r="P595" t="str" cm="1">
        <f t="array" ref="P595">_xlfn.IFS(
  AND(D595&gt;0,E595&gt;0),"Expansion",
  AND(D595&lt;0,E595&gt;0),"Slowdown",
  AND(D595&lt;0,E595&lt;0),"Contraction",
  AND(D595&gt;0,E595&lt;0),"Recovery",
  TRUE,"Undefined"
)</f>
        <v>Expansion</v>
      </c>
      <c r="Q595" t="str">
        <f t="shared" si="91"/>
        <v>Expansion</v>
      </c>
      <c r="R595">
        <f t="shared" si="85"/>
        <v>1</v>
      </c>
      <c r="S595">
        <f t="shared" si="86"/>
        <v>1</v>
      </c>
      <c r="T595">
        <f t="shared" si="87"/>
        <v>1</v>
      </c>
      <c r="U595">
        <f t="shared" si="88"/>
        <v>1</v>
      </c>
      <c r="V595" t="str" cm="1">
        <f t="array" ref="V595">_xlfn.IFS(
  AND(S595&gt;0,U595&gt;0),"Expansion",
  AND(S595&lt;0,U595&gt;0),"Slowdown",
  AND(S595&lt;0,U595&lt;0),"Contraction",
  AND(S595&gt;0,U595&lt;0),"Recovery",
  TRUE,"Undefined"
)</f>
        <v>Expansion</v>
      </c>
      <c r="W595">
        <f t="shared" si="89"/>
        <v>0</v>
      </c>
      <c r="X595">
        <f t="shared" si="90"/>
        <v>0</v>
      </c>
      <c r="Y595">
        <v>0</v>
      </c>
    </row>
    <row r="596" spans="1:25" x14ac:dyDescent="0.35">
      <c r="A596" s="1">
        <f>Data!A596</f>
        <v>35247</v>
      </c>
      <c r="B596" s="2">
        <f>IFERROR((Data!B596/Data!B595-1)*100,"")</f>
        <v>0.19144862795150708</v>
      </c>
      <c r="C596" s="2">
        <f>IFERROR((Data!C596/Data!C595-1)*100,"")</f>
        <v>1.5375785523707997E-2</v>
      </c>
      <c r="D596">
        <f t="shared" si="83"/>
        <v>0.50831366017786517</v>
      </c>
      <c r="E596">
        <f t="shared" si="84"/>
        <v>0.19181632728207573</v>
      </c>
      <c r="P596" t="str" cm="1">
        <f t="array" ref="P596">_xlfn.IFS(
  AND(D596&gt;0,E596&gt;0),"Expansion",
  AND(D596&lt;0,E596&gt;0),"Slowdown",
  AND(D596&lt;0,E596&lt;0),"Contraction",
  AND(D596&gt;0,E596&lt;0),"Recovery",
  TRUE,"Undefined"
)</f>
        <v>Expansion</v>
      </c>
      <c r="Q596" t="str">
        <f t="shared" si="91"/>
        <v>Expansion</v>
      </c>
      <c r="R596">
        <f t="shared" si="85"/>
        <v>1</v>
      </c>
      <c r="S596">
        <f t="shared" si="86"/>
        <v>1</v>
      </c>
      <c r="T596">
        <f t="shared" si="87"/>
        <v>1</v>
      </c>
      <c r="U596">
        <f t="shared" si="88"/>
        <v>1</v>
      </c>
      <c r="V596" t="str" cm="1">
        <f t="array" ref="V596">_xlfn.IFS(
  AND(S596&gt;0,U596&gt;0),"Expansion",
  AND(S596&lt;0,U596&gt;0),"Slowdown",
  AND(S596&lt;0,U596&lt;0),"Contraction",
  AND(S596&gt;0,U596&lt;0),"Recovery",
  TRUE,"Undefined"
)</f>
        <v>Expansion</v>
      </c>
      <c r="W596">
        <f t="shared" si="89"/>
        <v>0</v>
      </c>
      <c r="X596">
        <f t="shared" si="90"/>
        <v>0</v>
      </c>
      <c r="Y596">
        <v>0</v>
      </c>
    </row>
    <row r="597" spans="1:25" x14ac:dyDescent="0.35">
      <c r="A597" s="1">
        <f>Data!A597</f>
        <v>35278</v>
      </c>
      <c r="B597" s="2">
        <f>IFERROR((Data!B597/Data!B596-1)*100,"")</f>
        <v>0.12738853503184711</v>
      </c>
      <c r="C597" s="2">
        <f>IFERROR((Data!C597/Data!C596-1)*100,"")</f>
        <v>0.51182892032193283</v>
      </c>
      <c r="D597">
        <f t="shared" si="83"/>
        <v>0.4298109368843302</v>
      </c>
      <c r="E597">
        <f t="shared" si="84"/>
        <v>0.17021767325361056</v>
      </c>
      <c r="P597" t="str" cm="1">
        <f t="array" ref="P597">_xlfn.IFS(
  AND(D597&gt;0,E597&gt;0),"Expansion",
  AND(D597&lt;0,E597&gt;0),"Slowdown",
  AND(D597&lt;0,E597&lt;0),"Contraction",
  AND(D597&gt;0,E597&lt;0),"Recovery",
  TRUE,"Undefined"
)</f>
        <v>Expansion</v>
      </c>
      <c r="Q597" t="str">
        <f t="shared" si="91"/>
        <v>Expansion</v>
      </c>
      <c r="R597">
        <f t="shared" si="85"/>
        <v>1</v>
      </c>
      <c r="S597">
        <f t="shared" si="86"/>
        <v>1</v>
      </c>
      <c r="T597">
        <f t="shared" si="87"/>
        <v>1</v>
      </c>
      <c r="U597">
        <f t="shared" si="88"/>
        <v>1</v>
      </c>
      <c r="V597" t="str" cm="1">
        <f t="array" ref="V597">_xlfn.IFS(
  AND(S597&gt;0,U597&gt;0),"Expansion",
  AND(S597&lt;0,U597&gt;0),"Slowdown",
  AND(S597&lt;0,U597&lt;0),"Contraction",
  AND(S597&gt;0,U597&lt;0),"Recovery",
  TRUE,"Undefined"
)</f>
        <v>Expansion</v>
      </c>
      <c r="W597">
        <f t="shared" si="89"/>
        <v>0</v>
      </c>
      <c r="X597">
        <f t="shared" si="90"/>
        <v>0</v>
      </c>
      <c r="Y597">
        <v>0</v>
      </c>
    </row>
    <row r="598" spans="1:25" x14ac:dyDescent="0.35">
      <c r="A598" s="1">
        <f>Data!A598</f>
        <v>35309</v>
      </c>
      <c r="B598" s="2">
        <f>IFERROR((Data!B598/Data!B597-1)*100,"")</f>
        <v>0.31806615776082126</v>
      </c>
      <c r="C598" s="2">
        <f>IFERROR((Data!C598/Data!C597-1)*100,"")</f>
        <v>0.62591391738779922</v>
      </c>
      <c r="D598">
        <f t="shared" si="83"/>
        <v>0.3843728744111467</v>
      </c>
      <c r="E598">
        <f t="shared" si="84"/>
        <v>0.21230110691472515</v>
      </c>
      <c r="P598" t="str" cm="1">
        <f t="array" ref="P598">_xlfn.IFS(
  AND(D598&gt;0,E598&gt;0),"Expansion",
  AND(D598&lt;0,E598&gt;0),"Slowdown",
  AND(D598&lt;0,E598&lt;0),"Contraction",
  AND(D598&gt;0,E598&lt;0),"Recovery",
  TRUE,"Undefined"
)</f>
        <v>Expansion</v>
      </c>
      <c r="Q598" t="str">
        <f t="shared" si="91"/>
        <v>Expansion</v>
      </c>
      <c r="R598">
        <f t="shared" si="85"/>
        <v>1</v>
      </c>
      <c r="S598">
        <f t="shared" si="86"/>
        <v>1</v>
      </c>
      <c r="T598">
        <f t="shared" si="87"/>
        <v>1</v>
      </c>
      <c r="U598">
        <f t="shared" si="88"/>
        <v>1</v>
      </c>
      <c r="V598" t="str" cm="1">
        <f t="array" ref="V598">_xlfn.IFS(
  AND(S598&gt;0,U598&gt;0),"Expansion",
  AND(S598&lt;0,U598&gt;0),"Slowdown",
  AND(S598&lt;0,U598&lt;0),"Contraction",
  AND(S598&gt;0,U598&lt;0),"Recovery",
  TRUE,"Undefined"
)</f>
        <v>Expansion</v>
      </c>
      <c r="W598">
        <f t="shared" si="89"/>
        <v>0</v>
      </c>
      <c r="X598">
        <f t="shared" si="90"/>
        <v>0</v>
      </c>
      <c r="Y598">
        <v>0</v>
      </c>
    </row>
    <row r="599" spans="1:25" x14ac:dyDescent="0.35">
      <c r="A599" s="1">
        <f>Data!A599</f>
        <v>35339</v>
      </c>
      <c r="B599" s="2">
        <f>IFERROR((Data!B599/Data!B598-1)*100,"")</f>
        <v>0.31705770450221049</v>
      </c>
      <c r="C599" s="2">
        <f>IFERROR((Data!C599/Data!C598-1)*100,"")</f>
        <v>2.9613789018778647E-2</v>
      </c>
      <c r="D599">
        <f t="shared" si="83"/>
        <v>0.38911887557617025</v>
      </c>
      <c r="E599">
        <f t="shared" si="84"/>
        <v>0.25417079909829293</v>
      </c>
      <c r="P599" t="str" cm="1">
        <f t="array" ref="P599">_xlfn.IFS(
  AND(D599&gt;0,E599&gt;0),"Expansion",
  AND(D599&lt;0,E599&gt;0),"Slowdown",
  AND(D599&lt;0,E599&lt;0),"Contraction",
  AND(D599&gt;0,E599&lt;0),"Recovery",
  TRUE,"Undefined"
)</f>
        <v>Expansion</v>
      </c>
      <c r="Q599" t="str">
        <f t="shared" si="91"/>
        <v>Expansion</v>
      </c>
      <c r="R599">
        <f t="shared" si="85"/>
        <v>1</v>
      </c>
      <c r="S599">
        <f t="shared" si="86"/>
        <v>1</v>
      </c>
      <c r="T599">
        <f t="shared" si="87"/>
        <v>1</v>
      </c>
      <c r="U599">
        <f t="shared" si="88"/>
        <v>1</v>
      </c>
      <c r="V599" t="str" cm="1">
        <f t="array" ref="V599">_xlfn.IFS(
  AND(S599&gt;0,U599&gt;0),"Expansion",
  AND(S599&lt;0,U599&gt;0),"Slowdown",
  AND(S599&lt;0,U599&lt;0),"Contraction",
  AND(S599&gt;0,U599&lt;0),"Recovery",
  TRUE,"Undefined"
)</f>
        <v>Expansion</v>
      </c>
      <c r="W599">
        <f t="shared" si="89"/>
        <v>0</v>
      </c>
      <c r="X599">
        <f t="shared" si="90"/>
        <v>0</v>
      </c>
      <c r="Y599">
        <v>0</v>
      </c>
    </row>
    <row r="600" spans="1:25" x14ac:dyDescent="0.35">
      <c r="A600" s="1">
        <f>Data!A600</f>
        <v>35370</v>
      </c>
      <c r="B600" s="2">
        <f>IFERROR((Data!B600/Data!B599-1)*100,"")</f>
        <v>0.3160556257901348</v>
      </c>
      <c r="C600" s="2">
        <f>IFERROR((Data!C600/Data!C599-1)*100,"")</f>
        <v>0.91867264705574048</v>
      </c>
      <c r="D600">
        <f t="shared" si="83"/>
        <v>0.52473345115410608</v>
      </c>
      <c r="E600">
        <f t="shared" si="84"/>
        <v>0.31705982935105553</v>
      </c>
      <c r="P600" t="str" cm="1">
        <f t="array" ref="P600">_xlfn.IFS(
  AND(D600&gt;0,E600&gt;0),"Expansion",
  AND(D600&lt;0,E600&gt;0),"Slowdown",
  AND(D600&lt;0,E600&lt;0),"Contraction",
  AND(D600&gt;0,E600&lt;0),"Recovery",
  TRUE,"Undefined"
)</f>
        <v>Expansion</v>
      </c>
      <c r="Q600" t="str">
        <f t="shared" si="91"/>
        <v>Expansion</v>
      </c>
      <c r="R600">
        <f t="shared" si="85"/>
        <v>1</v>
      </c>
      <c r="S600">
        <f t="shared" si="86"/>
        <v>1</v>
      </c>
      <c r="T600">
        <f t="shared" si="87"/>
        <v>1</v>
      </c>
      <c r="U600">
        <f t="shared" si="88"/>
        <v>1</v>
      </c>
      <c r="V600" t="str" cm="1">
        <f t="array" ref="V600">_xlfn.IFS(
  AND(S600&gt;0,U600&gt;0),"Expansion",
  AND(S600&lt;0,U600&gt;0),"Slowdown",
  AND(S600&lt;0,U600&lt;0),"Contraction",
  AND(S600&gt;0,U600&lt;0),"Recovery",
  TRUE,"Undefined"
)</f>
        <v>Expansion</v>
      </c>
      <c r="W600">
        <f t="shared" si="89"/>
        <v>0</v>
      </c>
      <c r="X600">
        <f t="shared" si="90"/>
        <v>0</v>
      </c>
      <c r="Y600">
        <v>0</v>
      </c>
    </row>
    <row r="601" spans="1:25" x14ac:dyDescent="0.35">
      <c r="A601" s="1">
        <f>Data!A601</f>
        <v>35400</v>
      </c>
      <c r="B601" s="2">
        <f>IFERROR((Data!B601/Data!B600-1)*100,"")</f>
        <v>0.2520478890989386</v>
      </c>
      <c r="C601" s="2">
        <f>IFERROR((Data!C601/Data!C600-1)*100,"")</f>
        <v>0.64070862165870324</v>
      </c>
      <c r="D601">
        <f t="shared" si="83"/>
        <v>0.52966501924440745</v>
      </c>
      <c r="E601">
        <f t="shared" si="84"/>
        <v>0.29505373979709465</v>
      </c>
      <c r="P601" t="str" cm="1">
        <f t="array" ref="P601">_xlfn.IFS(
  AND(D601&gt;0,E601&gt;0),"Expansion",
  AND(D601&lt;0,E601&gt;0),"Slowdown",
  AND(D601&lt;0,E601&lt;0),"Contraction",
  AND(D601&gt;0,E601&lt;0),"Recovery",
  TRUE,"Undefined"
)</f>
        <v>Expansion</v>
      </c>
      <c r="Q601" t="str">
        <f t="shared" si="91"/>
        <v>Expansion</v>
      </c>
      <c r="R601">
        <f t="shared" si="85"/>
        <v>1</v>
      </c>
      <c r="S601">
        <f t="shared" si="86"/>
        <v>1</v>
      </c>
      <c r="T601">
        <f t="shared" si="87"/>
        <v>1</v>
      </c>
      <c r="U601">
        <f t="shared" si="88"/>
        <v>1</v>
      </c>
      <c r="V601" t="str" cm="1">
        <f t="array" ref="V601">_xlfn.IFS(
  AND(S601&gt;0,U601&gt;0),"Expansion",
  AND(S601&lt;0,U601&gt;0),"Slowdown",
  AND(S601&lt;0,U601&lt;0),"Contraction",
  AND(S601&gt;0,U601&lt;0),"Recovery",
  TRUE,"Undefined"
)</f>
        <v>Expansion</v>
      </c>
      <c r="W601">
        <f t="shared" si="89"/>
        <v>0</v>
      </c>
      <c r="X601">
        <f t="shared" si="90"/>
        <v>0</v>
      </c>
      <c r="Y601">
        <v>0</v>
      </c>
    </row>
    <row r="602" spans="1:25" x14ac:dyDescent="0.35">
      <c r="A602" s="1">
        <f>Data!A602</f>
        <v>35431</v>
      </c>
      <c r="B602" s="2">
        <f>IFERROR((Data!B602/Data!B601-1)*100,"")</f>
        <v>0.18856065367693908</v>
      </c>
      <c r="C602" s="2">
        <f>IFERROR((Data!C602/Data!C601-1)*100,"")</f>
        <v>0.15851253590393188</v>
      </c>
      <c r="D602">
        <f t="shared" si="83"/>
        <v>0.5726312682061252</v>
      </c>
      <c r="E602">
        <f t="shared" si="84"/>
        <v>0.25222138952200418</v>
      </c>
      <c r="P602" t="str" cm="1">
        <f t="array" ref="P602">_xlfn.IFS(
  AND(D602&gt;0,E602&gt;0),"Expansion",
  AND(D602&lt;0,E602&gt;0),"Slowdown",
  AND(D602&lt;0,E602&lt;0),"Contraction",
  AND(D602&gt;0,E602&lt;0),"Recovery",
  TRUE,"Undefined"
)</f>
        <v>Expansion</v>
      </c>
      <c r="Q602" t="str">
        <f t="shared" si="91"/>
        <v>Expansion</v>
      </c>
      <c r="R602">
        <f t="shared" si="85"/>
        <v>1</v>
      </c>
      <c r="S602">
        <f t="shared" si="86"/>
        <v>1</v>
      </c>
      <c r="T602">
        <f t="shared" si="87"/>
        <v>1</v>
      </c>
      <c r="U602">
        <f t="shared" si="88"/>
        <v>1</v>
      </c>
      <c r="V602" t="str" cm="1">
        <f t="array" ref="V602">_xlfn.IFS(
  AND(S602&gt;0,U602&gt;0),"Expansion",
  AND(S602&lt;0,U602&gt;0),"Slowdown",
  AND(S602&lt;0,U602&lt;0),"Contraction",
  AND(S602&gt;0,U602&lt;0),"Recovery",
  TRUE,"Undefined"
)</f>
        <v>Expansion</v>
      </c>
      <c r="W602">
        <f t="shared" si="89"/>
        <v>0</v>
      </c>
      <c r="X602">
        <f t="shared" si="90"/>
        <v>0</v>
      </c>
      <c r="Y602">
        <v>0</v>
      </c>
    </row>
    <row r="603" spans="1:25" x14ac:dyDescent="0.35">
      <c r="A603" s="1">
        <f>Data!A603</f>
        <v>35462</v>
      </c>
      <c r="B603" s="2">
        <f>IFERROR((Data!B603/Data!B602-1)*100,"")</f>
        <v>0.18820577164364583</v>
      </c>
      <c r="C603" s="2">
        <f>IFERROR((Data!C603/Data!C602-1)*100,"")</f>
        <v>1.1938518753170868</v>
      </c>
      <c r="D603">
        <f t="shared" si="83"/>
        <v>0.66435767762657394</v>
      </c>
      <c r="E603">
        <f t="shared" si="84"/>
        <v>0.20960477147317449</v>
      </c>
      <c r="P603" t="str" cm="1">
        <f t="array" ref="P603">_xlfn.IFS(
  AND(D603&gt;0,E603&gt;0),"Expansion",
  AND(D603&lt;0,E603&gt;0),"Slowdown",
  AND(D603&lt;0,E603&lt;0),"Contraction",
  AND(D603&gt;0,E603&lt;0),"Recovery",
  TRUE,"Undefined"
)</f>
        <v>Expansion</v>
      </c>
      <c r="Q603" t="str">
        <f t="shared" si="91"/>
        <v>Expansion</v>
      </c>
      <c r="R603">
        <f t="shared" si="85"/>
        <v>1</v>
      </c>
      <c r="S603">
        <f t="shared" si="86"/>
        <v>1</v>
      </c>
      <c r="T603">
        <f t="shared" si="87"/>
        <v>1</v>
      </c>
      <c r="U603">
        <f t="shared" si="88"/>
        <v>1</v>
      </c>
      <c r="V603" t="str" cm="1">
        <f t="array" ref="V603">_xlfn.IFS(
  AND(S603&gt;0,U603&gt;0),"Expansion",
  AND(S603&lt;0,U603&gt;0),"Slowdown",
  AND(S603&lt;0,U603&lt;0),"Contraction",
  AND(S603&gt;0,U603&lt;0),"Recovery",
  TRUE,"Undefined"
)</f>
        <v>Expansion</v>
      </c>
      <c r="W603">
        <f t="shared" si="89"/>
        <v>0</v>
      </c>
      <c r="X603">
        <f t="shared" si="90"/>
        <v>0</v>
      </c>
      <c r="Y603">
        <v>0</v>
      </c>
    </row>
    <row r="604" spans="1:25" x14ac:dyDescent="0.35">
      <c r="A604" s="1">
        <f>Data!A604</f>
        <v>35490</v>
      </c>
      <c r="B604" s="2">
        <f>IFERROR((Data!B604/Data!B603-1)*100,"")</f>
        <v>6.2617407639331546E-2</v>
      </c>
      <c r="C604" s="2">
        <f>IFERROR((Data!C604/Data!C603-1)*100,"")</f>
        <v>0.63461320662279164</v>
      </c>
      <c r="D604">
        <f t="shared" si="83"/>
        <v>0.66232587261460341</v>
      </c>
      <c r="E604">
        <f t="shared" si="84"/>
        <v>0.14646127765330549</v>
      </c>
      <c r="P604" t="str" cm="1">
        <f t="array" ref="P604">_xlfn.IFS(
  AND(D604&gt;0,E604&gt;0),"Expansion",
  AND(D604&lt;0,E604&gt;0),"Slowdown",
  AND(D604&lt;0,E604&lt;0),"Contraction",
  AND(D604&gt;0,E604&lt;0),"Recovery",
  TRUE,"Undefined"
)</f>
        <v>Expansion</v>
      </c>
      <c r="Q604" t="str">
        <f t="shared" si="91"/>
        <v>Expansion</v>
      </c>
      <c r="R604">
        <f t="shared" si="85"/>
        <v>1</v>
      </c>
      <c r="S604">
        <f t="shared" si="86"/>
        <v>1</v>
      </c>
      <c r="T604">
        <f t="shared" si="87"/>
        <v>1</v>
      </c>
      <c r="U604">
        <f t="shared" si="88"/>
        <v>1</v>
      </c>
      <c r="V604" t="str" cm="1">
        <f t="array" ref="V604">_xlfn.IFS(
  AND(S604&gt;0,U604&gt;0),"Expansion",
  AND(S604&lt;0,U604&gt;0),"Slowdown",
  AND(S604&lt;0,U604&lt;0),"Contraction",
  AND(S604&gt;0,U604&lt;0),"Recovery",
  TRUE,"Undefined"
)</f>
        <v>Expansion</v>
      </c>
      <c r="W604">
        <f t="shared" si="89"/>
        <v>0</v>
      </c>
      <c r="X604">
        <f t="shared" si="90"/>
        <v>0</v>
      </c>
      <c r="Y604">
        <v>0</v>
      </c>
    </row>
    <row r="605" spans="1:25" x14ac:dyDescent="0.35">
      <c r="A605" s="1">
        <f>Data!A605</f>
        <v>35521</v>
      </c>
      <c r="B605" s="2">
        <f>IFERROR((Data!B605/Data!B604-1)*100,"")</f>
        <v>6.2578222778464365E-2</v>
      </c>
      <c r="C605" s="2">
        <f>IFERROR((Data!C605/Data!C604-1)*100,"")</f>
        <v>0.11722010065502442</v>
      </c>
      <c r="D605">
        <f t="shared" si="83"/>
        <v>0.64856172753163432</v>
      </c>
      <c r="E605">
        <f t="shared" si="84"/>
        <v>0.10446713402048058</v>
      </c>
      <c r="P605" t="str" cm="1">
        <f t="array" ref="P605">_xlfn.IFS(
  AND(D605&gt;0,E605&gt;0),"Expansion",
  AND(D605&lt;0,E605&gt;0),"Slowdown",
  AND(D605&lt;0,E605&lt;0),"Contraction",
  AND(D605&gt;0,E605&lt;0),"Recovery",
  TRUE,"Undefined"
)</f>
        <v>Expansion</v>
      </c>
      <c r="Q605" t="str">
        <f t="shared" si="91"/>
        <v>Expansion</v>
      </c>
      <c r="R605">
        <f t="shared" si="85"/>
        <v>1</v>
      </c>
      <c r="S605">
        <f t="shared" si="86"/>
        <v>1</v>
      </c>
      <c r="T605">
        <f t="shared" si="87"/>
        <v>1</v>
      </c>
      <c r="U605">
        <f t="shared" si="88"/>
        <v>1</v>
      </c>
      <c r="V605" t="str" cm="1">
        <f t="array" ref="V605">_xlfn.IFS(
  AND(S605&gt;0,U605&gt;0),"Expansion",
  AND(S605&lt;0,U605&gt;0),"Slowdown",
  AND(S605&lt;0,U605&lt;0),"Contraction",
  AND(S605&gt;0,U605&lt;0),"Recovery",
  TRUE,"Undefined"
)</f>
        <v>Expansion</v>
      </c>
      <c r="W605">
        <f t="shared" si="89"/>
        <v>0</v>
      </c>
      <c r="X605">
        <f t="shared" si="90"/>
        <v>0</v>
      </c>
      <c r="Y605">
        <v>0</v>
      </c>
    </row>
    <row r="606" spans="1:25" x14ac:dyDescent="0.35">
      <c r="A606" s="1">
        <f>Data!A606</f>
        <v>35551</v>
      </c>
      <c r="B606" s="2">
        <f>IFERROR((Data!B606/Data!B605-1)*100,"")</f>
        <v>0</v>
      </c>
      <c r="C606" s="2">
        <f>IFERROR((Data!C606/Data!C605-1)*100,"")</f>
        <v>0.55396483977836475</v>
      </c>
      <c r="D606">
        <f t="shared" si="83"/>
        <v>0.43526604901872695</v>
      </c>
      <c r="E606">
        <f t="shared" si="84"/>
        <v>4.1731876805931968E-2</v>
      </c>
      <c r="P606" t="str" cm="1">
        <f t="array" ref="P606">_xlfn.IFS(
  AND(D606&gt;0,E606&gt;0),"Expansion",
  AND(D606&lt;0,E606&gt;0),"Slowdown",
  AND(D606&lt;0,E606&lt;0),"Contraction",
  AND(D606&gt;0,E606&lt;0),"Recovery",
  TRUE,"Undefined"
)</f>
        <v>Expansion</v>
      </c>
      <c r="Q606" t="str">
        <f t="shared" si="91"/>
        <v>Expansion</v>
      </c>
      <c r="R606">
        <f t="shared" si="85"/>
        <v>1</v>
      </c>
      <c r="S606">
        <f t="shared" si="86"/>
        <v>1</v>
      </c>
      <c r="T606">
        <f t="shared" si="87"/>
        <v>1</v>
      </c>
      <c r="U606">
        <f t="shared" si="88"/>
        <v>1</v>
      </c>
      <c r="V606" t="str" cm="1">
        <f t="array" ref="V606">_xlfn.IFS(
  AND(S606&gt;0,U606&gt;0),"Expansion",
  AND(S606&lt;0,U606&gt;0),"Slowdown",
  AND(S606&lt;0,U606&lt;0),"Contraction",
  AND(S606&gt;0,U606&lt;0),"Recovery",
  TRUE,"Undefined"
)</f>
        <v>Expansion</v>
      </c>
      <c r="W606">
        <f t="shared" si="89"/>
        <v>0</v>
      </c>
      <c r="X606">
        <f t="shared" si="90"/>
        <v>0</v>
      </c>
      <c r="Y606">
        <v>0</v>
      </c>
    </row>
    <row r="607" spans="1:25" x14ac:dyDescent="0.35">
      <c r="A607" s="1">
        <f>Data!A607</f>
        <v>35582</v>
      </c>
      <c r="B607" s="2">
        <f>IFERROR((Data!B607/Data!B606-1)*100,"")</f>
        <v>0.18761726078797558</v>
      </c>
      <c r="C607" s="2">
        <f>IFERROR((Data!C607/Data!C606-1)*100,"")</f>
        <v>0.4595965749441433</v>
      </c>
      <c r="D607">
        <f t="shared" si="83"/>
        <v>0.37692717179251084</v>
      </c>
      <c r="E607">
        <f t="shared" si="84"/>
        <v>8.3398494522146649E-2</v>
      </c>
      <c r="P607" t="str" cm="1">
        <f t="array" ref="P607">_xlfn.IFS(
  AND(D607&gt;0,E607&gt;0),"Expansion",
  AND(D607&lt;0,E607&gt;0),"Slowdown",
  AND(D607&lt;0,E607&lt;0),"Contraction",
  AND(D607&gt;0,E607&lt;0),"Recovery",
  TRUE,"Undefined"
)</f>
        <v>Expansion</v>
      </c>
      <c r="Q607" t="str">
        <f t="shared" si="91"/>
        <v>Expansion</v>
      </c>
      <c r="R607">
        <f t="shared" si="85"/>
        <v>1</v>
      </c>
      <c r="S607">
        <f t="shared" si="86"/>
        <v>1</v>
      </c>
      <c r="T607">
        <f t="shared" si="87"/>
        <v>1</v>
      </c>
      <c r="U607">
        <f t="shared" si="88"/>
        <v>1</v>
      </c>
      <c r="V607" t="str" cm="1">
        <f t="array" ref="V607">_xlfn.IFS(
  AND(S607&gt;0,U607&gt;0),"Expansion",
  AND(S607&lt;0,U607&gt;0),"Slowdown",
  AND(S607&lt;0,U607&lt;0),"Contraction",
  AND(S607&gt;0,U607&lt;0),"Recovery",
  TRUE,"Undefined"
)</f>
        <v>Expansion</v>
      </c>
      <c r="W607">
        <f t="shared" si="89"/>
        <v>0</v>
      </c>
      <c r="X607">
        <f t="shared" si="90"/>
        <v>0</v>
      </c>
      <c r="Y607">
        <v>0</v>
      </c>
    </row>
    <row r="608" spans="1:25" x14ac:dyDescent="0.35">
      <c r="A608" s="1">
        <f>Data!A608</f>
        <v>35612</v>
      </c>
      <c r="B608" s="2">
        <f>IFERROR((Data!B608/Data!B607-1)*100,"")</f>
        <v>0.12484394506866447</v>
      </c>
      <c r="C608" s="2">
        <f>IFERROR((Data!C608/Data!C607-1)*100,"")</f>
        <v>0.85422209774541624</v>
      </c>
      <c r="D608">
        <f t="shared" si="83"/>
        <v>0.62259450415597473</v>
      </c>
      <c r="E608">
        <f t="shared" si="84"/>
        <v>0.10415373528554668</v>
      </c>
      <c r="P608" t="str" cm="1">
        <f t="array" ref="P608">_xlfn.IFS(
  AND(D608&gt;0,E608&gt;0),"Expansion",
  AND(D608&lt;0,E608&gt;0),"Slowdown",
  AND(D608&lt;0,E608&lt;0),"Contraction",
  AND(D608&gt;0,E608&lt;0),"Recovery",
  TRUE,"Undefined"
)</f>
        <v>Expansion</v>
      </c>
      <c r="Q608" t="str">
        <f t="shared" si="91"/>
        <v>Expansion</v>
      </c>
      <c r="R608">
        <f t="shared" si="85"/>
        <v>1</v>
      </c>
      <c r="S608">
        <f t="shared" si="86"/>
        <v>1</v>
      </c>
      <c r="T608">
        <f t="shared" si="87"/>
        <v>1</v>
      </c>
      <c r="U608">
        <f t="shared" si="88"/>
        <v>1</v>
      </c>
      <c r="V608" t="str" cm="1">
        <f t="array" ref="V608">_xlfn.IFS(
  AND(S608&gt;0,U608&gt;0),"Expansion",
  AND(S608&lt;0,U608&gt;0),"Slowdown",
  AND(S608&lt;0,U608&lt;0),"Contraction",
  AND(S608&gt;0,U608&lt;0),"Recovery",
  TRUE,"Undefined"
)</f>
        <v>Expansion</v>
      </c>
      <c r="W608">
        <f t="shared" si="89"/>
        <v>0</v>
      </c>
      <c r="X608">
        <f t="shared" si="90"/>
        <v>0</v>
      </c>
      <c r="Y608">
        <v>0</v>
      </c>
    </row>
    <row r="609" spans="1:25" x14ac:dyDescent="0.35">
      <c r="A609" s="1">
        <f>Data!A609</f>
        <v>35643</v>
      </c>
      <c r="B609" s="2">
        <f>IFERROR((Data!B609/Data!B608-1)*100,"")</f>
        <v>0.24937655860348684</v>
      </c>
      <c r="C609" s="2">
        <f>IFERROR((Data!C609/Data!C608-1)*100,"")</f>
        <v>1.0004661403578252</v>
      </c>
      <c r="D609">
        <f t="shared" si="83"/>
        <v>0.77142827101579492</v>
      </c>
      <c r="E609">
        <f t="shared" si="84"/>
        <v>0.18727925482004229</v>
      </c>
      <c r="P609" t="str" cm="1">
        <f t="array" ref="P609">_xlfn.IFS(
  AND(D609&gt;0,E609&gt;0),"Expansion",
  AND(D609&lt;0,E609&gt;0),"Slowdown",
  AND(D609&lt;0,E609&lt;0),"Contraction",
  AND(D609&gt;0,E609&lt;0),"Recovery",
  TRUE,"Undefined"
)</f>
        <v>Expansion</v>
      </c>
      <c r="Q609" t="str">
        <f t="shared" si="91"/>
        <v>Expansion</v>
      </c>
      <c r="R609">
        <f t="shared" si="85"/>
        <v>1</v>
      </c>
      <c r="S609">
        <f t="shared" si="86"/>
        <v>1</v>
      </c>
      <c r="T609">
        <f t="shared" si="87"/>
        <v>1</v>
      </c>
      <c r="U609">
        <f t="shared" si="88"/>
        <v>1</v>
      </c>
      <c r="V609" t="str" cm="1">
        <f t="array" ref="V609">_xlfn.IFS(
  AND(S609&gt;0,U609&gt;0),"Expansion",
  AND(S609&lt;0,U609&gt;0),"Slowdown",
  AND(S609&lt;0,U609&lt;0),"Contraction",
  AND(S609&gt;0,U609&lt;0),"Recovery",
  TRUE,"Undefined"
)</f>
        <v>Expansion</v>
      </c>
      <c r="W609">
        <f t="shared" si="89"/>
        <v>0</v>
      </c>
      <c r="X609">
        <f t="shared" si="90"/>
        <v>0</v>
      </c>
      <c r="Y609">
        <v>0</v>
      </c>
    </row>
    <row r="610" spans="1:25" x14ac:dyDescent="0.35">
      <c r="A610" s="1">
        <f>Data!A610</f>
        <v>35674</v>
      </c>
      <c r="B610" s="2">
        <f>IFERROR((Data!B610/Data!B609-1)*100,"")</f>
        <v>0.24875621890545485</v>
      </c>
      <c r="C610" s="2">
        <f>IFERROR((Data!C610/Data!C609-1)*100,"")</f>
        <v>0.91592671604308062</v>
      </c>
      <c r="D610">
        <f t="shared" si="83"/>
        <v>0.92353831804877407</v>
      </c>
      <c r="E610">
        <f t="shared" si="84"/>
        <v>0.20765890752586871</v>
      </c>
      <c r="P610" t="str" cm="1">
        <f t="array" ref="P610">_xlfn.IFS(
  AND(D610&gt;0,E610&gt;0),"Expansion",
  AND(D610&lt;0,E610&gt;0),"Slowdown",
  AND(D610&lt;0,E610&lt;0),"Contraction",
  AND(D610&gt;0,E610&lt;0),"Recovery",
  TRUE,"Undefined"
)</f>
        <v>Expansion</v>
      </c>
      <c r="Q610" t="str">
        <f t="shared" si="91"/>
        <v>Expansion</v>
      </c>
      <c r="R610">
        <f t="shared" si="85"/>
        <v>1</v>
      </c>
      <c r="S610">
        <f t="shared" si="86"/>
        <v>1</v>
      </c>
      <c r="T610">
        <f t="shared" si="87"/>
        <v>1</v>
      </c>
      <c r="U610">
        <f t="shared" si="88"/>
        <v>1</v>
      </c>
      <c r="V610" t="str" cm="1">
        <f t="array" ref="V610">_xlfn.IFS(
  AND(S610&gt;0,U610&gt;0),"Expansion",
  AND(S610&lt;0,U610&gt;0),"Slowdown",
  AND(S610&lt;0,U610&lt;0),"Contraction",
  AND(S610&gt;0,U610&lt;0),"Recovery",
  TRUE,"Undefined"
)</f>
        <v>Expansion</v>
      </c>
      <c r="W610">
        <f t="shared" si="89"/>
        <v>0</v>
      </c>
      <c r="X610">
        <f t="shared" si="90"/>
        <v>0</v>
      </c>
      <c r="Y610">
        <v>0</v>
      </c>
    </row>
    <row r="611" spans="1:25" x14ac:dyDescent="0.35">
      <c r="A611" s="1">
        <f>Data!A611</f>
        <v>35704</v>
      </c>
      <c r="B611" s="2">
        <f>IFERROR((Data!B611/Data!B610-1)*100,"")</f>
        <v>0.18610421836229296</v>
      </c>
      <c r="C611" s="2">
        <f>IFERROR((Data!C611/Data!C610-1)*100,"")</f>
        <v>0.88669303635806607</v>
      </c>
      <c r="D611">
        <f t="shared" si="83"/>
        <v>0.93436196425299067</v>
      </c>
      <c r="E611">
        <f t="shared" si="84"/>
        <v>0.22807899862374489</v>
      </c>
      <c r="P611" t="str" cm="1">
        <f t="array" ref="P611">_xlfn.IFS(
  AND(D611&gt;0,E611&gt;0),"Expansion",
  AND(D611&lt;0,E611&gt;0),"Slowdown",
  AND(D611&lt;0,E611&lt;0),"Contraction",
  AND(D611&gt;0,E611&lt;0),"Recovery",
  TRUE,"Undefined"
)</f>
        <v>Expansion</v>
      </c>
      <c r="Q611" t="str">
        <f t="shared" si="91"/>
        <v>Expansion</v>
      </c>
      <c r="R611">
        <f t="shared" si="85"/>
        <v>1</v>
      </c>
      <c r="S611">
        <f t="shared" si="86"/>
        <v>1</v>
      </c>
      <c r="T611">
        <f t="shared" si="87"/>
        <v>1</v>
      </c>
      <c r="U611">
        <f t="shared" si="88"/>
        <v>1</v>
      </c>
      <c r="V611" t="str" cm="1">
        <f t="array" ref="V611">_xlfn.IFS(
  AND(S611&gt;0,U611&gt;0),"Expansion",
  AND(S611&lt;0,U611&gt;0),"Slowdown",
  AND(S611&lt;0,U611&lt;0),"Contraction",
  AND(S611&gt;0,U611&lt;0),"Recovery",
  TRUE,"Undefined"
)</f>
        <v>Expansion</v>
      </c>
      <c r="W611">
        <f t="shared" si="89"/>
        <v>0</v>
      </c>
      <c r="X611">
        <f t="shared" si="90"/>
        <v>0</v>
      </c>
      <c r="Y611">
        <v>0</v>
      </c>
    </row>
    <row r="612" spans="1:25" x14ac:dyDescent="0.35">
      <c r="A612" s="1">
        <f>Data!A612</f>
        <v>35735</v>
      </c>
      <c r="B612" s="2">
        <f>IFERROR((Data!B612/Data!B611-1)*100,"")</f>
        <v>0.12383900928791824</v>
      </c>
      <c r="C612" s="2">
        <f>IFERROR((Data!C612/Data!C611-1)*100,"")</f>
        <v>0.78751359341056038</v>
      </c>
      <c r="D612">
        <f t="shared" si="83"/>
        <v>0.86337778193723569</v>
      </c>
      <c r="E612">
        <f t="shared" si="84"/>
        <v>0.18623314885188869</v>
      </c>
      <c r="P612" t="str" cm="1">
        <f t="array" ref="P612">_xlfn.IFS(
  AND(D612&gt;0,E612&gt;0),"Expansion",
  AND(D612&lt;0,E612&gt;0),"Slowdown",
  AND(D612&lt;0,E612&lt;0),"Contraction",
  AND(D612&gt;0,E612&lt;0),"Recovery",
  TRUE,"Undefined"
)</f>
        <v>Expansion</v>
      </c>
      <c r="Q612" t="str">
        <f t="shared" si="91"/>
        <v>Expansion</v>
      </c>
      <c r="R612">
        <f t="shared" si="85"/>
        <v>1</v>
      </c>
      <c r="S612">
        <f t="shared" si="86"/>
        <v>1</v>
      </c>
      <c r="T612">
        <f t="shared" si="87"/>
        <v>1</v>
      </c>
      <c r="U612">
        <f t="shared" si="88"/>
        <v>1</v>
      </c>
      <c r="V612" t="str" cm="1">
        <f t="array" ref="V612">_xlfn.IFS(
  AND(S612&gt;0,U612&gt;0),"Expansion",
  AND(S612&lt;0,U612&gt;0),"Slowdown",
  AND(S612&lt;0,U612&lt;0),"Contraction",
  AND(S612&gt;0,U612&lt;0),"Recovery",
  TRUE,"Undefined"
)</f>
        <v>Expansion</v>
      </c>
      <c r="W612">
        <f t="shared" si="89"/>
        <v>0</v>
      </c>
      <c r="X612">
        <f t="shared" si="90"/>
        <v>0</v>
      </c>
      <c r="Y612">
        <v>0</v>
      </c>
    </row>
    <row r="613" spans="1:25" x14ac:dyDescent="0.35">
      <c r="A613" s="1">
        <f>Data!A613</f>
        <v>35765</v>
      </c>
      <c r="B613" s="2">
        <f>IFERROR((Data!B613/Data!B612-1)*100,"")</f>
        <v>6.1842918985788309E-2</v>
      </c>
      <c r="C613" s="2">
        <f>IFERROR((Data!C613/Data!C612-1)*100,"")</f>
        <v>0.42584852711433641</v>
      </c>
      <c r="D613">
        <f t="shared" si="83"/>
        <v>0.70001838562765428</v>
      </c>
      <c r="E613">
        <f t="shared" si="84"/>
        <v>0.12392871554533318</v>
      </c>
      <c r="P613" t="str" cm="1">
        <f t="array" ref="P613">_xlfn.IFS(
  AND(D613&gt;0,E613&gt;0),"Expansion",
  AND(D613&lt;0,E613&gt;0),"Slowdown",
  AND(D613&lt;0,E613&lt;0),"Contraction",
  AND(D613&gt;0,E613&lt;0),"Recovery",
  TRUE,"Undefined"
)</f>
        <v>Expansion</v>
      </c>
      <c r="Q613" t="str">
        <f t="shared" si="91"/>
        <v>Expansion</v>
      </c>
      <c r="R613">
        <f t="shared" si="85"/>
        <v>1</v>
      </c>
      <c r="S613">
        <f t="shared" si="86"/>
        <v>1</v>
      </c>
      <c r="T613">
        <f t="shared" si="87"/>
        <v>1</v>
      </c>
      <c r="U613">
        <f t="shared" si="88"/>
        <v>1</v>
      </c>
      <c r="V613" t="str" cm="1">
        <f t="array" ref="V613">_xlfn.IFS(
  AND(S613&gt;0,U613&gt;0),"Expansion",
  AND(S613&lt;0,U613&gt;0),"Slowdown",
  AND(S613&lt;0,U613&lt;0),"Contraction",
  AND(S613&gt;0,U613&lt;0),"Recovery",
  TRUE,"Undefined"
)</f>
        <v>Expansion</v>
      </c>
      <c r="W613">
        <f t="shared" si="89"/>
        <v>0</v>
      </c>
      <c r="X613">
        <f t="shared" si="90"/>
        <v>0</v>
      </c>
      <c r="Y613">
        <v>0</v>
      </c>
    </row>
    <row r="614" spans="1:25" x14ac:dyDescent="0.35">
      <c r="A614" s="1">
        <f>Data!A614</f>
        <v>35796</v>
      </c>
      <c r="B614" s="2">
        <f>IFERROR((Data!B614/Data!B613-1)*100,"")</f>
        <v>0.12360939431395046</v>
      </c>
      <c r="C614" s="2">
        <f>IFERROR((Data!C614/Data!C613-1)*100,"")</f>
        <v>0.4383363230729298</v>
      </c>
      <c r="D614">
        <f t="shared" si="83"/>
        <v>0.55056614786594216</v>
      </c>
      <c r="E614">
        <f t="shared" si="84"/>
        <v>0.10309710752921901</v>
      </c>
      <c r="P614" t="str" cm="1">
        <f t="array" ref="P614">_xlfn.IFS(
  AND(D614&gt;0,E614&gt;0),"Expansion",
  AND(D614&lt;0,E614&gt;0),"Slowdown",
  AND(D614&lt;0,E614&lt;0),"Contraction",
  AND(D614&gt;0,E614&lt;0),"Recovery",
  TRUE,"Undefined"
)</f>
        <v>Expansion</v>
      </c>
      <c r="Q614" t="str">
        <f t="shared" si="91"/>
        <v>Expansion</v>
      </c>
      <c r="R614">
        <f t="shared" si="85"/>
        <v>1</v>
      </c>
      <c r="S614">
        <f t="shared" si="86"/>
        <v>1</v>
      </c>
      <c r="T614">
        <f t="shared" si="87"/>
        <v>1</v>
      </c>
      <c r="U614">
        <f t="shared" si="88"/>
        <v>1</v>
      </c>
      <c r="V614" t="str" cm="1">
        <f t="array" ref="V614">_xlfn.IFS(
  AND(S614&gt;0,U614&gt;0),"Expansion",
  AND(S614&lt;0,U614&gt;0),"Slowdown",
  AND(S614&lt;0,U614&lt;0),"Contraction",
  AND(S614&gt;0,U614&lt;0),"Recovery",
  TRUE,"Undefined"
)</f>
        <v>Expansion</v>
      </c>
      <c r="W614">
        <f t="shared" si="89"/>
        <v>0</v>
      </c>
      <c r="X614">
        <f t="shared" si="90"/>
        <v>0</v>
      </c>
      <c r="Y614">
        <v>0</v>
      </c>
    </row>
    <row r="615" spans="1:25" x14ac:dyDescent="0.35">
      <c r="A615" s="1">
        <f>Data!A615</f>
        <v>35827</v>
      </c>
      <c r="B615" s="2">
        <f>IFERROR((Data!B615/Data!B614-1)*100,"")</f>
        <v>0</v>
      </c>
      <c r="C615" s="2">
        <f>IFERROR((Data!C615/Data!C614-1)*100,"")</f>
        <v>0.1618798460184756</v>
      </c>
      <c r="D615">
        <f t="shared" si="83"/>
        <v>0.34202156540191392</v>
      </c>
      <c r="E615">
        <f t="shared" si="84"/>
        <v>6.1817437766579587E-2</v>
      </c>
      <c r="P615" t="str" cm="1">
        <f t="array" ref="P615">_xlfn.IFS(
  AND(D615&gt;0,E615&gt;0),"Expansion",
  AND(D615&lt;0,E615&gt;0),"Slowdown",
  AND(D615&lt;0,E615&lt;0),"Contraction",
  AND(D615&gt;0,E615&lt;0),"Recovery",
  TRUE,"Undefined"
)</f>
        <v>Expansion</v>
      </c>
      <c r="Q615" t="str">
        <f t="shared" si="91"/>
        <v>Expansion</v>
      </c>
      <c r="R615">
        <f t="shared" si="85"/>
        <v>1</v>
      </c>
      <c r="S615">
        <f t="shared" si="86"/>
        <v>1</v>
      </c>
      <c r="T615">
        <f t="shared" si="87"/>
        <v>1</v>
      </c>
      <c r="U615">
        <f t="shared" si="88"/>
        <v>1</v>
      </c>
      <c r="V615" t="str" cm="1">
        <f t="array" ref="V615">_xlfn.IFS(
  AND(S615&gt;0,U615&gt;0),"Expansion",
  AND(S615&lt;0,U615&gt;0),"Slowdown",
  AND(S615&lt;0,U615&lt;0),"Contraction",
  AND(S615&gt;0,U615&lt;0),"Recovery",
  TRUE,"Undefined"
)</f>
        <v>Expansion</v>
      </c>
      <c r="W615">
        <f t="shared" si="89"/>
        <v>0</v>
      </c>
      <c r="X615">
        <f t="shared" si="90"/>
        <v>0</v>
      </c>
      <c r="Y615">
        <v>0</v>
      </c>
    </row>
    <row r="616" spans="1:25" x14ac:dyDescent="0.35">
      <c r="A616" s="1">
        <f>Data!A616</f>
        <v>35855</v>
      </c>
      <c r="B616" s="2">
        <f>IFERROR((Data!B616/Data!B615-1)*100,"")</f>
        <v>0</v>
      </c>
      <c r="C616" s="2">
        <f>IFERROR((Data!C616/Data!C615-1)*100,"")</f>
        <v>3.5165282749005655E-2</v>
      </c>
      <c r="D616">
        <f t="shared" si="83"/>
        <v>0.21179381728013702</v>
      </c>
      <c r="E616">
        <f t="shared" si="84"/>
        <v>4.1203131437983487E-2</v>
      </c>
      <c r="P616" t="str" cm="1">
        <f t="array" ref="P616">_xlfn.IFS(
  AND(D616&gt;0,E616&gt;0),"Expansion",
  AND(D616&lt;0,E616&gt;0),"Slowdown",
  AND(D616&lt;0,E616&lt;0),"Contraction",
  AND(D616&gt;0,E616&lt;0),"Recovery",
  TRUE,"Undefined"
)</f>
        <v>Expansion</v>
      </c>
      <c r="Q616" t="str">
        <f t="shared" si="91"/>
        <v>Expansion</v>
      </c>
      <c r="R616">
        <f t="shared" si="85"/>
        <v>1</v>
      </c>
      <c r="S616">
        <f t="shared" si="86"/>
        <v>1</v>
      </c>
      <c r="T616">
        <f t="shared" si="87"/>
        <v>1</v>
      </c>
      <c r="U616">
        <f t="shared" si="88"/>
        <v>1</v>
      </c>
      <c r="V616" t="str" cm="1">
        <f t="array" ref="V616">_xlfn.IFS(
  AND(S616&gt;0,U616&gt;0),"Expansion",
  AND(S616&lt;0,U616&gt;0),"Slowdown",
  AND(S616&lt;0,U616&lt;0),"Contraction",
  AND(S616&gt;0,U616&lt;0),"Recovery",
  TRUE,"Undefined"
)</f>
        <v>Expansion</v>
      </c>
      <c r="W616">
        <f t="shared" si="89"/>
        <v>0</v>
      </c>
      <c r="X616">
        <f t="shared" si="90"/>
        <v>0</v>
      </c>
      <c r="Y616">
        <v>0</v>
      </c>
    </row>
    <row r="617" spans="1:25" x14ac:dyDescent="0.35">
      <c r="A617" s="1">
        <f>Data!A617</f>
        <v>35886</v>
      </c>
      <c r="B617" s="2">
        <f>IFERROR((Data!B617/Data!B616-1)*100,"")</f>
        <v>0.12345679012344402</v>
      </c>
      <c r="C617" s="2">
        <f>IFERROR((Data!C617/Data!C616-1)*100,"")</f>
        <v>0.34312565098002512</v>
      </c>
      <c r="D617">
        <f t="shared" si="83"/>
        <v>0.18005692658250214</v>
      </c>
      <c r="E617">
        <f t="shared" si="84"/>
        <v>4.1152263374481336E-2</v>
      </c>
      <c r="P617" t="str" cm="1">
        <f t="array" ref="P617">_xlfn.IFS(
  AND(D617&gt;0,E617&gt;0),"Expansion",
  AND(D617&lt;0,E617&gt;0),"Slowdown",
  AND(D617&lt;0,E617&lt;0),"Contraction",
  AND(D617&gt;0,E617&lt;0),"Recovery",
  TRUE,"Undefined"
)</f>
        <v>Expansion</v>
      </c>
      <c r="Q617" t="str">
        <f t="shared" si="91"/>
        <v>Expansion</v>
      </c>
      <c r="R617">
        <f t="shared" si="85"/>
        <v>1</v>
      </c>
      <c r="S617">
        <f t="shared" si="86"/>
        <v>1</v>
      </c>
      <c r="T617">
        <f t="shared" si="87"/>
        <v>1</v>
      </c>
      <c r="U617">
        <f t="shared" si="88"/>
        <v>1</v>
      </c>
      <c r="V617" t="str" cm="1">
        <f t="array" ref="V617">_xlfn.IFS(
  AND(S617&gt;0,U617&gt;0),"Expansion",
  AND(S617&lt;0,U617&gt;0),"Slowdown",
  AND(S617&lt;0,U617&lt;0),"Contraction",
  AND(S617&gt;0,U617&lt;0),"Recovery",
  TRUE,"Undefined"
)</f>
        <v>Expansion</v>
      </c>
      <c r="W617">
        <f t="shared" si="89"/>
        <v>0</v>
      </c>
      <c r="X617">
        <f t="shared" si="90"/>
        <v>0</v>
      </c>
      <c r="Y617">
        <v>0</v>
      </c>
    </row>
    <row r="618" spans="1:25" x14ac:dyDescent="0.35">
      <c r="A618" s="1">
        <f>Data!A618</f>
        <v>35916</v>
      </c>
      <c r="B618" s="2">
        <f>IFERROR((Data!B618/Data!B617-1)*100,"")</f>
        <v>0.24660912453762229</v>
      </c>
      <c r="C618" s="2">
        <f>IFERROR((Data!C618/Data!C617-1)*100,"")</f>
        <v>0.65913404318813651</v>
      </c>
      <c r="D618">
        <f t="shared" si="83"/>
        <v>0.34580832563905578</v>
      </c>
      <c r="E618">
        <f t="shared" si="84"/>
        <v>0.12335530488702211</v>
      </c>
      <c r="P618" t="str" cm="1">
        <f t="array" ref="P618">_xlfn.IFS(
  AND(D618&gt;0,E618&gt;0),"Expansion",
  AND(D618&lt;0,E618&gt;0),"Slowdown",
  AND(D618&lt;0,E618&lt;0),"Contraction",
  AND(D618&gt;0,E618&lt;0),"Recovery",
  TRUE,"Undefined"
)</f>
        <v>Expansion</v>
      </c>
      <c r="Q618" t="str">
        <f t="shared" si="91"/>
        <v>Expansion</v>
      </c>
      <c r="R618">
        <f t="shared" si="85"/>
        <v>1</v>
      </c>
      <c r="S618">
        <f t="shared" si="86"/>
        <v>1</v>
      </c>
      <c r="T618">
        <f t="shared" si="87"/>
        <v>1</v>
      </c>
      <c r="U618">
        <f t="shared" si="88"/>
        <v>1</v>
      </c>
      <c r="V618" t="str" cm="1">
        <f t="array" ref="V618">_xlfn.IFS(
  AND(S618&gt;0,U618&gt;0),"Expansion",
  AND(S618&lt;0,U618&gt;0),"Slowdown",
  AND(S618&lt;0,U618&lt;0),"Contraction",
  AND(S618&gt;0,U618&lt;0),"Recovery",
  TRUE,"Undefined"
)</f>
        <v>Expansion</v>
      </c>
      <c r="W618">
        <f t="shared" si="89"/>
        <v>0</v>
      </c>
      <c r="X618">
        <f t="shared" si="90"/>
        <v>0</v>
      </c>
      <c r="Y618">
        <v>0</v>
      </c>
    </row>
    <row r="619" spans="1:25" x14ac:dyDescent="0.35">
      <c r="A619" s="1">
        <f>Data!A619</f>
        <v>35947</v>
      </c>
      <c r="B619" s="2">
        <f>IFERROR((Data!B619/Data!B618-1)*100,"")</f>
        <v>0.12300123001232066</v>
      </c>
      <c r="C619" s="2">
        <f>IFERROR((Data!C619/Data!C618-1)*100,"")</f>
        <v>-0.59985914618212455</v>
      </c>
      <c r="D619">
        <f t="shared" si="83"/>
        <v>0.1341335159953457</v>
      </c>
      <c r="E619">
        <f t="shared" si="84"/>
        <v>0.16435571489112899</v>
      </c>
      <c r="P619" t="str" cm="1">
        <f t="array" ref="P619">_xlfn.IFS(
  AND(D619&gt;0,E619&gt;0),"Expansion",
  AND(D619&lt;0,E619&gt;0),"Slowdown",
  AND(D619&lt;0,E619&lt;0),"Contraction",
  AND(D619&gt;0,E619&lt;0),"Recovery",
  TRUE,"Undefined"
)</f>
        <v>Expansion</v>
      </c>
      <c r="Q619" t="str">
        <f t="shared" si="91"/>
        <v>Expansion</v>
      </c>
      <c r="R619">
        <f t="shared" si="85"/>
        <v>1</v>
      </c>
      <c r="S619">
        <f t="shared" si="86"/>
        <v>1</v>
      </c>
      <c r="T619">
        <f t="shared" si="87"/>
        <v>1</v>
      </c>
      <c r="U619">
        <f t="shared" si="88"/>
        <v>1</v>
      </c>
      <c r="V619" t="str" cm="1">
        <f t="array" ref="V619">_xlfn.IFS(
  AND(S619&gt;0,U619&gt;0),"Expansion",
  AND(S619&lt;0,U619&gt;0),"Slowdown",
  AND(S619&lt;0,U619&lt;0),"Contraction",
  AND(S619&gt;0,U619&lt;0),"Recovery",
  TRUE,"Undefined"
)</f>
        <v>Expansion</v>
      </c>
      <c r="W619">
        <f t="shared" si="89"/>
        <v>0</v>
      </c>
      <c r="X619">
        <f t="shared" si="90"/>
        <v>0</v>
      </c>
      <c r="Y619">
        <v>0</v>
      </c>
    </row>
    <row r="620" spans="1:25" x14ac:dyDescent="0.35">
      <c r="A620" s="1">
        <f>Data!A620</f>
        <v>35977</v>
      </c>
      <c r="B620" s="2">
        <f>IFERROR((Data!B620/Data!B619-1)*100,"")</f>
        <v>0.24570024570023108</v>
      </c>
      <c r="C620" s="2">
        <f>IFERROR((Data!C620/Data!C619-1)*100,"")</f>
        <v>-0.38455734643642048</v>
      </c>
      <c r="D620">
        <f t="shared" si="83"/>
        <v>-0.10842748314346951</v>
      </c>
      <c r="E620">
        <f t="shared" si="84"/>
        <v>0.20510353341672469</v>
      </c>
      <c r="P620" t="str" cm="1">
        <f t="array" ref="P620">_xlfn.IFS(
  AND(D620&gt;0,E620&gt;0),"Expansion",
  AND(D620&lt;0,E620&gt;0),"Slowdown",
  AND(D620&lt;0,E620&lt;0),"Contraction",
  AND(D620&gt;0,E620&lt;0),"Recovery",
  TRUE,"Undefined"
)</f>
        <v>Slowdown</v>
      </c>
      <c r="Q620" t="str">
        <f t="shared" si="91"/>
        <v>Expansion</v>
      </c>
      <c r="R620">
        <f t="shared" si="85"/>
        <v>1</v>
      </c>
      <c r="S620">
        <f t="shared" si="86"/>
        <v>1</v>
      </c>
      <c r="T620">
        <f t="shared" si="87"/>
        <v>1</v>
      </c>
      <c r="U620">
        <f t="shared" si="88"/>
        <v>1</v>
      </c>
      <c r="V620" t="str" cm="1">
        <f t="array" ref="V620">_xlfn.IFS(
  AND(S620&gt;0,U620&gt;0),"Expansion",
  AND(S620&lt;0,U620&gt;0),"Slowdown",
  AND(S620&lt;0,U620&lt;0),"Contraction",
  AND(S620&gt;0,U620&lt;0),"Recovery",
  TRUE,"Undefined"
)</f>
        <v>Expansion</v>
      </c>
      <c r="W620">
        <f t="shared" si="89"/>
        <v>0</v>
      </c>
      <c r="X620">
        <f t="shared" si="90"/>
        <v>0</v>
      </c>
      <c r="Y620">
        <v>0</v>
      </c>
    </row>
    <row r="621" spans="1:25" x14ac:dyDescent="0.35">
      <c r="A621" s="1">
        <f>Data!A621</f>
        <v>36008</v>
      </c>
      <c r="B621" s="2">
        <f>IFERROR((Data!B621/Data!B620-1)*100,"")</f>
        <v>0.1225490196078427</v>
      </c>
      <c r="C621" s="2">
        <f>IFERROR((Data!C621/Data!C620-1)*100,"")</f>
        <v>2.0703301593162582</v>
      </c>
      <c r="D621">
        <f t="shared" si="83"/>
        <v>0.36197122223257105</v>
      </c>
      <c r="E621">
        <f t="shared" si="84"/>
        <v>0.16375016510679816</v>
      </c>
      <c r="P621" t="str" cm="1">
        <f t="array" ref="P621">_xlfn.IFS(
  AND(D621&gt;0,E621&gt;0),"Expansion",
  AND(D621&lt;0,E621&gt;0),"Slowdown",
  AND(D621&lt;0,E621&lt;0),"Contraction",
  AND(D621&gt;0,E621&lt;0),"Recovery",
  TRUE,"Undefined"
)</f>
        <v>Expansion</v>
      </c>
      <c r="Q621" t="str">
        <f t="shared" si="91"/>
        <v>Expansion</v>
      </c>
      <c r="R621">
        <f t="shared" si="85"/>
        <v>1</v>
      </c>
      <c r="S621">
        <f t="shared" si="86"/>
        <v>1</v>
      </c>
      <c r="T621">
        <f t="shared" si="87"/>
        <v>1</v>
      </c>
      <c r="U621">
        <f t="shared" si="88"/>
        <v>1</v>
      </c>
      <c r="V621" t="str" cm="1">
        <f t="array" ref="V621">_xlfn.IFS(
  AND(S621&gt;0,U621&gt;0),"Expansion",
  AND(S621&lt;0,U621&gt;0),"Slowdown",
  AND(S621&lt;0,U621&lt;0),"Contraction",
  AND(S621&gt;0,U621&lt;0),"Recovery",
  TRUE,"Undefined"
)</f>
        <v>Expansion</v>
      </c>
      <c r="W621">
        <f t="shared" si="89"/>
        <v>0</v>
      </c>
      <c r="X621">
        <f t="shared" si="90"/>
        <v>0</v>
      </c>
      <c r="Y621">
        <v>0</v>
      </c>
    </row>
    <row r="622" spans="1:25" x14ac:dyDescent="0.35">
      <c r="A622" s="1">
        <f>Data!A622</f>
        <v>36039</v>
      </c>
      <c r="B622" s="2">
        <f>IFERROR((Data!B622/Data!B621-1)*100,"")</f>
        <v>6.1199510403908697E-2</v>
      </c>
      <c r="C622" s="2">
        <f>IFERROR((Data!C622/Data!C621-1)*100,"")</f>
        <v>-5.3218625359430227E-2</v>
      </c>
      <c r="D622">
        <f t="shared" si="83"/>
        <v>0.54418472917346916</v>
      </c>
      <c r="E622">
        <f t="shared" si="84"/>
        <v>0.14314959190399415</v>
      </c>
      <c r="P622" t="str" cm="1">
        <f t="array" ref="P622">_xlfn.IFS(
  AND(D622&gt;0,E622&gt;0),"Expansion",
  AND(D622&lt;0,E622&gt;0),"Slowdown",
  AND(D622&lt;0,E622&lt;0),"Contraction",
  AND(D622&gt;0,E622&lt;0),"Recovery",
  TRUE,"Undefined"
)</f>
        <v>Expansion</v>
      </c>
      <c r="Q622" t="str">
        <f t="shared" si="91"/>
        <v>Expansion</v>
      </c>
      <c r="R622">
        <f t="shared" si="85"/>
        <v>1</v>
      </c>
      <c r="S622">
        <f t="shared" si="86"/>
        <v>1</v>
      </c>
      <c r="T622">
        <f t="shared" si="87"/>
        <v>1</v>
      </c>
      <c r="U622">
        <f t="shared" si="88"/>
        <v>1</v>
      </c>
      <c r="V622" t="str" cm="1">
        <f t="array" ref="V622">_xlfn.IFS(
  AND(S622&gt;0,U622&gt;0),"Expansion",
  AND(S622&lt;0,U622&gt;0),"Slowdown",
  AND(S622&lt;0,U622&lt;0),"Contraction",
  AND(S622&gt;0,U622&lt;0),"Recovery",
  TRUE,"Undefined"
)</f>
        <v>Expansion</v>
      </c>
      <c r="W622">
        <f t="shared" si="89"/>
        <v>0</v>
      </c>
      <c r="X622">
        <f t="shared" si="90"/>
        <v>0</v>
      </c>
      <c r="Y622">
        <v>0</v>
      </c>
    </row>
    <row r="623" spans="1:25" x14ac:dyDescent="0.35">
      <c r="A623" s="1">
        <f>Data!A623</f>
        <v>36069</v>
      </c>
      <c r="B623" s="2">
        <f>IFERROR((Data!B623/Data!B622-1)*100,"")</f>
        <v>0.24464831804280607</v>
      </c>
      <c r="C623" s="2">
        <f>IFERROR((Data!C623/Data!C622-1)*100,"")</f>
        <v>0.6836260369526892</v>
      </c>
      <c r="D623">
        <f t="shared" si="83"/>
        <v>0.90024585696983905</v>
      </c>
      <c r="E623">
        <f t="shared" si="84"/>
        <v>0.14279894935151916</v>
      </c>
      <c r="P623" t="str" cm="1">
        <f t="array" ref="P623">_xlfn.IFS(
  AND(D623&gt;0,E623&gt;0),"Expansion",
  AND(D623&lt;0,E623&gt;0),"Slowdown",
  AND(D623&lt;0,E623&lt;0),"Contraction",
  AND(D623&gt;0,E623&lt;0),"Recovery",
  TRUE,"Undefined"
)</f>
        <v>Expansion</v>
      </c>
      <c r="Q623" t="str">
        <f t="shared" si="91"/>
        <v>Expansion</v>
      </c>
      <c r="R623">
        <f t="shared" si="85"/>
        <v>1</v>
      </c>
      <c r="S623">
        <f t="shared" si="86"/>
        <v>1</v>
      </c>
      <c r="T623">
        <f t="shared" si="87"/>
        <v>1</v>
      </c>
      <c r="U623">
        <f t="shared" si="88"/>
        <v>1</v>
      </c>
      <c r="V623" t="str" cm="1">
        <f t="array" ref="V623">_xlfn.IFS(
  AND(S623&gt;0,U623&gt;0),"Expansion",
  AND(S623&lt;0,U623&gt;0),"Slowdown",
  AND(S623&lt;0,U623&lt;0),"Contraction",
  AND(S623&gt;0,U623&lt;0),"Recovery",
  TRUE,"Undefined"
)</f>
        <v>Expansion</v>
      </c>
      <c r="W623">
        <f t="shared" si="89"/>
        <v>0</v>
      </c>
      <c r="X623">
        <f t="shared" si="90"/>
        <v>0</v>
      </c>
      <c r="Y623">
        <v>0</v>
      </c>
    </row>
    <row r="624" spans="1:25" x14ac:dyDescent="0.35">
      <c r="A624" s="1">
        <f>Data!A624</f>
        <v>36100</v>
      </c>
      <c r="B624" s="2">
        <f>IFERROR((Data!B624/Data!B623-1)*100,"")</f>
        <v>0.12202562538132788</v>
      </c>
      <c r="C624" s="2">
        <f>IFERROR((Data!C624/Data!C623-1)*100,"")</f>
        <v>-7.5813963134596651E-2</v>
      </c>
      <c r="D624">
        <f t="shared" si="83"/>
        <v>0.18486448281955412</v>
      </c>
      <c r="E624">
        <f t="shared" si="84"/>
        <v>0.14262448460934754</v>
      </c>
      <c r="P624" t="str" cm="1">
        <f t="array" ref="P624">_xlfn.IFS(
  AND(D624&gt;0,E624&gt;0),"Expansion",
  AND(D624&lt;0,E624&gt;0),"Slowdown",
  AND(D624&lt;0,E624&lt;0),"Contraction",
  AND(D624&gt;0,E624&lt;0),"Recovery",
  TRUE,"Undefined"
)</f>
        <v>Expansion</v>
      </c>
      <c r="Q624" t="str">
        <f t="shared" si="91"/>
        <v>Expansion</v>
      </c>
      <c r="R624">
        <f t="shared" si="85"/>
        <v>1</v>
      </c>
      <c r="S624">
        <f t="shared" si="86"/>
        <v>1</v>
      </c>
      <c r="T624">
        <f t="shared" si="87"/>
        <v>1</v>
      </c>
      <c r="U624">
        <f t="shared" si="88"/>
        <v>1</v>
      </c>
      <c r="V624" t="str" cm="1">
        <f t="array" ref="V624">_xlfn.IFS(
  AND(S624&gt;0,U624&gt;0),"Expansion",
  AND(S624&lt;0,U624&gt;0),"Slowdown",
  AND(S624&lt;0,U624&lt;0),"Contraction",
  AND(S624&gt;0,U624&lt;0),"Recovery",
  TRUE,"Undefined"
)</f>
        <v>Expansion</v>
      </c>
      <c r="W624">
        <f t="shared" si="89"/>
        <v>0</v>
      </c>
      <c r="X624">
        <f t="shared" si="90"/>
        <v>0</v>
      </c>
      <c r="Y624">
        <v>0</v>
      </c>
    </row>
    <row r="625" spans="1:25" x14ac:dyDescent="0.35">
      <c r="A625" s="1">
        <f>Data!A625</f>
        <v>36130</v>
      </c>
      <c r="B625" s="2">
        <f>IFERROR((Data!B625/Data!B624-1)*100,"")</f>
        <v>0.18281535648996261</v>
      </c>
      <c r="C625" s="2">
        <f>IFERROR((Data!C625/Data!C624-1)*100,"")</f>
        <v>0.4530380879463447</v>
      </c>
      <c r="D625">
        <f t="shared" si="83"/>
        <v>0.35361672058814575</v>
      </c>
      <c r="E625">
        <f t="shared" si="84"/>
        <v>0.18316309997136551</v>
      </c>
      <c r="P625" t="str" cm="1">
        <f t="array" ref="P625">_xlfn.IFS(
  AND(D625&gt;0,E625&gt;0),"Expansion",
  AND(D625&lt;0,E625&gt;0),"Slowdown",
  AND(D625&lt;0,E625&lt;0),"Contraction",
  AND(D625&gt;0,E625&lt;0),"Recovery",
  TRUE,"Undefined"
)</f>
        <v>Expansion</v>
      </c>
      <c r="Q625" t="str">
        <f t="shared" si="91"/>
        <v>Expansion</v>
      </c>
      <c r="R625">
        <f t="shared" si="85"/>
        <v>1</v>
      </c>
      <c r="S625">
        <f t="shared" si="86"/>
        <v>1</v>
      </c>
      <c r="T625">
        <f t="shared" si="87"/>
        <v>1</v>
      </c>
      <c r="U625">
        <f t="shared" si="88"/>
        <v>1</v>
      </c>
      <c r="V625" t="str" cm="1">
        <f t="array" ref="V625">_xlfn.IFS(
  AND(S625&gt;0,U625&gt;0),"Expansion",
  AND(S625&lt;0,U625&gt;0),"Slowdown",
  AND(S625&lt;0,U625&lt;0),"Contraction",
  AND(S625&gt;0,U625&lt;0),"Recovery",
  TRUE,"Undefined"
)</f>
        <v>Expansion</v>
      </c>
      <c r="W625">
        <f t="shared" si="89"/>
        <v>0</v>
      </c>
      <c r="X625">
        <f t="shared" si="90"/>
        <v>0</v>
      </c>
      <c r="Y625">
        <v>0</v>
      </c>
    </row>
    <row r="626" spans="1:25" x14ac:dyDescent="0.35">
      <c r="A626" s="1">
        <f>Data!A626</f>
        <v>36161</v>
      </c>
      <c r="B626" s="2">
        <f>IFERROR((Data!B626/Data!B625-1)*100,"")</f>
        <v>0.18248175182480342</v>
      </c>
      <c r="C626" s="2">
        <f>IFERROR((Data!C626/Data!C625-1)*100,"")</f>
        <v>0.43205518919633423</v>
      </c>
      <c r="D626">
        <f t="shared" si="83"/>
        <v>0.26975977133602741</v>
      </c>
      <c r="E626">
        <f t="shared" si="84"/>
        <v>0.1624409112320313</v>
      </c>
      <c r="P626" t="str" cm="1">
        <f t="array" ref="P626">_xlfn.IFS(
  AND(D626&gt;0,E626&gt;0),"Expansion",
  AND(D626&lt;0,E626&gt;0),"Slowdown",
  AND(D626&lt;0,E626&lt;0),"Contraction",
  AND(D626&gt;0,E626&lt;0),"Recovery",
  TRUE,"Undefined"
)</f>
        <v>Expansion</v>
      </c>
      <c r="Q626" t="str">
        <f t="shared" si="91"/>
        <v>Expansion</v>
      </c>
      <c r="R626">
        <f t="shared" si="85"/>
        <v>1</v>
      </c>
      <c r="S626">
        <f t="shared" si="86"/>
        <v>1</v>
      </c>
      <c r="T626">
        <f t="shared" si="87"/>
        <v>1</v>
      </c>
      <c r="U626">
        <f t="shared" si="88"/>
        <v>1</v>
      </c>
      <c r="V626" t="str" cm="1">
        <f t="array" ref="V626">_xlfn.IFS(
  AND(S626&gt;0,U626&gt;0),"Expansion",
  AND(S626&lt;0,U626&gt;0),"Slowdown",
  AND(S626&lt;0,U626&lt;0),"Contraction",
  AND(S626&gt;0,U626&lt;0),"Recovery",
  TRUE,"Undefined"
)</f>
        <v>Expansion</v>
      </c>
      <c r="W626">
        <f t="shared" si="89"/>
        <v>0</v>
      </c>
      <c r="X626">
        <f t="shared" si="90"/>
        <v>0</v>
      </c>
      <c r="Y626">
        <v>0</v>
      </c>
    </row>
    <row r="627" spans="1:25" x14ac:dyDescent="0.35">
      <c r="A627" s="1">
        <f>Data!A627</f>
        <v>36192</v>
      </c>
      <c r="B627" s="2">
        <f>IFERROR((Data!B627/Data!B626-1)*100,"")</f>
        <v>0</v>
      </c>
      <c r="C627" s="2">
        <f>IFERROR((Data!C627/Data!C626-1)*100,"")</f>
        <v>0.60814973215581603</v>
      </c>
      <c r="D627">
        <f t="shared" si="83"/>
        <v>0.49774766976616497</v>
      </c>
      <c r="E627">
        <f t="shared" si="84"/>
        <v>0.12176570277158867</v>
      </c>
      <c r="P627" t="str" cm="1">
        <f t="array" ref="P627">_xlfn.IFS(
  AND(D627&gt;0,E627&gt;0),"Expansion",
  AND(D627&lt;0,E627&gt;0),"Slowdown",
  AND(D627&lt;0,E627&lt;0),"Contraction",
  AND(D627&gt;0,E627&lt;0),"Recovery",
  TRUE,"Undefined"
)</f>
        <v>Expansion</v>
      </c>
      <c r="Q627" t="str">
        <f t="shared" si="91"/>
        <v>Expansion</v>
      </c>
      <c r="R627">
        <f t="shared" si="85"/>
        <v>1</v>
      </c>
      <c r="S627">
        <f t="shared" si="86"/>
        <v>1</v>
      </c>
      <c r="T627">
        <f t="shared" si="87"/>
        <v>1</v>
      </c>
      <c r="U627">
        <f t="shared" si="88"/>
        <v>1</v>
      </c>
      <c r="V627" t="str" cm="1">
        <f t="array" ref="V627">_xlfn.IFS(
  AND(S627&gt;0,U627&gt;0),"Expansion",
  AND(S627&lt;0,U627&gt;0),"Slowdown",
  AND(S627&lt;0,U627&lt;0),"Contraction",
  AND(S627&gt;0,U627&lt;0),"Recovery",
  TRUE,"Undefined"
)</f>
        <v>Expansion</v>
      </c>
      <c r="W627">
        <f t="shared" si="89"/>
        <v>0</v>
      </c>
      <c r="X627">
        <f t="shared" si="90"/>
        <v>0</v>
      </c>
      <c r="Y627">
        <v>0</v>
      </c>
    </row>
    <row r="628" spans="1:25" x14ac:dyDescent="0.35">
      <c r="A628" s="1">
        <f>Data!A628</f>
        <v>36220</v>
      </c>
      <c r="B628" s="2">
        <f>IFERROR((Data!B628/Data!B627-1)*100,"")</f>
        <v>6.0716454159082112E-2</v>
      </c>
      <c r="C628" s="2">
        <f>IFERROR((Data!C628/Data!C627-1)*100,"")</f>
        <v>0.22686221273018337</v>
      </c>
      <c r="D628">
        <f t="shared" si="83"/>
        <v>0.42235571136077787</v>
      </c>
      <c r="E628">
        <f t="shared" si="84"/>
        <v>8.1066068661295176E-2</v>
      </c>
      <c r="P628" t="str" cm="1">
        <f t="array" ref="P628">_xlfn.IFS(
  AND(D628&gt;0,E628&gt;0),"Expansion",
  AND(D628&lt;0,E628&gt;0),"Slowdown",
  AND(D628&lt;0,E628&lt;0),"Contraction",
  AND(D628&gt;0,E628&lt;0),"Recovery",
  TRUE,"Undefined"
)</f>
        <v>Expansion</v>
      </c>
      <c r="Q628" t="str">
        <f t="shared" si="91"/>
        <v>Expansion</v>
      </c>
      <c r="R628">
        <f t="shared" si="85"/>
        <v>1</v>
      </c>
      <c r="S628">
        <f t="shared" si="86"/>
        <v>1</v>
      </c>
      <c r="T628">
        <f t="shared" si="87"/>
        <v>1</v>
      </c>
      <c r="U628">
        <f t="shared" si="88"/>
        <v>1</v>
      </c>
      <c r="V628" t="str" cm="1">
        <f t="array" ref="V628">_xlfn.IFS(
  AND(S628&gt;0,U628&gt;0),"Expansion",
  AND(S628&lt;0,U628&gt;0),"Slowdown",
  AND(S628&lt;0,U628&lt;0),"Contraction",
  AND(S628&gt;0,U628&lt;0),"Recovery",
  TRUE,"Undefined"
)</f>
        <v>Expansion</v>
      </c>
      <c r="W628">
        <f t="shared" si="89"/>
        <v>0</v>
      </c>
      <c r="X628">
        <f t="shared" si="90"/>
        <v>0</v>
      </c>
      <c r="Y628">
        <v>0</v>
      </c>
    </row>
    <row r="629" spans="1:25" x14ac:dyDescent="0.35">
      <c r="A629" s="1">
        <f>Data!A629</f>
        <v>36251</v>
      </c>
      <c r="B629" s="2">
        <f>IFERROR((Data!B629/Data!B628-1)*100,"")</f>
        <v>0.66747572815533118</v>
      </c>
      <c r="C629" s="2">
        <f>IFERROR((Data!C629/Data!C628-1)*100,"")</f>
        <v>0.22986238859665775</v>
      </c>
      <c r="D629">
        <f t="shared" si="83"/>
        <v>0.35495811116088571</v>
      </c>
      <c r="E629">
        <f t="shared" si="84"/>
        <v>0.24273072743813776</v>
      </c>
      <c r="P629" t="str" cm="1">
        <f t="array" ref="P629">_xlfn.IFS(
  AND(D629&gt;0,E629&gt;0),"Expansion",
  AND(D629&lt;0,E629&gt;0),"Slowdown",
  AND(D629&lt;0,E629&lt;0),"Contraction",
  AND(D629&gt;0,E629&lt;0),"Recovery",
  TRUE,"Undefined"
)</f>
        <v>Expansion</v>
      </c>
      <c r="Q629" t="str">
        <f t="shared" si="91"/>
        <v>Expansion</v>
      </c>
      <c r="R629">
        <f t="shared" si="85"/>
        <v>1</v>
      </c>
      <c r="S629">
        <f t="shared" si="86"/>
        <v>1</v>
      </c>
      <c r="T629">
        <f t="shared" si="87"/>
        <v>1</v>
      </c>
      <c r="U629">
        <f t="shared" si="88"/>
        <v>1</v>
      </c>
      <c r="V629" t="str" cm="1">
        <f t="array" ref="V629">_xlfn.IFS(
  AND(S629&gt;0,U629&gt;0),"Expansion",
  AND(S629&lt;0,U629&gt;0),"Slowdown",
  AND(S629&lt;0,U629&lt;0),"Contraction",
  AND(S629&gt;0,U629&lt;0),"Recovery",
  TRUE,"Undefined"
)</f>
        <v>Expansion</v>
      </c>
      <c r="W629">
        <f t="shared" si="89"/>
        <v>0</v>
      </c>
      <c r="X629">
        <f t="shared" si="90"/>
        <v>0</v>
      </c>
      <c r="Y629">
        <v>0</v>
      </c>
    </row>
    <row r="630" spans="1:25" x14ac:dyDescent="0.35">
      <c r="A630" s="1">
        <f>Data!A630</f>
        <v>36281</v>
      </c>
      <c r="B630" s="2">
        <f>IFERROR((Data!B630/Data!B629-1)*100,"")</f>
        <v>6.027727546713546E-2</v>
      </c>
      <c r="C630" s="2">
        <f>IFERROR((Data!C630/Data!C629-1)*100,"")</f>
        <v>0.63225507325044283</v>
      </c>
      <c r="D630">
        <f t="shared" si="83"/>
        <v>0.36299322485909463</v>
      </c>
      <c r="E630">
        <f t="shared" si="84"/>
        <v>0.26282315259384958</v>
      </c>
      <c r="P630" t="str" cm="1">
        <f t="array" ref="P630">_xlfn.IFS(
  AND(D630&gt;0,E630&gt;0),"Expansion",
  AND(D630&lt;0,E630&gt;0),"Slowdown",
  AND(D630&lt;0,E630&lt;0),"Contraction",
  AND(D630&gt;0,E630&lt;0),"Recovery",
  TRUE,"Undefined"
)</f>
        <v>Expansion</v>
      </c>
      <c r="Q630" t="str">
        <f t="shared" si="91"/>
        <v>Expansion</v>
      </c>
      <c r="R630">
        <f t="shared" si="85"/>
        <v>1</v>
      </c>
      <c r="S630">
        <f t="shared" si="86"/>
        <v>1</v>
      </c>
      <c r="T630">
        <f t="shared" si="87"/>
        <v>1</v>
      </c>
      <c r="U630">
        <f t="shared" si="88"/>
        <v>1</v>
      </c>
      <c r="V630" t="str" cm="1">
        <f t="array" ref="V630">_xlfn.IFS(
  AND(S630&gt;0,U630&gt;0),"Expansion",
  AND(S630&lt;0,U630&gt;0),"Slowdown",
  AND(S630&lt;0,U630&lt;0),"Contraction",
  AND(S630&gt;0,U630&lt;0),"Recovery",
  TRUE,"Undefined"
)</f>
        <v>Expansion</v>
      </c>
      <c r="W630">
        <f t="shared" si="89"/>
        <v>0</v>
      </c>
      <c r="X630">
        <f t="shared" si="90"/>
        <v>0</v>
      </c>
      <c r="Y630">
        <v>0</v>
      </c>
    </row>
    <row r="631" spans="1:25" x14ac:dyDescent="0.35">
      <c r="A631" s="1">
        <f>Data!A631</f>
        <v>36312</v>
      </c>
      <c r="B631" s="2">
        <f>IFERROR((Data!B631/Data!B630-1)*100,"")</f>
        <v>0</v>
      </c>
      <c r="C631" s="2">
        <f>IFERROR((Data!C631/Data!C630-1)*100,"")</f>
        <v>-7.8437013280352463E-2</v>
      </c>
      <c r="D631">
        <f t="shared" si="83"/>
        <v>0.26122681618891602</v>
      </c>
      <c r="E631">
        <f t="shared" si="84"/>
        <v>0.24258433454082221</v>
      </c>
      <c r="P631" t="str" cm="1">
        <f t="array" ref="P631">_xlfn.IFS(
  AND(D631&gt;0,E631&gt;0),"Expansion",
  AND(D631&lt;0,E631&gt;0),"Slowdown",
  AND(D631&lt;0,E631&lt;0),"Contraction",
  AND(D631&gt;0,E631&lt;0),"Recovery",
  TRUE,"Undefined"
)</f>
        <v>Expansion</v>
      </c>
      <c r="Q631" t="str">
        <f t="shared" si="91"/>
        <v>Expansion</v>
      </c>
      <c r="R631">
        <f t="shared" si="85"/>
        <v>1</v>
      </c>
      <c r="S631">
        <f t="shared" si="86"/>
        <v>1</v>
      </c>
      <c r="T631">
        <f t="shared" si="87"/>
        <v>1</v>
      </c>
      <c r="U631">
        <f t="shared" si="88"/>
        <v>1</v>
      </c>
      <c r="V631" t="str" cm="1">
        <f t="array" ref="V631">_xlfn.IFS(
  AND(S631&gt;0,U631&gt;0),"Expansion",
  AND(S631&lt;0,U631&gt;0),"Slowdown",
  AND(S631&lt;0,U631&lt;0),"Contraction",
  AND(S631&gt;0,U631&lt;0),"Recovery",
  TRUE,"Undefined"
)</f>
        <v>Expansion</v>
      </c>
      <c r="W631">
        <f t="shared" si="89"/>
        <v>0</v>
      </c>
      <c r="X631">
        <f t="shared" si="90"/>
        <v>0</v>
      </c>
      <c r="Y631">
        <v>0</v>
      </c>
    </row>
    <row r="632" spans="1:25" x14ac:dyDescent="0.35">
      <c r="A632" s="1">
        <f>Data!A632</f>
        <v>36342</v>
      </c>
      <c r="B632" s="2">
        <f>IFERROR((Data!B632/Data!B631-1)*100,"")</f>
        <v>0.42168674698794817</v>
      </c>
      <c r="C632" s="2">
        <f>IFERROR((Data!C632/Data!C631-1)*100,"")</f>
        <v>0.57861779511194644</v>
      </c>
      <c r="D632">
        <f t="shared" si="83"/>
        <v>0.37747861836067892</v>
      </c>
      <c r="E632">
        <f t="shared" si="84"/>
        <v>0.16065467415169454</v>
      </c>
      <c r="P632" t="str" cm="1">
        <f t="array" ref="P632">_xlfn.IFS(
  AND(D632&gt;0,E632&gt;0),"Expansion",
  AND(D632&lt;0,E632&gt;0),"Slowdown",
  AND(D632&lt;0,E632&lt;0),"Contraction",
  AND(D632&gt;0,E632&lt;0),"Recovery",
  TRUE,"Undefined"
)</f>
        <v>Expansion</v>
      </c>
      <c r="Q632" t="str">
        <f t="shared" si="91"/>
        <v>Expansion</v>
      </c>
      <c r="R632">
        <f t="shared" si="85"/>
        <v>1</v>
      </c>
      <c r="S632">
        <f t="shared" si="86"/>
        <v>1</v>
      </c>
      <c r="T632">
        <f t="shared" si="87"/>
        <v>1</v>
      </c>
      <c r="U632">
        <f t="shared" si="88"/>
        <v>1</v>
      </c>
      <c r="V632" t="str" cm="1">
        <f t="array" ref="V632">_xlfn.IFS(
  AND(S632&gt;0,U632&gt;0),"Expansion",
  AND(S632&lt;0,U632&gt;0),"Slowdown",
  AND(S632&lt;0,U632&lt;0),"Contraction",
  AND(S632&gt;0,U632&lt;0),"Recovery",
  TRUE,"Undefined"
)</f>
        <v>Expansion</v>
      </c>
      <c r="W632">
        <f t="shared" si="89"/>
        <v>0</v>
      </c>
      <c r="X632">
        <f t="shared" si="90"/>
        <v>0</v>
      </c>
      <c r="Y632">
        <v>0</v>
      </c>
    </row>
    <row r="633" spans="1:25" x14ac:dyDescent="0.35">
      <c r="A633" s="1">
        <f>Data!A633</f>
        <v>36373</v>
      </c>
      <c r="B633" s="2">
        <f>IFERROR((Data!B633/Data!B632-1)*100,"")</f>
        <v>0.23995200959807672</v>
      </c>
      <c r="C633" s="2">
        <f>IFERROR((Data!C633/Data!C632-1)*100,"")</f>
        <v>0.40152828979809208</v>
      </c>
      <c r="D633">
        <f t="shared" si="83"/>
        <v>0.30056969054322868</v>
      </c>
      <c r="E633">
        <f t="shared" si="84"/>
        <v>0.22054625219534163</v>
      </c>
      <c r="P633" t="str" cm="1">
        <f t="array" ref="P633">_xlfn.IFS(
  AND(D633&gt;0,E633&gt;0),"Expansion",
  AND(D633&lt;0,E633&gt;0),"Slowdown",
  AND(D633&lt;0,E633&lt;0),"Contraction",
  AND(D633&gt;0,E633&lt;0),"Recovery",
  TRUE,"Undefined"
)</f>
        <v>Expansion</v>
      </c>
      <c r="Q633" t="str">
        <f t="shared" si="91"/>
        <v>Expansion</v>
      </c>
      <c r="R633">
        <f t="shared" si="85"/>
        <v>1</v>
      </c>
      <c r="S633">
        <f t="shared" si="86"/>
        <v>1</v>
      </c>
      <c r="T633">
        <f t="shared" si="87"/>
        <v>1</v>
      </c>
      <c r="U633">
        <f t="shared" si="88"/>
        <v>1</v>
      </c>
      <c r="V633" t="str" cm="1">
        <f t="array" ref="V633">_xlfn.IFS(
  AND(S633&gt;0,U633&gt;0),"Expansion",
  AND(S633&lt;0,U633&gt;0),"Slowdown",
  AND(S633&lt;0,U633&lt;0),"Contraction",
  AND(S633&gt;0,U633&lt;0),"Recovery",
  TRUE,"Undefined"
)</f>
        <v>Expansion</v>
      </c>
      <c r="W633">
        <f t="shared" si="89"/>
        <v>0</v>
      </c>
      <c r="X633">
        <f t="shared" si="90"/>
        <v>0</v>
      </c>
      <c r="Y633">
        <v>0</v>
      </c>
    </row>
    <row r="634" spans="1:25" x14ac:dyDescent="0.35">
      <c r="A634" s="1">
        <f>Data!A634</f>
        <v>36404</v>
      </c>
      <c r="B634" s="2">
        <f>IFERROR((Data!B634/Data!B633-1)*100,"")</f>
        <v>0.41891083183722699</v>
      </c>
      <c r="C634" s="2">
        <f>IFERROR((Data!C634/Data!C633-1)*100,"")</f>
        <v>-0.40370899987081099</v>
      </c>
      <c r="D634">
        <f t="shared" si="83"/>
        <v>0.19214569501307585</v>
      </c>
      <c r="E634">
        <f t="shared" si="84"/>
        <v>0.36018319614108396</v>
      </c>
      <c r="P634" t="str" cm="1">
        <f t="array" ref="P634">_xlfn.IFS(
  AND(D634&gt;0,E634&gt;0),"Expansion",
  AND(D634&lt;0,E634&gt;0),"Slowdown",
  AND(D634&lt;0,E634&lt;0),"Contraction",
  AND(D634&gt;0,E634&lt;0),"Recovery",
  TRUE,"Undefined"
)</f>
        <v>Expansion</v>
      </c>
      <c r="Q634" t="str">
        <f t="shared" si="91"/>
        <v>Expansion</v>
      </c>
      <c r="R634">
        <f t="shared" si="85"/>
        <v>1</v>
      </c>
      <c r="S634">
        <f t="shared" si="86"/>
        <v>1</v>
      </c>
      <c r="T634">
        <f t="shared" si="87"/>
        <v>1</v>
      </c>
      <c r="U634">
        <f t="shared" si="88"/>
        <v>1</v>
      </c>
      <c r="V634" t="str" cm="1">
        <f t="array" ref="V634">_xlfn.IFS(
  AND(S634&gt;0,U634&gt;0),"Expansion",
  AND(S634&lt;0,U634&gt;0),"Slowdown",
  AND(S634&lt;0,U634&lt;0),"Contraction",
  AND(S634&gt;0,U634&lt;0),"Recovery",
  TRUE,"Undefined"
)</f>
        <v>Expansion</v>
      </c>
      <c r="W634">
        <f t="shared" si="89"/>
        <v>0</v>
      </c>
      <c r="X634">
        <f t="shared" si="90"/>
        <v>0</v>
      </c>
      <c r="Y634">
        <v>0</v>
      </c>
    </row>
    <row r="635" spans="1:25" x14ac:dyDescent="0.35">
      <c r="A635" s="1">
        <f>Data!A635</f>
        <v>36434</v>
      </c>
      <c r="B635" s="2">
        <f>IFERROR((Data!B635/Data!B634-1)*100,"")</f>
        <v>0.17878426698449967</v>
      </c>
      <c r="C635" s="2">
        <f>IFERROR((Data!C635/Data!C634-1)*100,"")</f>
        <v>1.2222981351874385</v>
      </c>
      <c r="D635">
        <f t="shared" si="83"/>
        <v>0.40670580837157316</v>
      </c>
      <c r="E635">
        <f t="shared" si="84"/>
        <v>0.27921570280660113</v>
      </c>
      <c r="P635" t="str" cm="1">
        <f t="array" ref="P635">_xlfn.IFS(
  AND(D635&gt;0,E635&gt;0),"Expansion",
  AND(D635&lt;0,E635&gt;0),"Slowdown",
  AND(D635&lt;0,E635&lt;0),"Contraction",
  AND(D635&gt;0,E635&lt;0),"Recovery",
  TRUE,"Undefined"
)</f>
        <v>Expansion</v>
      </c>
      <c r="Q635" t="str">
        <f t="shared" si="91"/>
        <v>Expansion</v>
      </c>
      <c r="R635">
        <f t="shared" si="85"/>
        <v>1</v>
      </c>
      <c r="S635">
        <f t="shared" si="86"/>
        <v>1</v>
      </c>
      <c r="T635">
        <f t="shared" si="87"/>
        <v>1</v>
      </c>
      <c r="U635">
        <f t="shared" si="88"/>
        <v>1</v>
      </c>
      <c r="V635" t="str" cm="1">
        <f t="array" ref="V635">_xlfn.IFS(
  AND(S635&gt;0,U635&gt;0),"Expansion",
  AND(S635&lt;0,U635&gt;0),"Slowdown",
  AND(S635&lt;0,U635&lt;0),"Contraction",
  AND(S635&gt;0,U635&lt;0),"Recovery",
  TRUE,"Undefined"
)</f>
        <v>Expansion</v>
      </c>
      <c r="W635">
        <f t="shared" si="89"/>
        <v>0</v>
      </c>
      <c r="X635">
        <f t="shared" si="90"/>
        <v>0</v>
      </c>
      <c r="Y635">
        <v>0</v>
      </c>
    </row>
    <row r="636" spans="1:25" x14ac:dyDescent="0.35">
      <c r="A636" s="1">
        <f>Data!A636</f>
        <v>36465</v>
      </c>
      <c r="B636" s="2">
        <f>IFERROR((Data!B636/Data!B635-1)*100,"")</f>
        <v>0.17846519928614857</v>
      </c>
      <c r="C636" s="2">
        <f>IFERROR((Data!C636/Data!C635-1)*100,"")</f>
        <v>0.48473868519602892</v>
      </c>
      <c r="D636">
        <f t="shared" si="83"/>
        <v>0.43444260683755215</v>
      </c>
      <c r="E636">
        <f t="shared" si="84"/>
        <v>0.25872009936929175</v>
      </c>
      <c r="P636" t="str" cm="1">
        <f t="array" ref="P636">_xlfn.IFS(
  AND(D636&gt;0,E636&gt;0),"Expansion",
  AND(D636&lt;0,E636&gt;0),"Slowdown",
  AND(D636&lt;0,E636&lt;0),"Contraction",
  AND(D636&gt;0,E636&lt;0),"Recovery",
  TRUE,"Undefined"
)</f>
        <v>Expansion</v>
      </c>
      <c r="Q636" t="str">
        <f t="shared" si="91"/>
        <v>Expansion</v>
      </c>
      <c r="R636">
        <f t="shared" si="85"/>
        <v>1</v>
      </c>
      <c r="S636">
        <f t="shared" si="86"/>
        <v>1</v>
      </c>
      <c r="T636">
        <f t="shared" si="87"/>
        <v>1</v>
      </c>
      <c r="U636">
        <f t="shared" si="88"/>
        <v>1</v>
      </c>
      <c r="V636" t="str" cm="1">
        <f t="array" ref="V636">_xlfn.IFS(
  AND(S636&gt;0,U636&gt;0),"Expansion",
  AND(S636&lt;0,U636&gt;0),"Slowdown",
  AND(S636&lt;0,U636&lt;0),"Contraction",
  AND(S636&gt;0,U636&lt;0),"Recovery",
  TRUE,"Undefined"
)</f>
        <v>Expansion</v>
      </c>
      <c r="W636">
        <f t="shared" si="89"/>
        <v>0</v>
      </c>
      <c r="X636">
        <f t="shared" si="90"/>
        <v>0</v>
      </c>
      <c r="Y636">
        <v>0</v>
      </c>
    </row>
    <row r="637" spans="1:25" x14ac:dyDescent="0.35">
      <c r="A637" s="1">
        <f>Data!A637</f>
        <v>36495</v>
      </c>
      <c r="B637" s="2">
        <f>IFERROR((Data!B637/Data!B636-1)*100,"")</f>
        <v>0.23752969121140222</v>
      </c>
      <c r="C637" s="2">
        <f>IFERROR((Data!C637/Data!C636-1)*100,"")</f>
        <v>0.77131279284270438</v>
      </c>
      <c r="D637">
        <f t="shared" si="83"/>
        <v>0.82611653774205729</v>
      </c>
      <c r="E637">
        <f t="shared" si="84"/>
        <v>0.1982597191606835</v>
      </c>
      <c r="P637" t="str" cm="1">
        <f t="array" ref="P637">_xlfn.IFS(
  AND(D637&gt;0,E637&gt;0),"Expansion",
  AND(D637&lt;0,E637&gt;0),"Slowdown",
  AND(D637&lt;0,E637&lt;0),"Contraction",
  AND(D637&gt;0,E637&lt;0),"Recovery",
  TRUE,"Undefined"
)</f>
        <v>Expansion</v>
      </c>
      <c r="Q637" t="str">
        <f t="shared" si="91"/>
        <v>Expansion</v>
      </c>
      <c r="R637">
        <f t="shared" si="85"/>
        <v>1</v>
      </c>
      <c r="S637">
        <f t="shared" si="86"/>
        <v>1</v>
      </c>
      <c r="T637">
        <f t="shared" si="87"/>
        <v>1</v>
      </c>
      <c r="U637">
        <f t="shared" si="88"/>
        <v>1</v>
      </c>
      <c r="V637" t="str" cm="1">
        <f t="array" ref="V637">_xlfn.IFS(
  AND(S637&gt;0,U637&gt;0),"Expansion",
  AND(S637&lt;0,U637&gt;0),"Slowdown",
  AND(S637&lt;0,U637&lt;0),"Contraction",
  AND(S637&gt;0,U637&lt;0),"Recovery",
  TRUE,"Undefined"
)</f>
        <v>Expansion</v>
      </c>
      <c r="W637">
        <f t="shared" si="89"/>
        <v>0</v>
      </c>
      <c r="X637">
        <f t="shared" si="90"/>
        <v>0</v>
      </c>
      <c r="Y637">
        <v>0</v>
      </c>
    </row>
    <row r="638" spans="1:25" x14ac:dyDescent="0.35">
      <c r="A638" s="1">
        <f>Data!A638</f>
        <v>36526</v>
      </c>
      <c r="B638" s="2">
        <f>IFERROR((Data!B638/Data!B637-1)*100,"")</f>
        <v>0.2962085308056972</v>
      </c>
      <c r="C638" s="2">
        <f>IFERROR((Data!C638/Data!C637-1)*100,"")</f>
        <v>-0.13680487522828022</v>
      </c>
      <c r="D638">
        <f t="shared" si="83"/>
        <v>0.37308220093681771</v>
      </c>
      <c r="E638">
        <f t="shared" si="84"/>
        <v>0.23740114043441599</v>
      </c>
      <c r="P638" t="str" cm="1">
        <f t="array" ref="P638">_xlfn.IFS(
  AND(D638&gt;0,E638&gt;0),"Expansion",
  AND(D638&lt;0,E638&gt;0),"Slowdown",
  AND(D638&lt;0,E638&lt;0),"Contraction",
  AND(D638&gt;0,E638&lt;0),"Recovery",
  TRUE,"Undefined"
)</f>
        <v>Expansion</v>
      </c>
      <c r="Q638" t="str">
        <f t="shared" si="91"/>
        <v>Expansion</v>
      </c>
      <c r="R638">
        <f t="shared" si="85"/>
        <v>1</v>
      </c>
      <c r="S638">
        <f t="shared" si="86"/>
        <v>1</v>
      </c>
      <c r="T638">
        <f t="shared" si="87"/>
        <v>1</v>
      </c>
      <c r="U638">
        <f t="shared" si="88"/>
        <v>1</v>
      </c>
      <c r="V638" t="str" cm="1">
        <f t="array" ref="V638">_xlfn.IFS(
  AND(S638&gt;0,U638&gt;0),"Expansion",
  AND(S638&lt;0,U638&gt;0),"Slowdown",
  AND(S638&lt;0,U638&lt;0),"Contraction",
  AND(S638&gt;0,U638&lt;0),"Recovery",
  TRUE,"Undefined"
)</f>
        <v>Expansion</v>
      </c>
      <c r="W638">
        <f t="shared" si="89"/>
        <v>0</v>
      </c>
      <c r="X638">
        <f t="shared" si="90"/>
        <v>0</v>
      </c>
      <c r="Y638">
        <v>0</v>
      </c>
    </row>
    <row r="639" spans="1:25" x14ac:dyDescent="0.35">
      <c r="A639" s="1">
        <f>Data!A639</f>
        <v>36557</v>
      </c>
      <c r="B639" s="2">
        <f>IFERROR((Data!B639/Data!B638-1)*100,"")</f>
        <v>0.41346721795627595</v>
      </c>
      <c r="C639" s="2">
        <f>IFERROR((Data!C639/Data!C638-1)*100,"")</f>
        <v>0.31232930586204688</v>
      </c>
      <c r="D639">
        <f t="shared" si="83"/>
        <v>0.31561240782549033</v>
      </c>
      <c r="E639">
        <f t="shared" si="84"/>
        <v>0.31573514665779179</v>
      </c>
      <c r="P639" t="str" cm="1">
        <f t="array" ref="P639">_xlfn.IFS(
  AND(D639&gt;0,E639&gt;0),"Expansion",
  AND(D639&lt;0,E639&gt;0),"Slowdown",
  AND(D639&lt;0,E639&lt;0),"Contraction",
  AND(D639&gt;0,E639&lt;0),"Recovery",
  TRUE,"Undefined"
)</f>
        <v>Expansion</v>
      </c>
      <c r="Q639" t="str">
        <f t="shared" si="91"/>
        <v>Expansion</v>
      </c>
      <c r="R639">
        <f t="shared" si="85"/>
        <v>1</v>
      </c>
      <c r="S639">
        <f t="shared" si="86"/>
        <v>1</v>
      </c>
      <c r="T639">
        <f t="shared" si="87"/>
        <v>1</v>
      </c>
      <c r="U639">
        <f t="shared" si="88"/>
        <v>1</v>
      </c>
      <c r="V639" t="str" cm="1">
        <f t="array" ref="V639">_xlfn.IFS(
  AND(S639&gt;0,U639&gt;0),"Expansion",
  AND(S639&lt;0,U639&gt;0),"Slowdown",
  AND(S639&lt;0,U639&lt;0),"Contraction",
  AND(S639&gt;0,U639&lt;0),"Recovery",
  TRUE,"Undefined"
)</f>
        <v>Expansion</v>
      </c>
      <c r="W639">
        <f t="shared" si="89"/>
        <v>0</v>
      </c>
      <c r="X639">
        <f t="shared" si="90"/>
        <v>0</v>
      </c>
      <c r="Y639">
        <v>0</v>
      </c>
    </row>
    <row r="640" spans="1:25" x14ac:dyDescent="0.35">
      <c r="A640" s="1">
        <f>Data!A640</f>
        <v>36586</v>
      </c>
      <c r="B640" s="2">
        <f>IFERROR((Data!B640/Data!B639-1)*100,"")</f>
        <v>0.58823529411764497</v>
      </c>
      <c r="C640" s="2">
        <f>IFERROR((Data!C640/Data!C639-1)*100,"")</f>
        <v>0.35557191537280985</v>
      </c>
      <c r="D640">
        <f t="shared" si="83"/>
        <v>0.17703211533552551</v>
      </c>
      <c r="E640">
        <f t="shared" si="84"/>
        <v>0.43263701429320606</v>
      </c>
      <c r="P640" t="str" cm="1">
        <f t="array" ref="P640">_xlfn.IFS(
  AND(D640&gt;0,E640&gt;0),"Expansion",
  AND(D640&lt;0,E640&gt;0),"Slowdown",
  AND(D640&lt;0,E640&lt;0),"Contraction",
  AND(D640&gt;0,E640&lt;0),"Recovery",
  TRUE,"Undefined"
)</f>
        <v>Expansion</v>
      </c>
      <c r="Q640" t="str">
        <f t="shared" si="91"/>
        <v>Expansion</v>
      </c>
      <c r="R640">
        <f t="shared" si="85"/>
        <v>1</v>
      </c>
      <c r="S640">
        <f t="shared" si="86"/>
        <v>1</v>
      </c>
      <c r="T640">
        <f t="shared" si="87"/>
        <v>1</v>
      </c>
      <c r="U640">
        <f t="shared" si="88"/>
        <v>1</v>
      </c>
      <c r="V640" t="str" cm="1">
        <f t="array" ref="V640">_xlfn.IFS(
  AND(S640&gt;0,U640&gt;0),"Expansion",
  AND(S640&lt;0,U640&gt;0),"Slowdown",
  AND(S640&lt;0,U640&lt;0),"Contraction",
  AND(S640&gt;0,U640&lt;0),"Recovery",
  TRUE,"Undefined"
)</f>
        <v>Expansion</v>
      </c>
      <c r="W640">
        <f t="shared" si="89"/>
        <v>0</v>
      </c>
      <c r="X640">
        <f t="shared" si="90"/>
        <v>0</v>
      </c>
      <c r="Y640">
        <v>0</v>
      </c>
    </row>
    <row r="641" spans="1:25" x14ac:dyDescent="0.35">
      <c r="A641" s="1">
        <f>Data!A641</f>
        <v>36617</v>
      </c>
      <c r="B641" s="2">
        <f>IFERROR((Data!B641/Data!B640-1)*100,"")</f>
        <v>-5.847953216373547E-2</v>
      </c>
      <c r="C641" s="2">
        <f>IFERROR((Data!C641/Data!C640-1)*100,"")</f>
        <v>0.59522259263116162</v>
      </c>
      <c r="D641">
        <f t="shared" si="83"/>
        <v>0.4210412712886728</v>
      </c>
      <c r="E641">
        <f t="shared" si="84"/>
        <v>0.31440765997006181</v>
      </c>
      <c r="P641" t="str" cm="1">
        <f t="array" ref="P641">_xlfn.IFS(
  AND(D641&gt;0,E641&gt;0),"Expansion",
  AND(D641&lt;0,E641&gt;0),"Slowdown",
  AND(D641&lt;0,E641&lt;0),"Contraction",
  AND(D641&gt;0,E641&lt;0),"Recovery",
  TRUE,"Undefined"
)</f>
        <v>Expansion</v>
      </c>
      <c r="Q641" t="str">
        <f t="shared" si="91"/>
        <v>Expansion</v>
      </c>
      <c r="R641">
        <f t="shared" si="85"/>
        <v>1</v>
      </c>
      <c r="S641">
        <f t="shared" si="86"/>
        <v>1</v>
      </c>
      <c r="T641">
        <f t="shared" si="87"/>
        <v>1</v>
      </c>
      <c r="U641">
        <f t="shared" si="88"/>
        <v>1</v>
      </c>
      <c r="V641" t="str" cm="1">
        <f t="array" ref="V641">_xlfn.IFS(
  AND(S641&gt;0,U641&gt;0),"Expansion",
  AND(S641&lt;0,U641&gt;0),"Slowdown",
  AND(S641&lt;0,U641&lt;0),"Contraction",
  AND(S641&gt;0,U641&lt;0),"Recovery",
  TRUE,"Undefined"
)</f>
        <v>Expansion</v>
      </c>
      <c r="W641">
        <f t="shared" si="89"/>
        <v>0</v>
      </c>
      <c r="X641">
        <f t="shared" si="90"/>
        <v>0</v>
      </c>
      <c r="Y641">
        <v>0</v>
      </c>
    </row>
    <row r="642" spans="1:25" x14ac:dyDescent="0.35">
      <c r="A642" s="1">
        <f>Data!A642</f>
        <v>36647</v>
      </c>
      <c r="B642" s="2">
        <f>IFERROR((Data!B642/Data!B641-1)*100,"")</f>
        <v>0.17554125219425565</v>
      </c>
      <c r="C642" s="2">
        <f>IFERROR((Data!C642/Data!C641-1)*100,"")</f>
        <v>0.27076912455272772</v>
      </c>
      <c r="D642">
        <f t="shared" si="83"/>
        <v>0.40718787751889973</v>
      </c>
      <c r="E642">
        <f t="shared" si="84"/>
        <v>0.23509900471605505</v>
      </c>
      <c r="P642" t="str" cm="1">
        <f t="array" ref="P642">_xlfn.IFS(
  AND(D642&gt;0,E642&gt;0),"Expansion",
  AND(D642&lt;0,E642&gt;0),"Slowdown",
  AND(D642&lt;0,E642&lt;0),"Contraction",
  AND(D642&gt;0,E642&lt;0),"Recovery",
  TRUE,"Undefined"
)</f>
        <v>Expansion</v>
      </c>
      <c r="Q642" t="str">
        <f t="shared" si="91"/>
        <v>Expansion</v>
      </c>
      <c r="R642">
        <f t="shared" si="85"/>
        <v>1</v>
      </c>
      <c r="S642">
        <f t="shared" si="86"/>
        <v>1</v>
      </c>
      <c r="T642">
        <f t="shared" si="87"/>
        <v>1</v>
      </c>
      <c r="U642">
        <f t="shared" si="88"/>
        <v>1</v>
      </c>
      <c r="V642" t="str" cm="1">
        <f t="array" ref="V642">_xlfn.IFS(
  AND(S642&gt;0,U642&gt;0),"Expansion",
  AND(S642&lt;0,U642&gt;0),"Slowdown",
  AND(S642&lt;0,U642&lt;0),"Contraction",
  AND(S642&gt;0,U642&lt;0),"Recovery",
  TRUE,"Undefined"
)</f>
        <v>Expansion</v>
      </c>
      <c r="W642">
        <f t="shared" si="89"/>
        <v>0</v>
      </c>
      <c r="X642">
        <f t="shared" si="90"/>
        <v>0</v>
      </c>
      <c r="Y642">
        <v>0</v>
      </c>
    </row>
    <row r="643" spans="1:25" x14ac:dyDescent="0.35">
      <c r="A643" s="1">
        <f>Data!A643</f>
        <v>36678</v>
      </c>
      <c r="B643" s="2">
        <f>IFERROR((Data!B643/Data!B642-1)*100,"")</f>
        <v>0.58411214953271173</v>
      </c>
      <c r="C643" s="2">
        <f>IFERROR((Data!C643/Data!C642-1)*100,"")</f>
        <v>3.9053296453239739E-2</v>
      </c>
      <c r="D643">
        <f t="shared" si="83"/>
        <v>0.30168167121237638</v>
      </c>
      <c r="E643">
        <f t="shared" si="84"/>
        <v>0.23372462318774398</v>
      </c>
      <c r="P643" t="str" cm="1">
        <f t="array" ref="P643">_xlfn.IFS(
  AND(D643&gt;0,E643&gt;0),"Expansion",
  AND(D643&lt;0,E643&gt;0),"Slowdown",
  AND(D643&lt;0,E643&lt;0),"Contraction",
  AND(D643&gt;0,E643&lt;0),"Recovery",
  TRUE,"Undefined"
)</f>
        <v>Expansion</v>
      </c>
      <c r="Q643" t="str">
        <f t="shared" si="91"/>
        <v>Expansion</v>
      </c>
      <c r="R643">
        <f t="shared" si="85"/>
        <v>1</v>
      </c>
      <c r="S643">
        <f t="shared" si="86"/>
        <v>1</v>
      </c>
      <c r="T643">
        <f t="shared" si="87"/>
        <v>1</v>
      </c>
      <c r="U643">
        <f t="shared" si="88"/>
        <v>1</v>
      </c>
      <c r="V643" t="str" cm="1">
        <f t="array" ref="V643">_xlfn.IFS(
  AND(S643&gt;0,U643&gt;0),"Expansion",
  AND(S643&lt;0,U643&gt;0),"Slowdown",
  AND(S643&lt;0,U643&lt;0),"Contraction",
  AND(S643&gt;0,U643&lt;0),"Recovery",
  TRUE,"Undefined"
)</f>
        <v>Expansion</v>
      </c>
      <c r="W643">
        <f t="shared" si="89"/>
        <v>0</v>
      </c>
      <c r="X643">
        <f t="shared" si="90"/>
        <v>0</v>
      </c>
      <c r="Y643">
        <v>0</v>
      </c>
    </row>
    <row r="644" spans="1:25" x14ac:dyDescent="0.35">
      <c r="A644" s="1">
        <f>Data!A644</f>
        <v>36708</v>
      </c>
      <c r="B644" s="2">
        <f>IFERROR((Data!B644/Data!B643-1)*100,"")</f>
        <v>0.29036004645761615</v>
      </c>
      <c r="C644" s="2">
        <f>IFERROR((Data!C644/Data!C643-1)*100,"")</f>
        <v>-0.19508271119800247</v>
      </c>
      <c r="D644">
        <f t="shared" si="83"/>
        <v>3.824656993598833E-2</v>
      </c>
      <c r="E644">
        <f t="shared" si="84"/>
        <v>0.35000448272819451</v>
      </c>
      <c r="P644" t="str" cm="1">
        <f t="array" ref="P644">_xlfn.IFS(
  AND(D644&gt;0,E644&gt;0),"Expansion",
  AND(D644&lt;0,E644&gt;0),"Slowdown",
  AND(D644&lt;0,E644&lt;0),"Contraction",
  AND(D644&gt;0,E644&lt;0),"Recovery",
  TRUE,"Undefined"
)</f>
        <v>Expansion</v>
      </c>
      <c r="Q644" t="str">
        <f t="shared" si="91"/>
        <v>Expansion</v>
      </c>
      <c r="R644">
        <f t="shared" si="85"/>
        <v>1</v>
      </c>
      <c r="S644">
        <f t="shared" si="86"/>
        <v>1</v>
      </c>
      <c r="T644">
        <f t="shared" si="87"/>
        <v>1</v>
      </c>
      <c r="U644">
        <f t="shared" si="88"/>
        <v>1</v>
      </c>
      <c r="V644" t="str" cm="1">
        <f t="array" ref="V644">_xlfn.IFS(
  AND(S644&gt;0,U644&gt;0),"Expansion",
  AND(S644&lt;0,U644&gt;0),"Slowdown",
  AND(S644&lt;0,U644&lt;0),"Contraction",
  AND(S644&gt;0,U644&lt;0),"Recovery",
  TRUE,"Undefined"
)</f>
        <v>Expansion</v>
      </c>
      <c r="W644">
        <f t="shared" si="89"/>
        <v>0</v>
      </c>
      <c r="X644">
        <f t="shared" si="90"/>
        <v>0</v>
      </c>
      <c r="Y644">
        <v>0</v>
      </c>
    </row>
    <row r="645" spans="1:25" x14ac:dyDescent="0.35">
      <c r="A645" s="1">
        <f>Data!A645</f>
        <v>36739</v>
      </c>
      <c r="B645" s="2">
        <f>IFERROR((Data!B645/Data!B644-1)*100,"")</f>
        <v>0</v>
      </c>
      <c r="C645" s="2">
        <f>IFERROR((Data!C645/Data!C644-1)*100,"")</f>
        <v>-0.27229195041635901</v>
      </c>
      <c r="D645">
        <f t="shared" ref="D645:D708" si="92">SUM(C643:C645)/3</f>
        <v>-0.14277378838704058</v>
      </c>
      <c r="E645">
        <f t="shared" ref="E645:E708" si="93">SUM(B643:B645)/3</f>
        <v>0.29149073199677594</v>
      </c>
      <c r="P645" t="str" cm="1">
        <f t="array" ref="P645">_xlfn.IFS(
  AND(D645&gt;0,E645&gt;0),"Expansion",
  AND(D645&lt;0,E645&gt;0),"Slowdown",
  AND(D645&lt;0,E645&lt;0),"Contraction",
  AND(D645&gt;0,E645&lt;0),"Recovery",
  TRUE,"Undefined"
)</f>
        <v>Slowdown</v>
      </c>
      <c r="Q645" t="str">
        <f t="shared" si="91"/>
        <v>Expansion</v>
      </c>
      <c r="R645">
        <f t="shared" si="85"/>
        <v>1</v>
      </c>
      <c r="S645">
        <f t="shared" si="86"/>
        <v>1</v>
      </c>
      <c r="T645">
        <f t="shared" si="87"/>
        <v>1</v>
      </c>
      <c r="U645">
        <f t="shared" si="88"/>
        <v>1</v>
      </c>
      <c r="V645" t="str" cm="1">
        <f t="array" ref="V645">_xlfn.IFS(
  AND(S645&gt;0,U645&gt;0),"Expansion",
  AND(S645&lt;0,U645&gt;0),"Slowdown",
  AND(S645&lt;0,U645&lt;0),"Contraction",
  AND(S645&gt;0,U645&lt;0),"Recovery",
  TRUE,"Undefined"
)</f>
        <v>Expansion</v>
      </c>
      <c r="W645">
        <f t="shared" si="89"/>
        <v>0</v>
      </c>
      <c r="X645">
        <f t="shared" si="90"/>
        <v>0</v>
      </c>
      <c r="Y645">
        <v>0</v>
      </c>
    </row>
    <row r="646" spans="1:25" x14ac:dyDescent="0.35">
      <c r="A646" s="1">
        <f>Data!A646</f>
        <v>36770</v>
      </c>
      <c r="B646" s="2">
        <f>IFERROR((Data!B646/Data!B645-1)*100,"")</f>
        <v>0.52113491603937856</v>
      </c>
      <c r="C646" s="2">
        <f>IFERROR((Data!C646/Data!C645-1)*100,"")</f>
        <v>0.46146980997729958</v>
      </c>
      <c r="D646">
        <f t="shared" si="92"/>
        <v>-1.9682838790206305E-3</v>
      </c>
      <c r="E646">
        <f t="shared" si="93"/>
        <v>0.27049832083233155</v>
      </c>
      <c r="P646" t="str" cm="1">
        <f t="array" ref="P646">_xlfn.IFS(
  AND(D646&gt;0,E646&gt;0),"Expansion",
  AND(D646&lt;0,E646&gt;0),"Slowdown",
  AND(D646&lt;0,E646&lt;0),"Contraction",
  AND(D646&gt;0,E646&lt;0),"Recovery",
  TRUE,"Undefined"
)</f>
        <v>Slowdown</v>
      </c>
      <c r="Q646" t="str">
        <f t="shared" si="91"/>
        <v>Expansion</v>
      </c>
      <c r="R646">
        <f t="shared" ref="R646:R709" si="94">IF(D646&gt;-0.26, 1, -1)</f>
        <v>1</v>
      </c>
      <c r="S646">
        <f t="shared" ref="S646:S709" si="95">IF(R646=1, IF(D646 &lt; -$L$5, -1, 1), IF(D646 &gt; $L$5, 1, -1))</f>
        <v>1</v>
      </c>
      <c r="T646">
        <f t="shared" ref="T646:T709" si="96">IF(E646&gt;0, 1, -1)</f>
        <v>1</v>
      </c>
      <c r="U646">
        <f t="shared" ref="U646:U709" si="97">IF(T646=1, IF(E646 &lt; -$M$5, -1, 1), IF(E646 &gt; $M$5, 1, -1))</f>
        <v>1</v>
      </c>
      <c r="V646" t="str" cm="1">
        <f t="array" ref="V646">_xlfn.IFS(
  AND(S646&gt;0,U646&gt;0),"Expansion",
  AND(S646&lt;0,U646&gt;0),"Slowdown",
  AND(S646&lt;0,U646&lt;0),"Contraction",
  AND(S646&gt;0,U646&lt;0),"Recovery",
  TRUE,"Undefined"
)</f>
        <v>Expansion</v>
      </c>
      <c r="W646">
        <f t="shared" ref="W646:W709" si="98">IF(Q646="Contraction", 1, 0)</f>
        <v>0</v>
      </c>
      <c r="X646">
        <f t="shared" ref="X646:X709" si="99">IF(V646="Contraction", 1, 0)</f>
        <v>0</v>
      </c>
      <c r="Y646">
        <v>0</v>
      </c>
    </row>
    <row r="647" spans="1:25" x14ac:dyDescent="0.35">
      <c r="A647" s="1">
        <f>Data!A647</f>
        <v>36800</v>
      </c>
      <c r="B647" s="2">
        <f>IFERROR((Data!B647/Data!B646-1)*100,"")</f>
        <v>0.17281105990785139</v>
      </c>
      <c r="C647" s="2">
        <f>IFERROR((Data!C647/Data!C646-1)*100,"")</f>
        <v>-0.38858153221366099</v>
      </c>
      <c r="D647">
        <f t="shared" si="92"/>
        <v>-6.6467890884240141E-2</v>
      </c>
      <c r="E647">
        <f t="shared" si="93"/>
        <v>0.23131532531574331</v>
      </c>
      <c r="P647" t="str" cm="1">
        <f t="array" ref="P647">_xlfn.IFS(
  AND(D647&gt;0,E647&gt;0),"Expansion",
  AND(D647&lt;0,E647&gt;0),"Slowdown",
  AND(D647&lt;0,E647&lt;0),"Contraction",
  AND(D647&gt;0,E647&lt;0),"Recovery",
  TRUE,"Undefined"
)</f>
        <v>Slowdown</v>
      </c>
      <c r="Q647" t="str">
        <f t="shared" si="91"/>
        <v>Slowdown</v>
      </c>
      <c r="R647">
        <f t="shared" si="94"/>
        <v>1</v>
      </c>
      <c r="S647">
        <f t="shared" si="95"/>
        <v>1</v>
      </c>
      <c r="T647">
        <f t="shared" si="96"/>
        <v>1</v>
      </c>
      <c r="U647">
        <f t="shared" si="97"/>
        <v>1</v>
      </c>
      <c r="V647" t="str" cm="1">
        <f t="array" ref="V647">_xlfn.IFS(
  AND(S647&gt;0,U647&gt;0),"Expansion",
  AND(S647&lt;0,U647&gt;0),"Slowdown",
  AND(S647&lt;0,U647&lt;0),"Contraction",
  AND(S647&gt;0,U647&lt;0),"Recovery",
  TRUE,"Undefined"
)</f>
        <v>Expansion</v>
      </c>
      <c r="W647">
        <f t="shared" si="98"/>
        <v>0</v>
      </c>
      <c r="X647">
        <f t="shared" si="99"/>
        <v>0</v>
      </c>
      <c r="Y647">
        <v>0</v>
      </c>
    </row>
    <row r="648" spans="1:25" x14ac:dyDescent="0.35">
      <c r="A648" s="1">
        <f>Data!A648</f>
        <v>36831</v>
      </c>
      <c r="B648" s="2">
        <f>IFERROR((Data!B648/Data!B647-1)*100,"")</f>
        <v>0.17251293847038163</v>
      </c>
      <c r="C648" s="2">
        <f>IFERROR((Data!C648/Data!C647-1)*100,"")</f>
        <v>2.7964356782006483E-2</v>
      </c>
      <c r="D648">
        <f t="shared" si="92"/>
        <v>3.3617544848548363E-2</v>
      </c>
      <c r="E648">
        <f t="shared" si="93"/>
        <v>0.28881963813920386</v>
      </c>
      <c r="P648" t="str" cm="1">
        <f t="array" ref="P648">_xlfn.IFS(
  AND(D648&gt;0,E648&gt;0),"Expansion",
  AND(D648&lt;0,E648&gt;0),"Slowdown",
  AND(D648&lt;0,E648&lt;0),"Contraction",
  AND(D648&gt;0,E648&lt;0),"Recovery",
  TRUE,"Undefined"
)</f>
        <v>Expansion</v>
      </c>
      <c r="Q648" t="str">
        <f t="shared" ref="Q648:Q711" si="100">IF(AND(P648=P647, P647=P646), P648, Q647)</f>
        <v>Slowdown</v>
      </c>
      <c r="R648">
        <f t="shared" si="94"/>
        <v>1</v>
      </c>
      <c r="S648">
        <f t="shared" si="95"/>
        <v>1</v>
      </c>
      <c r="T648">
        <f t="shared" si="96"/>
        <v>1</v>
      </c>
      <c r="U648">
        <f t="shared" si="97"/>
        <v>1</v>
      </c>
      <c r="V648" t="str" cm="1">
        <f t="array" ref="V648">_xlfn.IFS(
  AND(S648&gt;0,U648&gt;0),"Expansion",
  AND(S648&lt;0,U648&gt;0),"Slowdown",
  AND(S648&lt;0,U648&lt;0),"Contraction",
  AND(S648&gt;0,U648&lt;0),"Recovery",
  TRUE,"Undefined"
)</f>
        <v>Expansion</v>
      </c>
      <c r="W648">
        <f t="shared" si="98"/>
        <v>0</v>
      </c>
      <c r="X648">
        <f t="shared" si="99"/>
        <v>0</v>
      </c>
      <c r="Y648">
        <v>0</v>
      </c>
    </row>
    <row r="649" spans="1:25" x14ac:dyDescent="0.35">
      <c r="A649" s="1">
        <f>Data!A649</f>
        <v>36861</v>
      </c>
      <c r="B649" s="2">
        <f>IFERROR((Data!B649/Data!B648-1)*100,"")</f>
        <v>0.22962112514350874</v>
      </c>
      <c r="C649" s="2">
        <f>IFERROR((Data!C649/Data!C648-1)*100,"")</f>
        <v>-0.32630354108963422</v>
      </c>
      <c r="D649">
        <f t="shared" si="92"/>
        <v>-0.22897357217376291</v>
      </c>
      <c r="E649">
        <f t="shared" si="93"/>
        <v>0.19164837450724725</v>
      </c>
      <c r="P649" t="str" cm="1">
        <f t="array" ref="P649">_xlfn.IFS(
  AND(D649&gt;0,E649&gt;0),"Expansion",
  AND(D649&lt;0,E649&gt;0),"Slowdown",
  AND(D649&lt;0,E649&lt;0),"Contraction",
  AND(D649&gt;0,E649&lt;0),"Recovery",
  TRUE,"Undefined"
)</f>
        <v>Slowdown</v>
      </c>
      <c r="Q649" t="str">
        <f t="shared" si="100"/>
        <v>Slowdown</v>
      </c>
      <c r="R649">
        <f t="shared" si="94"/>
        <v>1</v>
      </c>
      <c r="S649">
        <f t="shared" si="95"/>
        <v>1</v>
      </c>
      <c r="T649">
        <f t="shared" si="96"/>
        <v>1</v>
      </c>
      <c r="U649">
        <f t="shared" si="97"/>
        <v>1</v>
      </c>
      <c r="V649" t="str" cm="1">
        <f t="array" ref="V649">_xlfn.IFS(
  AND(S649&gt;0,U649&gt;0),"Expansion",
  AND(S649&lt;0,U649&gt;0),"Slowdown",
  AND(S649&lt;0,U649&lt;0),"Contraction",
  AND(S649&gt;0,U649&lt;0),"Recovery",
  TRUE,"Undefined"
)</f>
        <v>Expansion</v>
      </c>
      <c r="W649">
        <f t="shared" si="98"/>
        <v>0</v>
      </c>
      <c r="X649">
        <f t="shared" si="99"/>
        <v>0</v>
      </c>
      <c r="Y649">
        <v>0</v>
      </c>
    </row>
    <row r="650" spans="1:25" x14ac:dyDescent="0.35">
      <c r="A650" s="1">
        <f>Data!A650</f>
        <v>36892</v>
      </c>
      <c r="B650" s="2">
        <f>IFERROR((Data!B650/Data!B649-1)*100,"")</f>
        <v>0.57273768613974596</v>
      </c>
      <c r="C650" s="2">
        <f>IFERROR((Data!C650/Data!C649-1)*100,"")</f>
        <v>-0.47595068306232058</v>
      </c>
      <c r="D650">
        <f t="shared" si="92"/>
        <v>-0.25809662245664944</v>
      </c>
      <c r="E650">
        <f t="shared" si="93"/>
        <v>0.32495724991787878</v>
      </c>
      <c r="P650" t="str" cm="1">
        <f t="array" ref="P650">_xlfn.IFS(
  AND(D650&gt;0,E650&gt;0),"Expansion",
  AND(D650&lt;0,E650&gt;0),"Slowdown",
  AND(D650&lt;0,E650&lt;0),"Contraction",
  AND(D650&gt;0,E650&lt;0),"Recovery",
  TRUE,"Undefined"
)</f>
        <v>Slowdown</v>
      </c>
      <c r="Q650" t="str">
        <f t="shared" si="100"/>
        <v>Slowdown</v>
      </c>
      <c r="R650">
        <f t="shared" si="94"/>
        <v>1</v>
      </c>
      <c r="S650">
        <f t="shared" si="95"/>
        <v>1</v>
      </c>
      <c r="T650">
        <f t="shared" si="96"/>
        <v>1</v>
      </c>
      <c r="U650">
        <f t="shared" si="97"/>
        <v>1</v>
      </c>
      <c r="V650" t="str" cm="1">
        <f t="array" ref="V650">_xlfn.IFS(
  AND(S650&gt;0,U650&gt;0),"Expansion",
  AND(S650&lt;0,U650&gt;0),"Slowdown",
  AND(S650&lt;0,U650&lt;0),"Contraction",
  AND(S650&gt;0,U650&lt;0),"Recovery",
  TRUE,"Undefined"
)</f>
        <v>Expansion</v>
      </c>
      <c r="W650">
        <f t="shared" si="98"/>
        <v>0</v>
      </c>
      <c r="X650">
        <f t="shared" si="99"/>
        <v>0</v>
      </c>
      <c r="Y650">
        <v>0</v>
      </c>
    </row>
    <row r="651" spans="1:25" x14ac:dyDescent="0.35">
      <c r="A651" s="1">
        <f>Data!A651</f>
        <v>36923</v>
      </c>
      <c r="B651" s="2">
        <f>IFERROR((Data!B651/Data!B650-1)*100,"")</f>
        <v>0.2277904328018332</v>
      </c>
      <c r="C651" s="2">
        <f>IFERROR((Data!C651/Data!C650-1)*100,"")</f>
        <v>-0.6513459989989423</v>
      </c>
      <c r="D651">
        <f t="shared" si="92"/>
        <v>-0.48453340771696568</v>
      </c>
      <c r="E651">
        <f t="shared" si="93"/>
        <v>0.34338308136169599</v>
      </c>
      <c r="P651" t="str" cm="1">
        <f t="array" ref="P651">_xlfn.IFS(
  AND(D651&gt;0,E651&gt;0),"Expansion",
  AND(D651&lt;0,E651&gt;0),"Slowdown",
  AND(D651&lt;0,E651&lt;0),"Contraction",
  AND(D651&gt;0,E651&lt;0),"Recovery",
  TRUE,"Undefined"
)</f>
        <v>Slowdown</v>
      </c>
      <c r="Q651" t="str">
        <f t="shared" si="100"/>
        <v>Slowdown</v>
      </c>
      <c r="R651">
        <f t="shared" si="94"/>
        <v>-1</v>
      </c>
      <c r="S651">
        <f t="shared" si="95"/>
        <v>-1</v>
      </c>
      <c r="T651">
        <f t="shared" si="96"/>
        <v>1</v>
      </c>
      <c r="U651">
        <f t="shared" si="97"/>
        <v>1</v>
      </c>
      <c r="V651" t="str" cm="1">
        <f t="array" ref="V651">_xlfn.IFS(
  AND(S651&gt;0,U651&gt;0),"Expansion",
  AND(S651&lt;0,U651&gt;0),"Slowdown",
  AND(S651&lt;0,U651&lt;0),"Contraction",
  AND(S651&gt;0,U651&lt;0),"Recovery",
  TRUE,"Undefined"
)</f>
        <v>Slowdown</v>
      </c>
      <c r="W651">
        <f t="shared" si="98"/>
        <v>0</v>
      </c>
      <c r="X651">
        <f t="shared" si="99"/>
        <v>0</v>
      </c>
      <c r="Y651">
        <v>0</v>
      </c>
    </row>
    <row r="652" spans="1:25" x14ac:dyDescent="0.35">
      <c r="A652" s="1">
        <f>Data!A652</f>
        <v>36951</v>
      </c>
      <c r="B652" s="2">
        <f>IFERROR((Data!B652/Data!B651-1)*100,"")</f>
        <v>5.6818181818174551E-2</v>
      </c>
      <c r="C652" s="2">
        <f>IFERROR((Data!C652/Data!C651-1)*100,"")</f>
        <v>-0.20503069984249001</v>
      </c>
      <c r="D652">
        <f t="shared" si="92"/>
        <v>-0.44410912730125096</v>
      </c>
      <c r="E652">
        <f t="shared" si="93"/>
        <v>0.28578210025325124</v>
      </c>
      <c r="P652" t="str" cm="1">
        <f t="array" ref="P652">_xlfn.IFS(
  AND(D652&gt;0,E652&gt;0),"Expansion",
  AND(D652&lt;0,E652&gt;0),"Slowdown",
  AND(D652&lt;0,E652&lt;0),"Contraction",
  AND(D652&gt;0,E652&lt;0),"Recovery",
  TRUE,"Undefined"
)</f>
        <v>Slowdown</v>
      </c>
      <c r="Q652" t="str">
        <f t="shared" si="100"/>
        <v>Slowdown</v>
      </c>
      <c r="R652">
        <f t="shared" si="94"/>
        <v>-1</v>
      </c>
      <c r="S652">
        <f t="shared" si="95"/>
        <v>-1</v>
      </c>
      <c r="T652">
        <f t="shared" si="96"/>
        <v>1</v>
      </c>
      <c r="U652">
        <f t="shared" si="97"/>
        <v>1</v>
      </c>
      <c r="V652" t="str" cm="1">
        <f t="array" ref="V652">_xlfn.IFS(
  AND(S652&gt;0,U652&gt;0),"Expansion",
  AND(S652&lt;0,U652&gt;0),"Slowdown",
  AND(S652&lt;0,U652&lt;0),"Contraction",
  AND(S652&gt;0,U652&lt;0),"Recovery",
  TRUE,"Undefined"
)</f>
        <v>Slowdown</v>
      </c>
      <c r="W652">
        <f t="shared" si="98"/>
        <v>0</v>
      </c>
      <c r="X652">
        <f t="shared" si="99"/>
        <v>0</v>
      </c>
      <c r="Y652">
        <v>0</v>
      </c>
    </row>
    <row r="653" spans="1:25" x14ac:dyDescent="0.35">
      <c r="A653" s="1">
        <f>Data!A653</f>
        <v>36982</v>
      </c>
      <c r="B653" s="2">
        <f>IFERROR((Data!B653/Data!B652-1)*100,"")</f>
        <v>0.17035775127769437</v>
      </c>
      <c r="C653" s="2">
        <f>IFERROR((Data!C653/Data!C652-1)*100,"")</f>
        <v>-0.35899214409731428</v>
      </c>
      <c r="D653">
        <f t="shared" si="92"/>
        <v>-0.40512294764624884</v>
      </c>
      <c r="E653">
        <f t="shared" si="93"/>
        <v>0.15165545529923405</v>
      </c>
      <c r="P653" t="str" cm="1">
        <f t="array" ref="P653">_xlfn.IFS(
  AND(D653&gt;0,E653&gt;0),"Expansion",
  AND(D653&lt;0,E653&gt;0),"Slowdown",
  AND(D653&lt;0,E653&lt;0),"Contraction",
  AND(D653&gt;0,E653&lt;0),"Recovery",
  TRUE,"Undefined"
)</f>
        <v>Slowdown</v>
      </c>
      <c r="Q653" t="str">
        <f t="shared" si="100"/>
        <v>Slowdown</v>
      </c>
      <c r="R653">
        <f t="shared" si="94"/>
        <v>-1</v>
      </c>
      <c r="S653">
        <f t="shared" si="95"/>
        <v>-1</v>
      </c>
      <c r="T653">
        <f t="shared" si="96"/>
        <v>1</v>
      </c>
      <c r="U653">
        <f t="shared" si="97"/>
        <v>1</v>
      </c>
      <c r="V653" t="str" cm="1">
        <f t="array" ref="V653">_xlfn.IFS(
  AND(S653&gt;0,U653&gt;0),"Expansion",
  AND(S653&lt;0,U653&gt;0),"Slowdown",
  AND(S653&lt;0,U653&lt;0),"Contraction",
  AND(S653&gt;0,U653&lt;0),"Recovery",
  TRUE,"Undefined"
)</f>
        <v>Slowdown</v>
      </c>
      <c r="W653">
        <f t="shared" si="98"/>
        <v>0</v>
      </c>
      <c r="X653">
        <f t="shared" si="99"/>
        <v>0</v>
      </c>
      <c r="Y653">
        <v>1</v>
      </c>
    </row>
    <row r="654" spans="1:25" x14ac:dyDescent="0.35">
      <c r="A654" s="1">
        <f>Data!A654</f>
        <v>37012</v>
      </c>
      <c r="B654" s="2">
        <f>IFERROR((Data!B654/Data!B653-1)*100,"")</f>
        <v>0.51020408163264808</v>
      </c>
      <c r="C654" s="2">
        <f>IFERROR((Data!C654/Data!C653-1)*100,"")</f>
        <v>-0.47759037153137784</v>
      </c>
      <c r="D654">
        <f t="shared" si="92"/>
        <v>-0.34720440515706069</v>
      </c>
      <c r="E654">
        <f t="shared" si="93"/>
        <v>0.245793338242839</v>
      </c>
      <c r="P654" t="str" cm="1">
        <f t="array" ref="P654">_xlfn.IFS(
  AND(D654&gt;0,E654&gt;0),"Expansion",
  AND(D654&lt;0,E654&gt;0),"Slowdown",
  AND(D654&lt;0,E654&lt;0),"Contraction",
  AND(D654&gt;0,E654&lt;0),"Recovery",
  TRUE,"Undefined"
)</f>
        <v>Slowdown</v>
      </c>
      <c r="Q654" t="str">
        <f t="shared" si="100"/>
        <v>Slowdown</v>
      </c>
      <c r="R654">
        <f t="shared" si="94"/>
        <v>-1</v>
      </c>
      <c r="S654">
        <f t="shared" si="95"/>
        <v>-1</v>
      </c>
      <c r="T654">
        <f t="shared" si="96"/>
        <v>1</v>
      </c>
      <c r="U654">
        <f t="shared" si="97"/>
        <v>1</v>
      </c>
      <c r="V654" t="str" cm="1">
        <f t="array" ref="V654">_xlfn.IFS(
  AND(S654&gt;0,U654&gt;0),"Expansion",
  AND(S654&lt;0,U654&gt;0),"Slowdown",
  AND(S654&lt;0,U654&lt;0),"Contraction",
  AND(S654&gt;0,U654&lt;0),"Recovery",
  TRUE,"Undefined"
)</f>
        <v>Slowdown</v>
      </c>
      <c r="W654">
        <f t="shared" si="98"/>
        <v>0</v>
      </c>
      <c r="X654">
        <f t="shared" si="99"/>
        <v>0</v>
      </c>
      <c r="Y654">
        <v>1</v>
      </c>
    </row>
    <row r="655" spans="1:25" x14ac:dyDescent="0.35">
      <c r="A655" s="1">
        <f>Data!A655</f>
        <v>37043</v>
      </c>
      <c r="B655" s="2">
        <f>IFERROR((Data!B655/Data!B654-1)*100,"")</f>
        <v>0.22560631697685629</v>
      </c>
      <c r="C655" s="2">
        <f>IFERROR((Data!C655/Data!C654-1)*100,"")</f>
        <v>-0.52802541073869724</v>
      </c>
      <c r="D655">
        <f t="shared" si="92"/>
        <v>-0.45486930878912979</v>
      </c>
      <c r="E655">
        <f t="shared" si="93"/>
        <v>0.3020560499623996</v>
      </c>
      <c r="P655" t="str" cm="1">
        <f t="array" ref="P655">_xlfn.IFS(
  AND(D655&gt;0,E655&gt;0),"Expansion",
  AND(D655&lt;0,E655&gt;0),"Slowdown",
  AND(D655&lt;0,E655&lt;0),"Contraction",
  AND(D655&gt;0,E655&lt;0),"Recovery",
  TRUE,"Undefined"
)</f>
        <v>Slowdown</v>
      </c>
      <c r="Q655" t="str">
        <f t="shared" si="100"/>
        <v>Slowdown</v>
      </c>
      <c r="R655">
        <f t="shared" si="94"/>
        <v>-1</v>
      </c>
      <c r="S655">
        <f t="shared" si="95"/>
        <v>-1</v>
      </c>
      <c r="T655">
        <f t="shared" si="96"/>
        <v>1</v>
      </c>
      <c r="U655">
        <f t="shared" si="97"/>
        <v>1</v>
      </c>
      <c r="V655" t="str" cm="1">
        <f t="array" ref="V655">_xlfn.IFS(
  AND(S655&gt;0,U655&gt;0),"Expansion",
  AND(S655&lt;0,U655&gt;0),"Slowdown",
  AND(S655&lt;0,U655&lt;0),"Contraction",
  AND(S655&gt;0,U655&lt;0),"Recovery",
  TRUE,"Undefined"
)</f>
        <v>Slowdown</v>
      </c>
      <c r="W655">
        <f t="shared" si="98"/>
        <v>0</v>
      </c>
      <c r="X655">
        <f t="shared" si="99"/>
        <v>0</v>
      </c>
      <c r="Y655">
        <v>1</v>
      </c>
    </row>
    <row r="656" spans="1:25" x14ac:dyDescent="0.35">
      <c r="A656" s="1">
        <f>Data!A656</f>
        <v>37073</v>
      </c>
      <c r="B656" s="2">
        <f>IFERROR((Data!B656/Data!B655-1)*100,"")</f>
        <v>-0.16882386043892694</v>
      </c>
      <c r="C656" s="2">
        <f>IFERROR((Data!C656/Data!C655-1)*100,"")</f>
        <v>-0.64042083526185678</v>
      </c>
      <c r="D656">
        <f t="shared" si="92"/>
        <v>-0.54867887251064396</v>
      </c>
      <c r="E656">
        <f t="shared" si="93"/>
        <v>0.1889955127235258</v>
      </c>
      <c r="P656" t="str" cm="1">
        <f t="array" ref="P656">_xlfn.IFS(
  AND(D656&gt;0,E656&gt;0),"Expansion",
  AND(D656&lt;0,E656&gt;0),"Slowdown",
  AND(D656&lt;0,E656&lt;0),"Contraction",
  AND(D656&gt;0,E656&lt;0),"Recovery",
  TRUE,"Undefined"
)</f>
        <v>Slowdown</v>
      </c>
      <c r="Q656" t="str">
        <f t="shared" si="100"/>
        <v>Slowdown</v>
      </c>
      <c r="R656">
        <f t="shared" si="94"/>
        <v>-1</v>
      </c>
      <c r="S656">
        <f t="shared" si="95"/>
        <v>-1</v>
      </c>
      <c r="T656">
        <f t="shared" si="96"/>
        <v>1</v>
      </c>
      <c r="U656">
        <f t="shared" si="97"/>
        <v>1</v>
      </c>
      <c r="V656" t="str" cm="1">
        <f t="array" ref="V656">_xlfn.IFS(
  AND(S656&gt;0,U656&gt;0),"Expansion",
  AND(S656&lt;0,U656&gt;0),"Slowdown",
  AND(S656&lt;0,U656&lt;0),"Contraction",
  AND(S656&gt;0,U656&lt;0),"Recovery",
  TRUE,"Undefined"
)</f>
        <v>Slowdown</v>
      </c>
      <c r="W656">
        <f t="shared" si="98"/>
        <v>0</v>
      </c>
      <c r="X656">
        <f t="shared" si="99"/>
        <v>0</v>
      </c>
      <c r="Y656">
        <v>1</v>
      </c>
    </row>
    <row r="657" spans="1:25" x14ac:dyDescent="0.35">
      <c r="A657" s="1">
        <f>Data!A657</f>
        <v>37104</v>
      </c>
      <c r="B657" s="2">
        <f>IFERROR((Data!B657/Data!B656-1)*100,"")</f>
        <v>0</v>
      </c>
      <c r="C657" s="2">
        <f>IFERROR((Data!C657/Data!C656-1)*100,"")</f>
        <v>-0.11477803607502501</v>
      </c>
      <c r="D657">
        <f t="shared" si="92"/>
        <v>-0.42774142735852633</v>
      </c>
      <c r="E657">
        <f t="shared" si="93"/>
        <v>1.8927485512643116E-2</v>
      </c>
      <c r="P657" t="str" cm="1">
        <f t="array" ref="P657">_xlfn.IFS(
  AND(D657&gt;0,E657&gt;0),"Expansion",
  AND(D657&lt;0,E657&gt;0),"Slowdown",
  AND(D657&lt;0,E657&lt;0),"Contraction",
  AND(D657&gt;0,E657&lt;0),"Recovery",
  TRUE,"Undefined"
)</f>
        <v>Slowdown</v>
      </c>
      <c r="Q657" t="str">
        <f t="shared" si="100"/>
        <v>Slowdown</v>
      </c>
      <c r="R657">
        <f t="shared" si="94"/>
        <v>-1</v>
      </c>
      <c r="S657">
        <f t="shared" si="95"/>
        <v>-1</v>
      </c>
      <c r="T657">
        <f t="shared" si="96"/>
        <v>1</v>
      </c>
      <c r="U657">
        <f t="shared" si="97"/>
        <v>1</v>
      </c>
      <c r="V657" t="str" cm="1">
        <f t="array" ref="V657">_xlfn.IFS(
  AND(S657&gt;0,U657&gt;0),"Expansion",
  AND(S657&lt;0,U657&gt;0),"Slowdown",
  AND(S657&lt;0,U657&lt;0),"Contraction",
  AND(S657&gt;0,U657&lt;0),"Recovery",
  TRUE,"Undefined"
)</f>
        <v>Slowdown</v>
      </c>
      <c r="W657">
        <f t="shared" si="98"/>
        <v>0</v>
      </c>
      <c r="X657">
        <f t="shared" si="99"/>
        <v>0</v>
      </c>
      <c r="Y657">
        <v>1</v>
      </c>
    </row>
    <row r="658" spans="1:25" x14ac:dyDescent="0.35">
      <c r="A658" s="1">
        <f>Data!A658</f>
        <v>37135</v>
      </c>
      <c r="B658" s="2">
        <f>IFERROR((Data!B658/Data!B657-1)*100,"")</f>
        <v>0.39458850056368622</v>
      </c>
      <c r="C658" s="2">
        <f>IFERROR((Data!C658/Data!C657-1)*100,"")</f>
        <v>-0.50650053867531408</v>
      </c>
      <c r="D658">
        <f t="shared" si="92"/>
        <v>-0.42056647000406527</v>
      </c>
      <c r="E658">
        <f t="shared" si="93"/>
        <v>7.5254880041586425E-2</v>
      </c>
      <c r="P658" t="str" cm="1">
        <f t="array" ref="P658">_xlfn.IFS(
  AND(D658&gt;0,E658&gt;0),"Expansion",
  AND(D658&lt;0,E658&gt;0),"Slowdown",
  AND(D658&lt;0,E658&lt;0),"Contraction",
  AND(D658&gt;0,E658&lt;0),"Recovery",
  TRUE,"Undefined"
)</f>
        <v>Slowdown</v>
      </c>
      <c r="Q658" t="str">
        <f t="shared" si="100"/>
        <v>Slowdown</v>
      </c>
      <c r="R658">
        <f t="shared" si="94"/>
        <v>-1</v>
      </c>
      <c r="S658">
        <f t="shared" si="95"/>
        <v>-1</v>
      </c>
      <c r="T658">
        <f t="shared" si="96"/>
        <v>1</v>
      </c>
      <c r="U658">
        <f t="shared" si="97"/>
        <v>1</v>
      </c>
      <c r="V658" t="str" cm="1">
        <f t="array" ref="V658">_xlfn.IFS(
  AND(S658&gt;0,U658&gt;0),"Expansion",
  AND(S658&lt;0,U658&gt;0),"Slowdown",
  AND(S658&lt;0,U658&lt;0),"Contraction",
  AND(S658&gt;0,U658&lt;0),"Recovery",
  TRUE,"Undefined"
)</f>
        <v>Slowdown</v>
      </c>
      <c r="W658">
        <f t="shared" si="98"/>
        <v>0</v>
      </c>
      <c r="X658">
        <f t="shared" si="99"/>
        <v>0</v>
      </c>
      <c r="Y658">
        <v>1</v>
      </c>
    </row>
    <row r="659" spans="1:25" x14ac:dyDescent="0.35">
      <c r="A659" s="1">
        <f>Data!A659</f>
        <v>37165</v>
      </c>
      <c r="B659" s="2">
        <f>IFERROR((Data!B659/Data!B658-1)*100,"")</f>
        <v>-0.28074115665356336</v>
      </c>
      <c r="C659" s="2">
        <f>IFERROR((Data!C659/Data!C658-1)*100,"")</f>
        <v>-0.27414547851513094</v>
      </c>
      <c r="D659">
        <f t="shared" si="92"/>
        <v>-0.29847468442182334</v>
      </c>
      <c r="E659">
        <f t="shared" si="93"/>
        <v>3.7949114636707616E-2</v>
      </c>
      <c r="P659" t="str" cm="1">
        <f t="array" ref="P659">_xlfn.IFS(
  AND(D659&gt;0,E659&gt;0),"Expansion",
  AND(D659&lt;0,E659&gt;0),"Slowdown",
  AND(D659&lt;0,E659&lt;0),"Contraction",
  AND(D659&gt;0,E659&lt;0),"Recovery",
  TRUE,"Undefined"
)</f>
        <v>Slowdown</v>
      </c>
      <c r="Q659" t="str">
        <f t="shared" si="100"/>
        <v>Slowdown</v>
      </c>
      <c r="R659">
        <f t="shared" si="94"/>
        <v>-1</v>
      </c>
      <c r="S659">
        <f t="shared" si="95"/>
        <v>-1</v>
      </c>
      <c r="T659">
        <f t="shared" si="96"/>
        <v>1</v>
      </c>
      <c r="U659">
        <f t="shared" si="97"/>
        <v>1</v>
      </c>
      <c r="V659" t="str" cm="1">
        <f t="array" ref="V659">_xlfn.IFS(
  AND(S659&gt;0,U659&gt;0),"Expansion",
  AND(S659&lt;0,U659&gt;0),"Slowdown",
  AND(S659&lt;0,U659&lt;0),"Contraction",
  AND(S659&gt;0,U659&lt;0),"Recovery",
  TRUE,"Undefined"
)</f>
        <v>Slowdown</v>
      </c>
      <c r="W659">
        <f t="shared" si="98"/>
        <v>0</v>
      </c>
      <c r="X659">
        <f t="shared" si="99"/>
        <v>0</v>
      </c>
      <c r="Y659">
        <v>1</v>
      </c>
    </row>
    <row r="660" spans="1:25" x14ac:dyDescent="0.35">
      <c r="A660" s="1">
        <f>Data!A660</f>
        <v>37196</v>
      </c>
      <c r="B660" s="2">
        <f>IFERROR((Data!B660/Data!B659-1)*100,"")</f>
        <v>-5.6306306306308507E-2</v>
      </c>
      <c r="C660" s="2">
        <f>IFERROR((Data!C660/Data!C659-1)*100,"")</f>
        <v>-0.60471023171519978</v>
      </c>
      <c r="D660">
        <f t="shared" si="92"/>
        <v>-0.46178541630188158</v>
      </c>
      <c r="E660">
        <f t="shared" si="93"/>
        <v>1.9180345867938115E-2</v>
      </c>
      <c r="P660" t="str" cm="1">
        <f t="array" ref="P660">_xlfn.IFS(
  AND(D660&gt;0,E660&gt;0),"Expansion",
  AND(D660&lt;0,E660&gt;0),"Slowdown",
  AND(D660&lt;0,E660&lt;0),"Contraction",
  AND(D660&gt;0,E660&lt;0),"Recovery",
  TRUE,"Undefined"
)</f>
        <v>Slowdown</v>
      </c>
      <c r="Q660" t="str">
        <f t="shared" si="100"/>
        <v>Slowdown</v>
      </c>
      <c r="R660">
        <f t="shared" si="94"/>
        <v>-1</v>
      </c>
      <c r="S660">
        <f t="shared" si="95"/>
        <v>-1</v>
      </c>
      <c r="T660">
        <f t="shared" si="96"/>
        <v>1</v>
      </c>
      <c r="U660">
        <f t="shared" si="97"/>
        <v>1</v>
      </c>
      <c r="V660" t="str" cm="1">
        <f t="array" ref="V660">_xlfn.IFS(
  AND(S660&gt;0,U660&gt;0),"Expansion",
  AND(S660&lt;0,U660&gt;0),"Slowdown",
  AND(S660&lt;0,U660&lt;0),"Contraction",
  AND(S660&gt;0,U660&lt;0),"Recovery",
  TRUE,"Undefined"
)</f>
        <v>Slowdown</v>
      </c>
      <c r="W660">
        <f t="shared" si="98"/>
        <v>0</v>
      </c>
      <c r="X660">
        <f t="shared" si="99"/>
        <v>0</v>
      </c>
      <c r="Y660">
        <v>1</v>
      </c>
    </row>
    <row r="661" spans="1:25" x14ac:dyDescent="0.35">
      <c r="A661" s="1">
        <f>Data!A661</f>
        <v>37226</v>
      </c>
      <c r="B661" s="2">
        <f>IFERROR((Data!B661/Data!B660-1)*100,"")</f>
        <v>-5.6338028169011789E-2</v>
      </c>
      <c r="C661" s="2">
        <f>IFERROR((Data!C661/Data!C660-1)*100,"")</f>
        <v>-4.2741843810389923E-2</v>
      </c>
      <c r="D661">
        <f t="shared" si="92"/>
        <v>-0.30719918468024021</v>
      </c>
      <c r="E661">
        <f t="shared" si="93"/>
        <v>-0.13112849704296123</v>
      </c>
      <c r="P661" t="str" cm="1">
        <f t="array" ref="P661">_xlfn.IFS(
  AND(D661&gt;0,E661&gt;0),"Expansion",
  AND(D661&lt;0,E661&gt;0),"Slowdown",
  AND(D661&lt;0,E661&lt;0),"Contraction",
  AND(D661&gt;0,E661&lt;0),"Recovery",
  TRUE,"Undefined"
)</f>
        <v>Contraction</v>
      </c>
      <c r="Q661" t="str">
        <f t="shared" si="100"/>
        <v>Slowdown</v>
      </c>
      <c r="R661">
        <f t="shared" si="94"/>
        <v>-1</v>
      </c>
      <c r="S661">
        <f t="shared" si="95"/>
        <v>-1</v>
      </c>
      <c r="T661">
        <f t="shared" si="96"/>
        <v>-1</v>
      </c>
      <c r="U661">
        <f t="shared" si="97"/>
        <v>-1</v>
      </c>
      <c r="V661" t="str" cm="1">
        <f t="array" ref="V661">_xlfn.IFS(
  AND(S661&gt;0,U661&gt;0),"Expansion",
  AND(S661&lt;0,U661&gt;0),"Slowdown",
  AND(S661&lt;0,U661&lt;0),"Contraction",
  AND(S661&gt;0,U661&lt;0),"Recovery",
  TRUE,"Undefined"
)</f>
        <v>Contraction</v>
      </c>
      <c r="W661">
        <f t="shared" si="98"/>
        <v>0</v>
      </c>
      <c r="X661">
        <f t="shared" si="99"/>
        <v>1</v>
      </c>
      <c r="Y661">
        <v>0</v>
      </c>
    </row>
    <row r="662" spans="1:25" x14ac:dyDescent="0.35">
      <c r="A662" s="1">
        <f>Data!A662</f>
        <v>37257</v>
      </c>
      <c r="B662" s="2">
        <f>IFERROR((Data!B662/Data!B661-1)*100,"")</f>
        <v>0.16910935738443378</v>
      </c>
      <c r="C662" s="2">
        <f>IFERROR((Data!C662/Data!C661-1)*100,"")</f>
        <v>0.66551123362947884</v>
      </c>
      <c r="D662">
        <f t="shared" si="92"/>
        <v>6.0197193679630461E-3</v>
      </c>
      <c r="E662">
        <f t="shared" si="93"/>
        <v>1.8821674303037828E-2</v>
      </c>
      <c r="P662" t="str" cm="1">
        <f t="array" ref="P662">_xlfn.IFS(
  AND(D662&gt;0,E662&gt;0),"Expansion",
  AND(D662&lt;0,E662&gt;0),"Slowdown",
  AND(D662&lt;0,E662&lt;0),"Contraction",
  AND(D662&gt;0,E662&lt;0),"Recovery",
  TRUE,"Undefined"
)</f>
        <v>Expansion</v>
      </c>
      <c r="Q662" t="str">
        <f t="shared" si="100"/>
        <v>Slowdown</v>
      </c>
      <c r="R662">
        <f t="shared" si="94"/>
        <v>1</v>
      </c>
      <c r="S662">
        <f t="shared" si="95"/>
        <v>1</v>
      </c>
      <c r="T662">
        <f t="shared" si="96"/>
        <v>1</v>
      </c>
      <c r="U662">
        <f t="shared" si="97"/>
        <v>1</v>
      </c>
      <c r="V662" t="str" cm="1">
        <f t="array" ref="V662">_xlfn.IFS(
  AND(S662&gt;0,U662&gt;0),"Expansion",
  AND(S662&lt;0,U662&gt;0),"Slowdown",
  AND(S662&lt;0,U662&lt;0),"Contraction",
  AND(S662&gt;0,U662&lt;0),"Recovery",
  TRUE,"Undefined"
)</f>
        <v>Expansion</v>
      </c>
      <c r="W662">
        <f t="shared" si="98"/>
        <v>0</v>
      </c>
      <c r="X662">
        <f t="shared" si="99"/>
        <v>0</v>
      </c>
      <c r="Y662">
        <v>0</v>
      </c>
    </row>
    <row r="663" spans="1:25" x14ac:dyDescent="0.35">
      <c r="A663" s="1">
        <f>Data!A663</f>
        <v>37288</v>
      </c>
      <c r="B663" s="2">
        <f>IFERROR((Data!B663/Data!B662-1)*100,"")</f>
        <v>0.16882386043894915</v>
      </c>
      <c r="C663" s="2">
        <f>IFERROR((Data!C663/Data!C662-1)*100,"")</f>
        <v>1.1523132122870372E-2</v>
      </c>
      <c r="D663">
        <f t="shared" si="92"/>
        <v>0.21143084064731976</v>
      </c>
      <c r="E663">
        <f t="shared" si="93"/>
        <v>9.3865063218123712E-2</v>
      </c>
      <c r="P663" t="str" cm="1">
        <f t="array" ref="P663">_xlfn.IFS(
  AND(D663&gt;0,E663&gt;0),"Expansion",
  AND(D663&lt;0,E663&gt;0),"Slowdown",
  AND(D663&lt;0,E663&lt;0),"Contraction",
  AND(D663&gt;0,E663&lt;0),"Recovery",
  TRUE,"Undefined"
)</f>
        <v>Expansion</v>
      </c>
      <c r="Q663" t="str">
        <f t="shared" si="100"/>
        <v>Slowdown</v>
      </c>
      <c r="R663">
        <f t="shared" si="94"/>
        <v>1</v>
      </c>
      <c r="S663">
        <f t="shared" si="95"/>
        <v>1</v>
      </c>
      <c r="T663">
        <f t="shared" si="96"/>
        <v>1</v>
      </c>
      <c r="U663">
        <f t="shared" si="97"/>
        <v>1</v>
      </c>
      <c r="V663" t="str" cm="1">
        <f t="array" ref="V663">_xlfn.IFS(
  AND(S663&gt;0,U663&gt;0),"Expansion",
  AND(S663&lt;0,U663&gt;0),"Slowdown",
  AND(S663&lt;0,U663&lt;0),"Contraction",
  AND(S663&gt;0,U663&lt;0),"Recovery",
  TRUE,"Undefined"
)</f>
        <v>Expansion</v>
      </c>
      <c r="W663">
        <f t="shared" si="98"/>
        <v>0</v>
      </c>
      <c r="X663">
        <f t="shared" si="99"/>
        <v>0</v>
      </c>
      <c r="Y663">
        <v>0</v>
      </c>
    </row>
    <row r="664" spans="1:25" x14ac:dyDescent="0.35">
      <c r="A664" s="1">
        <f>Data!A664</f>
        <v>37316</v>
      </c>
      <c r="B664" s="2">
        <f>IFERROR((Data!B664/Data!B663-1)*100,"")</f>
        <v>0.28089887640450062</v>
      </c>
      <c r="C664" s="2">
        <f>IFERROR((Data!C664/Data!C663-1)*100,"")</f>
        <v>0.72384042074917776</v>
      </c>
      <c r="D664">
        <f t="shared" si="92"/>
        <v>0.46695826216717568</v>
      </c>
      <c r="E664">
        <f t="shared" si="93"/>
        <v>0.20627736474262784</v>
      </c>
      <c r="P664" t="str" cm="1">
        <f t="array" ref="P664">_xlfn.IFS(
  AND(D664&gt;0,E664&gt;0),"Expansion",
  AND(D664&lt;0,E664&gt;0),"Slowdown",
  AND(D664&lt;0,E664&lt;0),"Contraction",
  AND(D664&gt;0,E664&lt;0),"Recovery",
  TRUE,"Undefined"
)</f>
        <v>Expansion</v>
      </c>
      <c r="Q664" t="str">
        <f t="shared" si="100"/>
        <v>Expansion</v>
      </c>
      <c r="R664">
        <f t="shared" si="94"/>
        <v>1</v>
      </c>
      <c r="S664">
        <f t="shared" si="95"/>
        <v>1</v>
      </c>
      <c r="T664">
        <f t="shared" si="96"/>
        <v>1</v>
      </c>
      <c r="U664">
        <f t="shared" si="97"/>
        <v>1</v>
      </c>
      <c r="V664" t="str" cm="1">
        <f t="array" ref="V664">_xlfn.IFS(
  AND(S664&gt;0,U664&gt;0),"Expansion",
  AND(S664&lt;0,U664&gt;0),"Slowdown",
  AND(S664&lt;0,U664&lt;0),"Contraction",
  AND(S664&gt;0,U664&lt;0),"Recovery",
  TRUE,"Undefined"
)</f>
        <v>Expansion</v>
      </c>
      <c r="W664">
        <f t="shared" si="98"/>
        <v>0</v>
      </c>
      <c r="X664">
        <f t="shared" si="99"/>
        <v>0</v>
      </c>
      <c r="Y664">
        <v>0</v>
      </c>
    </row>
    <row r="665" spans="1:25" x14ac:dyDescent="0.35">
      <c r="A665" s="1">
        <f>Data!A665</f>
        <v>37347</v>
      </c>
      <c r="B665" s="2">
        <f>IFERROR((Data!B665/Data!B664-1)*100,"")</f>
        <v>0.44817927170868188</v>
      </c>
      <c r="C665" s="2">
        <f>IFERROR((Data!C665/Data!C664-1)*100,"")</f>
        <v>0.48828847823112476</v>
      </c>
      <c r="D665">
        <f t="shared" si="92"/>
        <v>0.40788401036772431</v>
      </c>
      <c r="E665">
        <f t="shared" si="93"/>
        <v>0.29930066951737722</v>
      </c>
      <c r="P665" t="str" cm="1">
        <f t="array" ref="P665">_xlfn.IFS(
  AND(D665&gt;0,E665&gt;0),"Expansion",
  AND(D665&lt;0,E665&gt;0),"Slowdown",
  AND(D665&lt;0,E665&lt;0),"Contraction",
  AND(D665&gt;0,E665&lt;0),"Recovery",
  TRUE,"Undefined"
)</f>
        <v>Expansion</v>
      </c>
      <c r="Q665" t="str">
        <f t="shared" si="100"/>
        <v>Expansion</v>
      </c>
      <c r="R665">
        <f t="shared" si="94"/>
        <v>1</v>
      </c>
      <c r="S665">
        <f t="shared" si="95"/>
        <v>1</v>
      </c>
      <c r="T665">
        <f t="shared" si="96"/>
        <v>1</v>
      </c>
      <c r="U665">
        <f t="shared" si="97"/>
        <v>1</v>
      </c>
      <c r="V665" t="str" cm="1">
        <f t="array" ref="V665">_xlfn.IFS(
  AND(S665&gt;0,U665&gt;0),"Expansion",
  AND(S665&lt;0,U665&gt;0),"Slowdown",
  AND(S665&lt;0,U665&lt;0),"Contraction",
  AND(S665&gt;0,U665&lt;0),"Recovery",
  TRUE,"Undefined"
)</f>
        <v>Expansion</v>
      </c>
      <c r="W665">
        <f t="shared" si="98"/>
        <v>0</v>
      </c>
      <c r="X665">
        <f t="shared" si="99"/>
        <v>0</v>
      </c>
      <c r="Y665">
        <v>0</v>
      </c>
    </row>
    <row r="666" spans="1:25" x14ac:dyDescent="0.35">
      <c r="A666" s="1">
        <f>Data!A666</f>
        <v>37377</v>
      </c>
      <c r="B666" s="2">
        <f>IFERROR((Data!B666/Data!B665-1)*100,"")</f>
        <v>0.1115448968209698</v>
      </c>
      <c r="C666" s="2">
        <f>IFERROR((Data!C666/Data!C665-1)*100,"")</f>
        <v>0.40176777822418241</v>
      </c>
      <c r="D666">
        <f t="shared" si="92"/>
        <v>0.53796555906816168</v>
      </c>
      <c r="E666">
        <f t="shared" si="93"/>
        <v>0.28020768164471743</v>
      </c>
      <c r="P666" t="str" cm="1">
        <f t="array" ref="P666">_xlfn.IFS(
  AND(D666&gt;0,E666&gt;0),"Expansion",
  AND(D666&lt;0,E666&gt;0),"Slowdown",
  AND(D666&lt;0,E666&lt;0),"Contraction",
  AND(D666&gt;0,E666&lt;0),"Recovery",
  TRUE,"Undefined"
)</f>
        <v>Expansion</v>
      </c>
      <c r="Q666" t="str">
        <f t="shared" si="100"/>
        <v>Expansion</v>
      </c>
      <c r="R666">
        <f t="shared" si="94"/>
        <v>1</v>
      </c>
      <c r="S666">
        <f t="shared" si="95"/>
        <v>1</v>
      </c>
      <c r="T666">
        <f t="shared" si="96"/>
        <v>1</v>
      </c>
      <c r="U666">
        <f t="shared" si="97"/>
        <v>1</v>
      </c>
      <c r="V666" t="str" cm="1">
        <f t="array" ref="V666">_xlfn.IFS(
  AND(S666&gt;0,U666&gt;0),"Expansion",
  AND(S666&lt;0,U666&gt;0),"Slowdown",
  AND(S666&lt;0,U666&lt;0),"Contraction",
  AND(S666&gt;0,U666&lt;0),"Recovery",
  TRUE,"Undefined"
)</f>
        <v>Expansion</v>
      </c>
      <c r="W666">
        <f t="shared" si="98"/>
        <v>0</v>
      </c>
      <c r="X666">
        <f t="shared" si="99"/>
        <v>0</v>
      </c>
      <c r="Y666">
        <v>0</v>
      </c>
    </row>
    <row r="667" spans="1:25" x14ac:dyDescent="0.35">
      <c r="A667" s="1">
        <f>Data!A667</f>
        <v>37408</v>
      </c>
      <c r="B667" s="2">
        <f>IFERROR((Data!B667/Data!B666-1)*100,"")</f>
        <v>5.5710306406675514E-2</v>
      </c>
      <c r="C667" s="2">
        <f>IFERROR((Data!C667/Data!C666-1)*100,"")</f>
        <v>0.8248855097594765</v>
      </c>
      <c r="D667">
        <f t="shared" si="92"/>
        <v>0.57164725540492789</v>
      </c>
      <c r="E667">
        <f t="shared" si="93"/>
        <v>0.20514482497877573</v>
      </c>
      <c r="P667" t="str" cm="1">
        <f t="array" ref="P667">_xlfn.IFS(
  AND(D667&gt;0,E667&gt;0),"Expansion",
  AND(D667&lt;0,E667&gt;0),"Slowdown",
  AND(D667&lt;0,E667&lt;0),"Contraction",
  AND(D667&gt;0,E667&lt;0),"Recovery",
  TRUE,"Undefined"
)</f>
        <v>Expansion</v>
      </c>
      <c r="Q667" t="str">
        <f t="shared" si="100"/>
        <v>Expansion</v>
      </c>
      <c r="R667">
        <f t="shared" si="94"/>
        <v>1</v>
      </c>
      <c r="S667">
        <f t="shared" si="95"/>
        <v>1</v>
      </c>
      <c r="T667">
        <f t="shared" si="96"/>
        <v>1</v>
      </c>
      <c r="U667">
        <f t="shared" si="97"/>
        <v>1</v>
      </c>
      <c r="V667" t="str" cm="1">
        <f t="array" ref="V667">_xlfn.IFS(
  AND(S667&gt;0,U667&gt;0),"Expansion",
  AND(S667&lt;0,U667&gt;0),"Slowdown",
  AND(S667&lt;0,U667&lt;0),"Contraction",
  AND(S667&gt;0,U667&lt;0),"Recovery",
  TRUE,"Undefined"
)</f>
        <v>Expansion</v>
      </c>
      <c r="W667">
        <f t="shared" si="98"/>
        <v>0</v>
      </c>
      <c r="X667">
        <f t="shared" si="99"/>
        <v>0</v>
      </c>
      <c r="Y667">
        <v>0</v>
      </c>
    </row>
    <row r="668" spans="1:25" x14ac:dyDescent="0.35">
      <c r="A668" s="1">
        <f>Data!A668</f>
        <v>37438</v>
      </c>
      <c r="B668" s="2">
        <f>IFERROR((Data!B668/Data!B667-1)*100,"")</f>
        <v>0.22271714922048602</v>
      </c>
      <c r="C668" s="2">
        <f>IFERROR((Data!C668/Data!C667-1)*100,"")</f>
        <v>-3.2191881251653065E-2</v>
      </c>
      <c r="D668">
        <f t="shared" si="92"/>
        <v>0.39815380224400193</v>
      </c>
      <c r="E668">
        <f t="shared" si="93"/>
        <v>0.12999078414937712</v>
      </c>
      <c r="P668" t="str" cm="1">
        <f t="array" ref="P668">_xlfn.IFS(
  AND(D668&gt;0,E668&gt;0),"Expansion",
  AND(D668&lt;0,E668&gt;0),"Slowdown",
  AND(D668&lt;0,E668&lt;0),"Contraction",
  AND(D668&gt;0,E668&lt;0),"Recovery",
  TRUE,"Undefined"
)</f>
        <v>Expansion</v>
      </c>
      <c r="Q668" t="str">
        <f t="shared" si="100"/>
        <v>Expansion</v>
      </c>
      <c r="R668">
        <f t="shared" si="94"/>
        <v>1</v>
      </c>
      <c r="S668">
        <f t="shared" si="95"/>
        <v>1</v>
      </c>
      <c r="T668">
        <f t="shared" si="96"/>
        <v>1</v>
      </c>
      <c r="U668">
        <f t="shared" si="97"/>
        <v>1</v>
      </c>
      <c r="V668" t="str" cm="1">
        <f t="array" ref="V668">_xlfn.IFS(
  AND(S668&gt;0,U668&gt;0),"Expansion",
  AND(S668&lt;0,U668&gt;0),"Slowdown",
  AND(S668&lt;0,U668&lt;0),"Contraction",
  AND(S668&gt;0,U668&lt;0),"Recovery",
  TRUE,"Undefined"
)</f>
        <v>Expansion</v>
      </c>
      <c r="W668">
        <f t="shared" si="98"/>
        <v>0</v>
      </c>
      <c r="X668">
        <f t="shared" si="99"/>
        <v>0</v>
      </c>
      <c r="Y668">
        <v>0</v>
      </c>
    </row>
    <row r="669" spans="1:25" x14ac:dyDescent="0.35">
      <c r="A669" s="1">
        <f>Data!A669</f>
        <v>37469</v>
      </c>
      <c r="B669" s="2">
        <f>IFERROR((Data!B669/Data!B668-1)*100,"")</f>
        <v>0.27777777777777679</v>
      </c>
      <c r="C669" s="2">
        <f>IFERROR((Data!C669/Data!C668-1)*100,"")</f>
        <v>-0.11105364210730606</v>
      </c>
      <c r="D669">
        <f t="shared" si="92"/>
        <v>0.22721332880017245</v>
      </c>
      <c r="E669">
        <f t="shared" si="93"/>
        <v>0.18540174446831278</v>
      </c>
      <c r="P669" t="str" cm="1">
        <f t="array" ref="P669">_xlfn.IFS(
  AND(D669&gt;0,E669&gt;0),"Expansion",
  AND(D669&lt;0,E669&gt;0),"Slowdown",
  AND(D669&lt;0,E669&lt;0),"Contraction",
  AND(D669&gt;0,E669&lt;0),"Recovery",
  TRUE,"Undefined"
)</f>
        <v>Expansion</v>
      </c>
      <c r="Q669" t="str">
        <f t="shared" si="100"/>
        <v>Expansion</v>
      </c>
      <c r="R669">
        <f t="shared" si="94"/>
        <v>1</v>
      </c>
      <c r="S669">
        <f t="shared" si="95"/>
        <v>1</v>
      </c>
      <c r="T669">
        <f t="shared" si="96"/>
        <v>1</v>
      </c>
      <c r="U669">
        <f t="shared" si="97"/>
        <v>1</v>
      </c>
      <c r="V669" t="str" cm="1">
        <f t="array" ref="V669">_xlfn.IFS(
  AND(S669&gt;0,U669&gt;0),"Expansion",
  AND(S669&lt;0,U669&gt;0),"Slowdown",
  AND(S669&lt;0,U669&lt;0),"Contraction",
  AND(S669&gt;0,U669&lt;0),"Recovery",
  TRUE,"Undefined"
)</f>
        <v>Expansion</v>
      </c>
      <c r="W669">
        <f t="shared" si="98"/>
        <v>0</v>
      </c>
      <c r="X669">
        <f t="shared" si="99"/>
        <v>0</v>
      </c>
      <c r="Y669">
        <v>0</v>
      </c>
    </row>
    <row r="670" spans="1:25" x14ac:dyDescent="0.35">
      <c r="A670" s="1">
        <f>Data!A670</f>
        <v>37500</v>
      </c>
      <c r="B670" s="2">
        <f>IFERROR((Data!B670/Data!B669-1)*100,"")</f>
        <v>0.16620498614958734</v>
      </c>
      <c r="C670" s="2">
        <f>IFERROR((Data!C670/Data!C669-1)*100,"")</f>
        <v>8.4900890079286917E-2</v>
      </c>
      <c r="D670">
        <f t="shared" si="92"/>
        <v>-1.9448211093224071E-2</v>
      </c>
      <c r="E670">
        <f t="shared" si="93"/>
        <v>0.22223330438261671</v>
      </c>
      <c r="P670" t="str" cm="1">
        <f t="array" ref="P670">_xlfn.IFS(
  AND(D670&gt;0,E670&gt;0),"Expansion",
  AND(D670&lt;0,E670&gt;0),"Slowdown",
  AND(D670&lt;0,E670&lt;0),"Contraction",
  AND(D670&gt;0,E670&lt;0),"Recovery",
  TRUE,"Undefined"
)</f>
        <v>Slowdown</v>
      </c>
      <c r="Q670" t="str">
        <f t="shared" si="100"/>
        <v>Expansion</v>
      </c>
      <c r="R670">
        <f t="shared" si="94"/>
        <v>1</v>
      </c>
      <c r="S670">
        <f t="shared" si="95"/>
        <v>1</v>
      </c>
      <c r="T670">
        <f t="shared" si="96"/>
        <v>1</v>
      </c>
      <c r="U670">
        <f t="shared" si="97"/>
        <v>1</v>
      </c>
      <c r="V670" t="str" cm="1">
        <f t="array" ref="V670">_xlfn.IFS(
  AND(S670&gt;0,U670&gt;0),"Expansion",
  AND(S670&lt;0,U670&gt;0),"Slowdown",
  AND(S670&lt;0,U670&lt;0),"Contraction",
  AND(S670&gt;0,U670&lt;0),"Recovery",
  TRUE,"Undefined"
)</f>
        <v>Expansion</v>
      </c>
      <c r="W670">
        <f t="shared" si="98"/>
        <v>0</v>
      </c>
      <c r="X670">
        <f t="shared" si="99"/>
        <v>0</v>
      </c>
      <c r="Y670">
        <v>0</v>
      </c>
    </row>
    <row r="671" spans="1:25" x14ac:dyDescent="0.35">
      <c r="A671" s="1">
        <f>Data!A671</f>
        <v>37530</v>
      </c>
      <c r="B671" s="2">
        <f>IFERROR((Data!B671/Data!B670-1)*100,"")</f>
        <v>0.22123893805308104</v>
      </c>
      <c r="C671" s="2">
        <f>IFERROR((Data!C671/Data!C670-1)*100,"")</f>
        <v>-0.2082664575177251</v>
      </c>
      <c r="D671">
        <f t="shared" si="92"/>
        <v>-7.8139736515248082E-2</v>
      </c>
      <c r="E671">
        <f t="shared" si="93"/>
        <v>0.22174056732681505</v>
      </c>
      <c r="P671" t="str" cm="1">
        <f t="array" ref="P671">_xlfn.IFS(
  AND(D671&gt;0,E671&gt;0),"Expansion",
  AND(D671&lt;0,E671&gt;0),"Slowdown",
  AND(D671&lt;0,E671&lt;0),"Contraction",
  AND(D671&gt;0,E671&lt;0),"Recovery",
  TRUE,"Undefined"
)</f>
        <v>Slowdown</v>
      </c>
      <c r="Q671" t="str">
        <f t="shared" si="100"/>
        <v>Expansion</v>
      </c>
      <c r="R671">
        <f t="shared" si="94"/>
        <v>1</v>
      </c>
      <c r="S671">
        <f t="shared" si="95"/>
        <v>1</v>
      </c>
      <c r="T671">
        <f t="shared" si="96"/>
        <v>1</v>
      </c>
      <c r="U671">
        <f t="shared" si="97"/>
        <v>1</v>
      </c>
      <c r="V671" t="str" cm="1">
        <f t="array" ref="V671">_xlfn.IFS(
  AND(S671&gt;0,U671&gt;0),"Expansion",
  AND(S671&lt;0,U671&gt;0),"Slowdown",
  AND(S671&lt;0,U671&lt;0),"Contraction",
  AND(S671&gt;0,U671&lt;0),"Recovery",
  TRUE,"Undefined"
)</f>
        <v>Expansion</v>
      </c>
      <c r="W671">
        <f t="shared" si="98"/>
        <v>0</v>
      </c>
      <c r="X671">
        <f t="shared" si="99"/>
        <v>0</v>
      </c>
      <c r="Y671">
        <v>0</v>
      </c>
    </row>
    <row r="672" spans="1:25" x14ac:dyDescent="0.35">
      <c r="A672" s="1">
        <f>Data!A672</f>
        <v>37561</v>
      </c>
      <c r="B672" s="2">
        <f>IFERROR((Data!B672/Data!B671-1)*100,"")</f>
        <v>0.16556291390728006</v>
      </c>
      <c r="C672" s="2">
        <f>IFERROR((Data!C672/Data!C671-1)*100,"")</f>
        <v>0.56022099325370167</v>
      </c>
      <c r="D672">
        <f t="shared" si="92"/>
        <v>0.14561847527175451</v>
      </c>
      <c r="E672">
        <f t="shared" si="93"/>
        <v>0.18433561270331614</v>
      </c>
      <c r="P672" t="str" cm="1">
        <f t="array" ref="P672">_xlfn.IFS(
  AND(D672&gt;0,E672&gt;0),"Expansion",
  AND(D672&lt;0,E672&gt;0),"Slowdown",
  AND(D672&lt;0,E672&lt;0),"Contraction",
  AND(D672&gt;0,E672&lt;0),"Recovery",
  TRUE,"Undefined"
)</f>
        <v>Expansion</v>
      </c>
      <c r="Q672" t="str">
        <f t="shared" si="100"/>
        <v>Expansion</v>
      </c>
      <c r="R672">
        <f t="shared" si="94"/>
        <v>1</v>
      </c>
      <c r="S672">
        <f t="shared" si="95"/>
        <v>1</v>
      </c>
      <c r="T672">
        <f t="shared" si="96"/>
        <v>1</v>
      </c>
      <c r="U672">
        <f t="shared" si="97"/>
        <v>1</v>
      </c>
      <c r="V672" t="str" cm="1">
        <f t="array" ref="V672">_xlfn.IFS(
  AND(S672&gt;0,U672&gt;0),"Expansion",
  AND(S672&lt;0,U672&gt;0),"Slowdown",
  AND(S672&lt;0,U672&lt;0),"Contraction",
  AND(S672&gt;0,U672&lt;0),"Recovery",
  TRUE,"Undefined"
)</f>
        <v>Expansion</v>
      </c>
      <c r="W672">
        <f t="shared" si="98"/>
        <v>0</v>
      </c>
      <c r="X672">
        <f t="shared" si="99"/>
        <v>0</v>
      </c>
      <c r="Y672">
        <v>0</v>
      </c>
    </row>
    <row r="673" spans="1:25" x14ac:dyDescent="0.35">
      <c r="A673" s="1">
        <f>Data!A673</f>
        <v>37591</v>
      </c>
      <c r="B673" s="2">
        <f>IFERROR((Data!B673/Data!B672-1)*100,"")</f>
        <v>0.16528925619836432</v>
      </c>
      <c r="C673" s="2">
        <f>IFERROR((Data!C673/Data!C672-1)*100,"")</f>
        <v>-0.55611067690729543</v>
      </c>
      <c r="D673">
        <f t="shared" si="92"/>
        <v>-6.8052047057106282E-2</v>
      </c>
      <c r="E673">
        <f t="shared" si="93"/>
        <v>0.18403036938624182</v>
      </c>
      <c r="P673" t="str" cm="1">
        <f t="array" ref="P673">_xlfn.IFS(
  AND(D673&gt;0,E673&gt;0),"Expansion",
  AND(D673&lt;0,E673&gt;0),"Slowdown",
  AND(D673&lt;0,E673&lt;0),"Contraction",
  AND(D673&gt;0,E673&lt;0),"Recovery",
  TRUE,"Undefined"
)</f>
        <v>Slowdown</v>
      </c>
      <c r="Q673" t="str">
        <f t="shared" si="100"/>
        <v>Expansion</v>
      </c>
      <c r="R673">
        <f t="shared" si="94"/>
        <v>1</v>
      </c>
      <c r="S673">
        <f t="shared" si="95"/>
        <v>1</v>
      </c>
      <c r="T673">
        <f t="shared" si="96"/>
        <v>1</v>
      </c>
      <c r="U673">
        <f t="shared" si="97"/>
        <v>1</v>
      </c>
      <c r="V673" t="str" cm="1">
        <f t="array" ref="V673">_xlfn.IFS(
  AND(S673&gt;0,U673&gt;0),"Expansion",
  AND(S673&lt;0,U673&gt;0),"Slowdown",
  AND(S673&lt;0,U673&lt;0),"Contraction",
  AND(S673&gt;0,U673&lt;0),"Recovery",
  TRUE,"Undefined"
)</f>
        <v>Expansion</v>
      </c>
      <c r="W673">
        <f t="shared" si="98"/>
        <v>0</v>
      </c>
      <c r="X673">
        <f t="shared" si="99"/>
        <v>0</v>
      </c>
      <c r="Y673">
        <v>0</v>
      </c>
    </row>
    <row r="674" spans="1:25" x14ac:dyDescent="0.35">
      <c r="A674" s="1">
        <f>Data!A674</f>
        <v>37622</v>
      </c>
      <c r="B674" s="2">
        <f>IFERROR((Data!B674/Data!B673-1)*100,"")</f>
        <v>0.44004400440043057</v>
      </c>
      <c r="C674" s="2">
        <f>IFERROR((Data!C674/Data!C673-1)*100,"")</f>
        <v>0.85215088232823977</v>
      </c>
      <c r="D674">
        <f t="shared" si="92"/>
        <v>0.28542039955821535</v>
      </c>
      <c r="E674">
        <f t="shared" si="93"/>
        <v>0.25696539150202496</v>
      </c>
      <c r="P674" t="str" cm="1">
        <f t="array" ref="P674">_xlfn.IFS(
  AND(D674&gt;0,E674&gt;0),"Expansion",
  AND(D674&lt;0,E674&gt;0),"Slowdown",
  AND(D674&lt;0,E674&lt;0),"Contraction",
  AND(D674&gt;0,E674&lt;0),"Recovery",
  TRUE,"Undefined"
)</f>
        <v>Expansion</v>
      </c>
      <c r="Q674" t="str">
        <f t="shared" si="100"/>
        <v>Expansion</v>
      </c>
      <c r="R674">
        <f t="shared" si="94"/>
        <v>1</v>
      </c>
      <c r="S674">
        <f t="shared" si="95"/>
        <v>1</v>
      </c>
      <c r="T674">
        <f t="shared" si="96"/>
        <v>1</v>
      </c>
      <c r="U674">
        <f t="shared" si="97"/>
        <v>1</v>
      </c>
      <c r="V674" t="str" cm="1">
        <f t="array" ref="V674">_xlfn.IFS(
  AND(S674&gt;0,U674&gt;0),"Expansion",
  AND(S674&lt;0,U674&gt;0),"Slowdown",
  AND(S674&lt;0,U674&lt;0),"Contraction",
  AND(S674&gt;0,U674&lt;0),"Recovery",
  TRUE,"Undefined"
)</f>
        <v>Expansion</v>
      </c>
      <c r="W674">
        <f t="shared" si="98"/>
        <v>0</v>
      </c>
      <c r="X674">
        <f t="shared" si="99"/>
        <v>0</v>
      </c>
      <c r="Y674">
        <v>0</v>
      </c>
    </row>
    <row r="675" spans="1:25" x14ac:dyDescent="0.35">
      <c r="A675" s="1">
        <f>Data!A675</f>
        <v>37653</v>
      </c>
      <c r="B675" s="2">
        <f>IFERROR((Data!B675/Data!B674-1)*100,"")</f>
        <v>0.54764512595837367</v>
      </c>
      <c r="C675" s="2">
        <f>IFERROR((Data!C675/Data!C674-1)*100,"")</f>
        <v>0.11881261912773944</v>
      </c>
      <c r="D675">
        <f t="shared" si="92"/>
        <v>0.13828427484956127</v>
      </c>
      <c r="E675">
        <f t="shared" si="93"/>
        <v>0.38432612885238954</v>
      </c>
      <c r="P675" t="str" cm="1">
        <f t="array" ref="P675">_xlfn.IFS(
  AND(D675&gt;0,E675&gt;0),"Expansion",
  AND(D675&lt;0,E675&gt;0),"Slowdown",
  AND(D675&lt;0,E675&lt;0),"Contraction",
  AND(D675&gt;0,E675&lt;0),"Recovery",
  TRUE,"Undefined"
)</f>
        <v>Expansion</v>
      </c>
      <c r="Q675" t="str">
        <f t="shared" si="100"/>
        <v>Expansion</v>
      </c>
      <c r="R675">
        <f t="shared" si="94"/>
        <v>1</v>
      </c>
      <c r="S675">
        <f t="shared" si="95"/>
        <v>1</v>
      </c>
      <c r="T675">
        <f t="shared" si="96"/>
        <v>1</v>
      </c>
      <c r="U675">
        <f t="shared" si="97"/>
        <v>1</v>
      </c>
      <c r="V675" t="str" cm="1">
        <f t="array" ref="V675">_xlfn.IFS(
  AND(S675&gt;0,U675&gt;0),"Expansion",
  AND(S675&lt;0,U675&gt;0),"Slowdown",
  AND(S675&lt;0,U675&lt;0),"Contraction",
  AND(S675&gt;0,U675&lt;0),"Recovery",
  TRUE,"Undefined"
)</f>
        <v>Expansion</v>
      </c>
      <c r="W675">
        <f t="shared" si="98"/>
        <v>0</v>
      </c>
      <c r="X675">
        <f t="shared" si="99"/>
        <v>0</v>
      </c>
      <c r="Y675">
        <v>0</v>
      </c>
    </row>
    <row r="676" spans="1:25" x14ac:dyDescent="0.35">
      <c r="A676" s="1">
        <f>Data!A676</f>
        <v>37681</v>
      </c>
      <c r="B676" s="2">
        <f>IFERROR((Data!B676/Data!B675-1)*100,"")</f>
        <v>0.16339869281045694</v>
      </c>
      <c r="C676" s="2">
        <f>IFERROR((Data!C676/Data!C675-1)*100,"")</f>
        <v>-0.26285107477734826</v>
      </c>
      <c r="D676">
        <f t="shared" si="92"/>
        <v>0.23603747555954366</v>
      </c>
      <c r="E676">
        <f t="shared" si="93"/>
        <v>0.38369594105642041</v>
      </c>
      <c r="P676" t="str" cm="1">
        <f t="array" ref="P676">_xlfn.IFS(
  AND(D676&gt;0,E676&gt;0),"Expansion",
  AND(D676&lt;0,E676&gt;0),"Slowdown",
  AND(D676&lt;0,E676&lt;0),"Contraction",
  AND(D676&gt;0,E676&lt;0),"Recovery",
  TRUE,"Undefined"
)</f>
        <v>Expansion</v>
      </c>
      <c r="Q676" t="str">
        <f t="shared" si="100"/>
        <v>Expansion</v>
      </c>
      <c r="R676">
        <f t="shared" si="94"/>
        <v>1</v>
      </c>
      <c r="S676">
        <f t="shared" si="95"/>
        <v>1</v>
      </c>
      <c r="T676">
        <f t="shared" si="96"/>
        <v>1</v>
      </c>
      <c r="U676">
        <f t="shared" si="97"/>
        <v>1</v>
      </c>
      <c r="V676" t="str" cm="1">
        <f t="array" ref="V676">_xlfn.IFS(
  AND(S676&gt;0,U676&gt;0),"Expansion",
  AND(S676&lt;0,U676&gt;0),"Slowdown",
  AND(S676&lt;0,U676&lt;0),"Contraction",
  AND(S676&gt;0,U676&lt;0),"Recovery",
  TRUE,"Undefined"
)</f>
        <v>Expansion</v>
      </c>
      <c r="W676">
        <f t="shared" si="98"/>
        <v>0</v>
      </c>
      <c r="X676">
        <f t="shared" si="99"/>
        <v>0</v>
      </c>
      <c r="Y676">
        <v>0</v>
      </c>
    </row>
    <row r="677" spans="1:25" x14ac:dyDescent="0.35">
      <c r="A677" s="1">
        <f>Data!A677</f>
        <v>37712</v>
      </c>
      <c r="B677" s="2">
        <f>IFERROR((Data!B677/Data!B676-1)*100,"")</f>
        <v>-0.38064165307233333</v>
      </c>
      <c r="C677" s="2">
        <f>IFERROR((Data!C677/Data!C676-1)*100,"")</f>
        <v>-0.59569021913320475</v>
      </c>
      <c r="D677">
        <f t="shared" si="92"/>
        <v>-0.24657622492760453</v>
      </c>
      <c r="E677">
        <f t="shared" si="93"/>
        <v>0.11013405523216575</v>
      </c>
      <c r="P677" t="str" cm="1">
        <f t="array" ref="P677">_xlfn.IFS(
  AND(D677&gt;0,E677&gt;0),"Expansion",
  AND(D677&lt;0,E677&gt;0),"Slowdown",
  AND(D677&lt;0,E677&lt;0),"Contraction",
  AND(D677&gt;0,E677&lt;0),"Recovery",
  TRUE,"Undefined"
)</f>
        <v>Slowdown</v>
      </c>
      <c r="Q677" t="str">
        <f t="shared" si="100"/>
        <v>Expansion</v>
      </c>
      <c r="R677">
        <f t="shared" si="94"/>
        <v>1</v>
      </c>
      <c r="S677">
        <f t="shared" si="95"/>
        <v>1</v>
      </c>
      <c r="T677">
        <f t="shared" si="96"/>
        <v>1</v>
      </c>
      <c r="U677">
        <f t="shared" si="97"/>
        <v>1</v>
      </c>
      <c r="V677" t="str" cm="1">
        <f t="array" ref="V677">_xlfn.IFS(
  AND(S677&gt;0,U677&gt;0),"Expansion",
  AND(S677&lt;0,U677&gt;0),"Slowdown",
  AND(S677&lt;0,U677&lt;0),"Contraction",
  AND(S677&gt;0,U677&lt;0),"Recovery",
  TRUE,"Undefined"
)</f>
        <v>Expansion</v>
      </c>
      <c r="W677">
        <f t="shared" si="98"/>
        <v>0</v>
      </c>
      <c r="X677">
        <f t="shared" si="99"/>
        <v>0</v>
      </c>
      <c r="Y677">
        <v>0</v>
      </c>
    </row>
    <row r="678" spans="1:25" x14ac:dyDescent="0.35">
      <c r="A678" s="1">
        <f>Data!A678</f>
        <v>37742</v>
      </c>
      <c r="B678" s="2">
        <f>IFERROR((Data!B678/Data!B677-1)*100,"")</f>
        <v>-0.16375545851528006</v>
      </c>
      <c r="C678" s="2">
        <f>IFERROR((Data!C678/Data!C677-1)*100,"")</f>
        <v>-2.7274222988304953E-2</v>
      </c>
      <c r="D678">
        <f t="shared" si="92"/>
        <v>-0.295271838966286</v>
      </c>
      <c r="E678">
        <f t="shared" si="93"/>
        <v>-0.12699947292571881</v>
      </c>
      <c r="P678" t="str" cm="1">
        <f t="array" ref="P678">_xlfn.IFS(
  AND(D678&gt;0,E678&gt;0),"Expansion",
  AND(D678&lt;0,E678&gt;0),"Slowdown",
  AND(D678&lt;0,E678&lt;0),"Contraction",
  AND(D678&gt;0,E678&lt;0),"Recovery",
  TRUE,"Undefined"
)</f>
        <v>Contraction</v>
      </c>
      <c r="Q678" t="str">
        <f t="shared" si="100"/>
        <v>Expansion</v>
      </c>
      <c r="R678">
        <f t="shared" si="94"/>
        <v>-1</v>
      </c>
      <c r="S678">
        <f t="shared" si="95"/>
        <v>-1</v>
      </c>
      <c r="T678">
        <f t="shared" si="96"/>
        <v>-1</v>
      </c>
      <c r="U678">
        <f t="shared" si="97"/>
        <v>-1</v>
      </c>
      <c r="V678" t="str" cm="1">
        <f t="array" ref="V678">_xlfn.IFS(
  AND(S678&gt;0,U678&gt;0),"Expansion",
  AND(S678&lt;0,U678&gt;0),"Slowdown",
  AND(S678&lt;0,U678&lt;0),"Contraction",
  AND(S678&gt;0,U678&lt;0),"Recovery",
  TRUE,"Undefined"
)</f>
        <v>Contraction</v>
      </c>
      <c r="W678">
        <f t="shared" si="98"/>
        <v>0</v>
      </c>
      <c r="X678">
        <f t="shared" si="99"/>
        <v>1</v>
      </c>
      <c r="Y678">
        <v>0</v>
      </c>
    </row>
    <row r="679" spans="1:25" x14ac:dyDescent="0.35">
      <c r="A679" s="1">
        <f>Data!A679</f>
        <v>37773</v>
      </c>
      <c r="B679" s="2">
        <f>IFERROR((Data!B679/Data!B678-1)*100,"")</f>
        <v>0.10934937124111865</v>
      </c>
      <c r="C679" s="2">
        <f>IFERROR((Data!C679/Data!C678-1)*100,"")</f>
        <v>0.12779305698220611</v>
      </c>
      <c r="D679">
        <f t="shared" si="92"/>
        <v>-0.16505712837976785</v>
      </c>
      <c r="E679">
        <f t="shared" si="93"/>
        <v>-0.14501591344883158</v>
      </c>
      <c r="P679" t="str" cm="1">
        <f t="array" ref="P679">_xlfn.IFS(
  AND(D679&gt;0,E679&gt;0),"Expansion",
  AND(D679&lt;0,E679&gt;0),"Slowdown",
  AND(D679&lt;0,E679&lt;0),"Contraction",
  AND(D679&gt;0,E679&lt;0),"Recovery",
  TRUE,"Undefined"
)</f>
        <v>Contraction</v>
      </c>
      <c r="Q679" t="str">
        <f t="shared" si="100"/>
        <v>Expansion</v>
      </c>
      <c r="R679">
        <f t="shared" si="94"/>
        <v>1</v>
      </c>
      <c r="S679">
        <f t="shared" si="95"/>
        <v>1</v>
      </c>
      <c r="T679">
        <f t="shared" si="96"/>
        <v>-1</v>
      </c>
      <c r="U679">
        <f t="shared" si="97"/>
        <v>-1</v>
      </c>
      <c r="V679" t="str" cm="1">
        <f t="array" ref="V679">_xlfn.IFS(
  AND(S679&gt;0,U679&gt;0),"Expansion",
  AND(S679&lt;0,U679&gt;0),"Slowdown",
  AND(S679&lt;0,U679&lt;0),"Contraction",
  AND(S679&gt;0,U679&lt;0),"Recovery",
  TRUE,"Undefined"
)</f>
        <v>Recovery</v>
      </c>
      <c r="W679">
        <f t="shared" si="98"/>
        <v>0</v>
      </c>
      <c r="X679">
        <f t="shared" si="99"/>
        <v>0</v>
      </c>
      <c r="Y679">
        <v>0</v>
      </c>
    </row>
    <row r="680" spans="1:25" x14ac:dyDescent="0.35">
      <c r="A680" s="1">
        <f>Data!A680</f>
        <v>37803</v>
      </c>
      <c r="B680" s="2">
        <f>IFERROR((Data!B680/Data!B679-1)*100,"")</f>
        <v>0.32768978700163931</v>
      </c>
      <c r="C680" s="2">
        <f>IFERROR((Data!C680/Data!C679-1)*100,"")</f>
        <v>0.51382915235840265</v>
      </c>
      <c r="D680">
        <f t="shared" si="92"/>
        <v>0.20478266211743459</v>
      </c>
      <c r="E680">
        <f t="shared" si="93"/>
        <v>9.1094566575825972E-2</v>
      </c>
      <c r="P680" t="str" cm="1">
        <f t="array" ref="P680">_xlfn.IFS(
  AND(D680&gt;0,E680&gt;0),"Expansion",
  AND(D680&lt;0,E680&gt;0),"Slowdown",
  AND(D680&lt;0,E680&lt;0),"Contraction",
  AND(D680&gt;0,E680&lt;0),"Recovery",
  TRUE,"Undefined"
)</f>
        <v>Expansion</v>
      </c>
      <c r="Q680" t="str">
        <f t="shared" si="100"/>
        <v>Expansion</v>
      </c>
      <c r="R680">
        <f t="shared" si="94"/>
        <v>1</v>
      </c>
      <c r="S680">
        <f t="shared" si="95"/>
        <v>1</v>
      </c>
      <c r="T680">
        <f t="shared" si="96"/>
        <v>1</v>
      </c>
      <c r="U680">
        <f t="shared" si="97"/>
        <v>1</v>
      </c>
      <c r="V680" t="str" cm="1">
        <f t="array" ref="V680">_xlfn.IFS(
  AND(S680&gt;0,U680&gt;0),"Expansion",
  AND(S680&lt;0,U680&gt;0),"Slowdown",
  AND(S680&lt;0,U680&lt;0),"Contraction",
  AND(S680&gt;0,U680&lt;0),"Recovery",
  TRUE,"Undefined"
)</f>
        <v>Expansion</v>
      </c>
      <c r="W680">
        <f t="shared" si="98"/>
        <v>0</v>
      </c>
      <c r="X680">
        <f t="shared" si="99"/>
        <v>0</v>
      </c>
      <c r="Y680">
        <v>0</v>
      </c>
    </row>
    <row r="681" spans="1:25" x14ac:dyDescent="0.35">
      <c r="A681" s="1">
        <f>Data!A681</f>
        <v>37834</v>
      </c>
      <c r="B681" s="2">
        <f>IFERROR((Data!B681/Data!B680-1)*100,"")</f>
        <v>0.4354926510615087</v>
      </c>
      <c r="C681" s="2">
        <f>IFERROR((Data!C681/Data!C680-1)*100,"")</f>
        <v>-0.21817742829391973</v>
      </c>
      <c r="D681">
        <f t="shared" si="92"/>
        <v>0.14114826034889635</v>
      </c>
      <c r="E681">
        <f t="shared" si="93"/>
        <v>0.29084393643475553</v>
      </c>
      <c r="P681" t="str" cm="1">
        <f t="array" ref="P681">_xlfn.IFS(
  AND(D681&gt;0,E681&gt;0),"Expansion",
  AND(D681&lt;0,E681&gt;0),"Slowdown",
  AND(D681&lt;0,E681&lt;0),"Contraction",
  AND(D681&gt;0,E681&lt;0),"Recovery",
  TRUE,"Undefined"
)</f>
        <v>Expansion</v>
      </c>
      <c r="Q681" t="str">
        <f t="shared" si="100"/>
        <v>Expansion</v>
      </c>
      <c r="R681">
        <f t="shared" si="94"/>
        <v>1</v>
      </c>
      <c r="S681">
        <f t="shared" si="95"/>
        <v>1</v>
      </c>
      <c r="T681">
        <f t="shared" si="96"/>
        <v>1</v>
      </c>
      <c r="U681">
        <f t="shared" si="97"/>
        <v>1</v>
      </c>
      <c r="V681" t="str" cm="1">
        <f t="array" ref="V681">_xlfn.IFS(
  AND(S681&gt;0,U681&gt;0),"Expansion",
  AND(S681&lt;0,U681&gt;0),"Slowdown",
  AND(S681&lt;0,U681&lt;0),"Contraction",
  AND(S681&gt;0,U681&lt;0),"Recovery",
  TRUE,"Undefined"
)</f>
        <v>Expansion</v>
      </c>
      <c r="W681">
        <f t="shared" si="98"/>
        <v>0</v>
      </c>
      <c r="X681">
        <f t="shared" si="99"/>
        <v>0</v>
      </c>
      <c r="Y681">
        <v>0</v>
      </c>
    </row>
    <row r="682" spans="1:25" x14ac:dyDescent="0.35">
      <c r="A682" s="1">
        <f>Data!A682</f>
        <v>37865</v>
      </c>
      <c r="B682" s="2">
        <f>IFERROR((Data!B682/Data!B681-1)*100,"")</f>
        <v>0.32520325203251321</v>
      </c>
      <c r="C682" s="2">
        <f>IFERROR((Data!C682/Data!C681-1)*100,"")</f>
        <v>0.6447447582867083</v>
      </c>
      <c r="D682">
        <f t="shared" si="92"/>
        <v>0.31346549411706376</v>
      </c>
      <c r="E682">
        <f t="shared" si="93"/>
        <v>0.36279523003188707</v>
      </c>
      <c r="P682" t="str" cm="1">
        <f t="array" ref="P682">_xlfn.IFS(
  AND(D682&gt;0,E682&gt;0),"Expansion",
  AND(D682&lt;0,E682&gt;0),"Slowdown",
  AND(D682&lt;0,E682&lt;0),"Contraction",
  AND(D682&gt;0,E682&lt;0),"Recovery",
  TRUE,"Undefined"
)</f>
        <v>Expansion</v>
      </c>
      <c r="Q682" t="str">
        <f t="shared" si="100"/>
        <v>Expansion</v>
      </c>
      <c r="R682">
        <f t="shared" si="94"/>
        <v>1</v>
      </c>
      <c r="S682">
        <f t="shared" si="95"/>
        <v>1</v>
      </c>
      <c r="T682">
        <f t="shared" si="96"/>
        <v>1</v>
      </c>
      <c r="U682">
        <f t="shared" si="97"/>
        <v>1</v>
      </c>
      <c r="V682" t="str" cm="1">
        <f t="array" ref="V682">_xlfn.IFS(
  AND(S682&gt;0,U682&gt;0),"Expansion",
  AND(S682&lt;0,U682&gt;0),"Slowdown",
  AND(S682&lt;0,U682&lt;0),"Contraction",
  AND(S682&gt;0,U682&lt;0),"Recovery",
  TRUE,"Undefined"
)</f>
        <v>Expansion</v>
      </c>
      <c r="W682">
        <f t="shared" si="98"/>
        <v>0</v>
      </c>
      <c r="X682">
        <f t="shared" si="99"/>
        <v>0</v>
      </c>
      <c r="Y682">
        <v>0</v>
      </c>
    </row>
    <row r="683" spans="1:25" x14ac:dyDescent="0.35">
      <c r="A683" s="1">
        <f>Data!A683</f>
        <v>37895</v>
      </c>
      <c r="B683" s="2">
        <f>IFERROR((Data!B683/Data!B682-1)*100,"")</f>
        <v>-0.10804970286331095</v>
      </c>
      <c r="C683" s="2">
        <f>IFERROR((Data!C683/Data!C682-1)*100,"")</f>
        <v>0.1231614573486528</v>
      </c>
      <c r="D683">
        <f t="shared" si="92"/>
        <v>0.18324292911381379</v>
      </c>
      <c r="E683">
        <f t="shared" si="93"/>
        <v>0.21754873341023698</v>
      </c>
      <c r="P683" t="str" cm="1">
        <f t="array" ref="P683">_xlfn.IFS(
  AND(D683&gt;0,E683&gt;0),"Expansion",
  AND(D683&lt;0,E683&gt;0),"Slowdown",
  AND(D683&lt;0,E683&lt;0),"Contraction",
  AND(D683&gt;0,E683&lt;0),"Recovery",
  TRUE,"Undefined"
)</f>
        <v>Expansion</v>
      </c>
      <c r="Q683" t="str">
        <f t="shared" si="100"/>
        <v>Expansion</v>
      </c>
      <c r="R683">
        <f t="shared" si="94"/>
        <v>1</v>
      </c>
      <c r="S683">
        <f t="shared" si="95"/>
        <v>1</v>
      </c>
      <c r="T683">
        <f t="shared" si="96"/>
        <v>1</v>
      </c>
      <c r="U683">
        <f t="shared" si="97"/>
        <v>1</v>
      </c>
      <c r="V683" t="str" cm="1">
        <f t="array" ref="V683">_xlfn.IFS(
  AND(S683&gt;0,U683&gt;0),"Expansion",
  AND(S683&lt;0,U683&gt;0),"Slowdown",
  AND(S683&lt;0,U683&lt;0),"Contraction",
  AND(S683&gt;0,U683&lt;0),"Recovery",
  TRUE,"Undefined"
)</f>
        <v>Expansion</v>
      </c>
      <c r="W683">
        <f t="shared" si="98"/>
        <v>0</v>
      </c>
      <c r="X683">
        <f t="shared" si="99"/>
        <v>0</v>
      </c>
      <c r="Y683">
        <v>0</v>
      </c>
    </row>
    <row r="684" spans="1:25" x14ac:dyDescent="0.35">
      <c r="A684" s="1">
        <f>Data!A684</f>
        <v>37926</v>
      </c>
      <c r="B684" s="2">
        <f>IFERROR((Data!B684/Data!B683-1)*100,"")</f>
        <v>5.4083288263928608E-2</v>
      </c>
      <c r="C684" s="2">
        <f>IFERROR((Data!C684/Data!C683-1)*100,"")</f>
        <v>0.67049703881090217</v>
      </c>
      <c r="D684">
        <f t="shared" si="92"/>
        <v>0.47946775148208776</v>
      </c>
      <c r="E684">
        <f t="shared" si="93"/>
        <v>9.0412279144376953E-2</v>
      </c>
      <c r="P684" t="str" cm="1">
        <f t="array" ref="P684">_xlfn.IFS(
  AND(D684&gt;0,E684&gt;0),"Expansion",
  AND(D684&lt;0,E684&gt;0),"Slowdown",
  AND(D684&lt;0,E684&lt;0),"Contraction",
  AND(D684&gt;0,E684&lt;0),"Recovery",
  TRUE,"Undefined"
)</f>
        <v>Expansion</v>
      </c>
      <c r="Q684" t="str">
        <f t="shared" si="100"/>
        <v>Expansion</v>
      </c>
      <c r="R684">
        <f t="shared" si="94"/>
        <v>1</v>
      </c>
      <c r="S684">
        <f t="shared" si="95"/>
        <v>1</v>
      </c>
      <c r="T684">
        <f t="shared" si="96"/>
        <v>1</v>
      </c>
      <c r="U684">
        <f t="shared" si="97"/>
        <v>1</v>
      </c>
      <c r="V684" t="str" cm="1">
        <f t="array" ref="V684">_xlfn.IFS(
  AND(S684&gt;0,U684&gt;0),"Expansion",
  AND(S684&lt;0,U684&gt;0),"Slowdown",
  AND(S684&lt;0,U684&lt;0),"Contraction",
  AND(S684&gt;0,U684&lt;0),"Recovery",
  TRUE,"Undefined"
)</f>
        <v>Expansion</v>
      </c>
      <c r="W684">
        <f t="shared" si="98"/>
        <v>0</v>
      </c>
      <c r="X684">
        <f t="shared" si="99"/>
        <v>0</v>
      </c>
      <c r="Y684">
        <v>0</v>
      </c>
    </row>
    <row r="685" spans="1:25" x14ac:dyDescent="0.35">
      <c r="A685" s="1">
        <f>Data!A685</f>
        <v>37956</v>
      </c>
      <c r="B685" s="2">
        <f>IFERROR((Data!B685/Data!B684-1)*100,"")</f>
        <v>0.27027027027026751</v>
      </c>
      <c r="C685" s="2">
        <f>IFERROR((Data!C685/Data!C684-1)*100,"")</f>
        <v>2.9598982575618216E-2</v>
      </c>
      <c r="D685">
        <f t="shared" si="92"/>
        <v>0.27441915957839108</v>
      </c>
      <c r="E685">
        <f t="shared" si="93"/>
        <v>7.2101285223628395E-2</v>
      </c>
      <c r="P685" t="str" cm="1">
        <f t="array" ref="P685">_xlfn.IFS(
  AND(D685&gt;0,E685&gt;0),"Expansion",
  AND(D685&lt;0,E685&gt;0),"Slowdown",
  AND(D685&lt;0,E685&lt;0),"Contraction",
  AND(D685&gt;0,E685&lt;0),"Recovery",
  TRUE,"Undefined"
)</f>
        <v>Expansion</v>
      </c>
      <c r="Q685" t="str">
        <f t="shared" si="100"/>
        <v>Expansion</v>
      </c>
      <c r="R685">
        <f t="shared" si="94"/>
        <v>1</v>
      </c>
      <c r="S685">
        <f t="shared" si="95"/>
        <v>1</v>
      </c>
      <c r="T685">
        <f t="shared" si="96"/>
        <v>1</v>
      </c>
      <c r="U685">
        <f t="shared" si="97"/>
        <v>1</v>
      </c>
      <c r="V685" t="str" cm="1">
        <f t="array" ref="V685">_xlfn.IFS(
  AND(S685&gt;0,U685&gt;0),"Expansion",
  AND(S685&lt;0,U685&gt;0),"Slowdown",
  AND(S685&lt;0,U685&lt;0),"Contraction",
  AND(S685&gt;0,U685&lt;0),"Recovery",
  TRUE,"Undefined"
)</f>
        <v>Expansion</v>
      </c>
      <c r="W685">
        <f t="shared" si="98"/>
        <v>0</v>
      </c>
      <c r="X685">
        <f t="shared" si="99"/>
        <v>0</v>
      </c>
      <c r="Y685">
        <v>0</v>
      </c>
    </row>
    <row r="686" spans="1:25" x14ac:dyDescent="0.35">
      <c r="A686" s="1">
        <f>Data!A686</f>
        <v>37987</v>
      </c>
      <c r="B686" s="2">
        <f>IFERROR((Data!B686/Data!B685-1)*100,"")</f>
        <v>0.43126684636118906</v>
      </c>
      <c r="C686" s="2">
        <f>IFERROR((Data!C686/Data!C685-1)*100,"")</f>
        <v>0.15217829573315189</v>
      </c>
      <c r="D686">
        <f t="shared" si="92"/>
        <v>0.28409143903989076</v>
      </c>
      <c r="E686">
        <f t="shared" si="93"/>
        <v>0.25187346829846174</v>
      </c>
      <c r="P686" t="str" cm="1">
        <f t="array" ref="P686">_xlfn.IFS(
  AND(D686&gt;0,E686&gt;0),"Expansion",
  AND(D686&lt;0,E686&gt;0),"Slowdown",
  AND(D686&lt;0,E686&lt;0),"Contraction",
  AND(D686&gt;0,E686&lt;0),"Recovery",
  TRUE,"Undefined"
)</f>
        <v>Expansion</v>
      </c>
      <c r="Q686" t="str">
        <f t="shared" si="100"/>
        <v>Expansion</v>
      </c>
      <c r="R686">
        <f t="shared" si="94"/>
        <v>1</v>
      </c>
      <c r="S686">
        <f t="shared" si="95"/>
        <v>1</v>
      </c>
      <c r="T686">
        <f t="shared" si="96"/>
        <v>1</v>
      </c>
      <c r="U686">
        <f t="shared" si="97"/>
        <v>1</v>
      </c>
      <c r="V686" t="str" cm="1">
        <f t="array" ref="V686">_xlfn.IFS(
  AND(S686&gt;0,U686&gt;0),"Expansion",
  AND(S686&lt;0,U686&gt;0),"Slowdown",
  AND(S686&lt;0,U686&lt;0),"Contraction",
  AND(S686&gt;0,U686&lt;0),"Recovery",
  TRUE,"Undefined"
)</f>
        <v>Expansion</v>
      </c>
      <c r="W686">
        <f t="shared" si="98"/>
        <v>0</v>
      </c>
      <c r="X686">
        <f t="shared" si="99"/>
        <v>0</v>
      </c>
      <c r="Y686">
        <v>0</v>
      </c>
    </row>
    <row r="687" spans="1:25" x14ac:dyDescent="0.35">
      <c r="A687" s="1">
        <f>Data!A687</f>
        <v>38018</v>
      </c>
      <c r="B687" s="2">
        <f>IFERROR((Data!B687/Data!B686-1)*100,"")</f>
        <v>0.21470746108425143</v>
      </c>
      <c r="C687" s="2">
        <f>IFERROR((Data!C687/Data!C686-1)*100,"")</f>
        <v>0.60324283608548246</v>
      </c>
      <c r="D687">
        <f t="shared" si="92"/>
        <v>0.26167337146475084</v>
      </c>
      <c r="E687">
        <f t="shared" si="93"/>
        <v>0.30541485923856931</v>
      </c>
      <c r="P687" t="str" cm="1">
        <f t="array" ref="P687">_xlfn.IFS(
  AND(D687&gt;0,E687&gt;0),"Expansion",
  AND(D687&lt;0,E687&gt;0),"Slowdown",
  AND(D687&lt;0,E687&lt;0),"Contraction",
  AND(D687&gt;0,E687&lt;0),"Recovery",
  TRUE,"Undefined"
)</f>
        <v>Expansion</v>
      </c>
      <c r="Q687" t="str">
        <f t="shared" si="100"/>
        <v>Expansion</v>
      </c>
      <c r="R687">
        <f t="shared" si="94"/>
        <v>1</v>
      </c>
      <c r="S687">
        <f t="shared" si="95"/>
        <v>1</v>
      </c>
      <c r="T687">
        <f t="shared" si="96"/>
        <v>1</v>
      </c>
      <c r="U687">
        <f t="shared" si="97"/>
        <v>1</v>
      </c>
      <c r="V687" t="str" cm="1">
        <f t="array" ref="V687">_xlfn.IFS(
  AND(S687&gt;0,U687&gt;0),"Expansion",
  AND(S687&lt;0,U687&gt;0),"Slowdown",
  AND(S687&lt;0,U687&lt;0),"Contraction",
  AND(S687&gt;0,U687&lt;0),"Recovery",
  TRUE,"Undefined"
)</f>
        <v>Expansion</v>
      </c>
      <c r="W687">
        <f t="shared" si="98"/>
        <v>0</v>
      </c>
      <c r="X687">
        <f t="shared" si="99"/>
        <v>0</v>
      </c>
      <c r="Y687">
        <v>0</v>
      </c>
    </row>
    <row r="688" spans="1:25" x14ac:dyDescent="0.35">
      <c r="A688" s="1">
        <f>Data!A688</f>
        <v>38047</v>
      </c>
      <c r="B688" s="2">
        <f>IFERROR((Data!B688/Data!B687-1)*100,"")</f>
        <v>0.21424745581146709</v>
      </c>
      <c r="C688" s="2">
        <f>IFERROR((Data!C688/Data!C687-1)*100,"")</f>
        <v>-0.40007315131564969</v>
      </c>
      <c r="D688">
        <f t="shared" si="92"/>
        <v>0.11844932683432823</v>
      </c>
      <c r="E688">
        <f t="shared" si="93"/>
        <v>0.28674058775230254</v>
      </c>
      <c r="P688" t="str" cm="1">
        <f t="array" ref="P688">_xlfn.IFS(
  AND(D688&gt;0,E688&gt;0),"Expansion",
  AND(D688&lt;0,E688&gt;0),"Slowdown",
  AND(D688&lt;0,E688&lt;0),"Contraction",
  AND(D688&gt;0,E688&lt;0),"Recovery",
  TRUE,"Undefined"
)</f>
        <v>Expansion</v>
      </c>
      <c r="Q688" t="str">
        <f t="shared" si="100"/>
        <v>Expansion</v>
      </c>
      <c r="R688">
        <f t="shared" si="94"/>
        <v>1</v>
      </c>
      <c r="S688">
        <f t="shared" si="95"/>
        <v>1</v>
      </c>
      <c r="T688">
        <f t="shared" si="96"/>
        <v>1</v>
      </c>
      <c r="U688">
        <f t="shared" si="97"/>
        <v>1</v>
      </c>
      <c r="V688" t="str" cm="1">
        <f t="array" ref="V688">_xlfn.IFS(
  AND(S688&gt;0,U688&gt;0),"Expansion",
  AND(S688&lt;0,U688&gt;0),"Slowdown",
  AND(S688&lt;0,U688&lt;0),"Contraction",
  AND(S688&gt;0,U688&lt;0),"Recovery",
  TRUE,"Undefined"
)</f>
        <v>Expansion</v>
      </c>
      <c r="W688">
        <f t="shared" si="98"/>
        <v>0</v>
      </c>
      <c r="X688">
        <f t="shared" si="99"/>
        <v>0</v>
      </c>
      <c r="Y688">
        <v>0</v>
      </c>
    </row>
    <row r="689" spans="1:25" x14ac:dyDescent="0.35">
      <c r="A689" s="1">
        <f>Data!A689</f>
        <v>38078</v>
      </c>
      <c r="B689" s="2">
        <f>IFERROR((Data!B689/Data!B688-1)*100,"")</f>
        <v>0.16034206306787535</v>
      </c>
      <c r="C689" s="2">
        <f>IFERROR((Data!C689/Data!C688-1)*100,"")</f>
        <v>0.37143804523573909</v>
      </c>
      <c r="D689">
        <f t="shared" si="92"/>
        <v>0.1915359100018573</v>
      </c>
      <c r="E689">
        <f t="shared" si="93"/>
        <v>0.19643232665453128</v>
      </c>
      <c r="P689" t="str" cm="1">
        <f t="array" ref="P689">_xlfn.IFS(
  AND(D689&gt;0,E689&gt;0),"Expansion",
  AND(D689&lt;0,E689&gt;0),"Slowdown",
  AND(D689&lt;0,E689&lt;0),"Contraction",
  AND(D689&gt;0,E689&lt;0),"Recovery",
  TRUE,"Undefined"
)</f>
        <v>Expansion</v>
      </c>
      <c r="Q689" t="str">
        <f t="shared" si="100"/>
        <v>Expansion</v>
      </c>
      <c r="R689">
        <f t="shared" si="94"/>
        <v>1</v>
      </c>
      <c r="S689">
        <f t="shared" si="95"/>
        <v>1</v>
      </c>
      <c r="T689">
        <f t="shared" si="96"/>
        <v>1</v>
      </c>
      <c r="U689">
        <f t="shared" si="97"/>
        <v>1</v>
      </c>
      <c r="V689" t="str" cm="1">
        <f t="array" ref="V689">_xlfn.IFS(
  AND(S689&gt;0,U689&gt;0),"Expansion",
  AND(S689&lt;0,U689&gt;0),"Slowdown",
  AND(S689&lt;0,U689&lt;0),"Contraction",
  AND(S689&gt;0,U689&lt;0),"Recovery",
  TRUE,"Undefined"
)</f>
        <v>Expansion</v>
      </c>
      <c r="W689">
        <f t="shared" si="98"/>
        <v>0</v>
      </c>
      <c r="X689">
        <f t="shared" si="99"/>
        <v>0</v>
      </c>
      <c r="Y689">
        <v>0</v>
      </c>
    </row>
    <row r="690" spans="1:25" x14ac:dyDescent="0.35">
      <c r="A690" s="1">
        <f>Data!A690</f>
        <v>38108</v>
      </c>
      <c r="B690" s="2">
        <f>IFERROR((Data!B690/Data!B689-1)*100,"")</f>
        <v>0.42689434364993062</v>
      </c>
      <c r="C690" s="2">
        <f>IFERROR((Data!C690/Data!C689-1)*100,"")</f>
        <v>0.72237167760678123</v>
      </c>
      <c r="D690">
        <f t="shared" si="92"/>
        <v>0.23124552384229022</v>
      </c>
      <c r="E690">
        <f t="shared" si="93"/>
        <v>0.26716128750975771</v>
      </c>
      <c r="P690" t="str" cm="1">
        <f t="array" ref="P690">_xlfn.IFS(
  AND(D690&gt;0,E690&gt;0),"Expansion",
  AND(D690&lt;0,E690&gt;0),"Slowdown",
  AND(D690&lt;0,E690&lt;0),"Contraction",
  AND(D690&gt;0,E690&lt;0),"Recovery",
  TRUE,"Undefined"
)</f>
        <v>Expansion</v>
      </c>
      <c r="Q690" t="str">
        <f t="shared" si="100"/>
        <v>Expansion</v>
      </c>
      <c r="R690">
        <f t="shared" si="94"/>
        <v>1</v>
      </c>
      <c r="S690">
        <f t="shared" si="95"/>
        <v>1</v>
      </c>
      <c r="T690">
        <f t="shared" si="96"/>
        <v>1</v>
      </c>
      <c r="U690">
        <f t="shared" si="97"/>
        <v>1</v>
      </c>
      <c r="V690" t="str" cm="1">
        <f t="array" ref="V690">_xlfn.IFS(
  AND(S690&gt;0,U690&gt;0),"Expansion",
  AND(S690&lt;0,U690&gt;0),"Slowdown",
  AND(S690&lt;0,U690&lt;0),"Contraction",
  AND(S690&gt;0,U690&lt;0),"Recovery",
  TRUE,"Undefined"
)</f>
        <v>Expansion</v>
      </c>
      <c r="W690">
        <f t="shared" si="98"/>
        <v>0</v>
      </c>
      <c r="X690">
        <f t="shared" si="99"/>
        <v>0</v>
      </c>
      <c r="Y690">
        <v>0</v>
      </c>
    </row>
    <row r="691" spans="1:25" x14ac:dyDescent="0.35">
      <c r="A691" s="1">
        <f>Data!A691</f>
        <v>38139</v>
      </c>
      <c r="B691" s="2">
        <f>IFERROR((Data!B691/Data!B690-1)*100,"")</f>
        <v>0.37194473963868546</v>
      </c>
      <c r="C691" s="2">
        <f>IFERROR((Data!C691/Data!C690-1)*100,"")</f>
        <v>-0.78022420628773848</v>
      </c>
      <c r="D691">
        <f t="shared" si="92"/>
        <v>0.10452850551826061</v>
      </c>
      <c r="E691">
        <f t="shared" si="93"/>
        <v>0.31972704878549713</v>
      </c>
      <c r="P691" t="str" cm="1">
        <f t="array" ref="P691">_xlfn.IFS(
  AND(D691&gt;0,E691&gt;0),"Expansion",
  AND(D691&lt;0,E691&gt;0),"Slowdown",
  AND(D691&lt;0,E691&lt;0),"Contraction",
  AND(D691&gt;0,E691&lt;0),"Recovery",
  TRUE,"Undefined"
)</f>
        <v>Expansion</v>
      </c>
      <c r="Q691" t="str">
        <f t="shared" si="100"/>
        <v>Expansion</v>
      </c>
      <c r="R691">
        <f t="shared" si="94"/>
        <v>1</v>
      </c>
      <c r="S691">
        <f t="shared" si="95"/>
        <v>1</v>
      </c>
      <c r="T691">
        <f t="shared" si="96"/>
        <v>1</v>
      </c>
      <c r="U691">
        <f t="shared" si="97"/>
        <v>1</v>
      </c>
      <c r="V691" t="str" cm="1">
        <f t="array" ref="V691">_xlfn.IFS(
  AND(S691&gt;0,U691&gt;0),"Expansion",
  AND(S691&lt;0,U691&gt;0),"Slowdown",
  AND(S691&lt;0,U691&lt;0),"Contraction",
  AND(S691&gt;0,U691&lt;0),"Recovery",
  TRUE,"Undefined"
)</f>
        <v>Expansion</v>
      </c>
      <c r="W691">
        <f t="shared" si="98"/>
        <v>0</v>
      </c>
      <c r="X691">
        <f t="shared" si="99"/>
        <v>0</v>
      </c>
      <c r="Y691">
        <v>0</v>
      </c>
    </row>
    <row r="692" spans="1:25" x14ac:dyDescent="0.35">
      <c r="A692" s="1">
        <f>Data!A692</f>
        <v>38169</v>
      </c>
      <c r="B692" s="2">
        <f>IFERROR((Data!B692/Data!B691-1)*100,"")</f>
        <v>0.10587612493382359</v>
      </c>
      <c r="C692" s="2">
        <f>IFERROR((Data!C692/Data!C691-1)*100,"")</f>
        <v>0.747165423006102</v>
      </c>
      <c r="D692">
        <f t="shared" si="92"/>
        <v>0.22977096477504824</v>
      </c>
      <c r="E692">
        <f t="shared" si="93"/>
        <v>0.30157173607414656</v>
      </c>
      <c r="P692" t="str" cm="1">
        <f t="array" ref="P692">_xlfn.IFS(
  AND(D692&gt;0,E692&gt;0),"Expansion",
  AND(D692&lt;0,E692&gt;0),"Slowdown",
  AND(D692&lt;0,E692&lt;0),"Contraction",
  AND(D692&gt;0,E692&lt;0),"Recovery",
  TRUE,"Undefined"
)</f>
        <v>Expansion</v>
      </c>
      <c r="Q692" t="str">
        <f t="shared" si="100"/>
        <v>Expansion</v>
      </c>
      <c r="R692">
        <f t="shared" si="94"/>
        <v>1</v>
      </c>
      <c r="S692">
        <f t="shared" si="95"/>
        <v>1</v>
      </c>
      <c r="T692">
        <f t="shared" si="96"/>
        <v>1</v>
      </c>
      <c r="U692">
        <f t="shared" si="97"/>
        <v>1</v>
      </c>
      <c r="V692" t="str" cm="1">
        <f t="array" ref="V692">_xlfn.IFS(
  AND(S692&gt;0,U692&gt;0),"Expansion",
  AND(S692&lt;0,U692&gt;0),"Slowdown",
  AND(S692&lt;0,U692&lt;0),"Contraction",
  AND(S692&gt;0,U692&lt;0),"Recovery",
  TRUE,"Undefined"
)</f>
        <v>Expansion</v>
      </c>
      <c r="W692">
        <f t="shared" si="98"/>
        <v>0</v>
      </c>
      <c r="X692">
        <f t="shared" si="99"/>
        <v>0</v>
      </c>
      <c r="Y692">
        <v>0</v>
      </c>
    </row>
    <row r="693" spans="1:25" x14ac:dyDescent="0.35">
      <c r="A693" s="1">
        <f>Data!A693</f>
        <v>38200</v>
      </c>
      <c r="B693" s="2">
        <f>IFERROR((Data!B693/Data!B692-1)*100,"")</f>
        <v>5.2882072977267214E-2</v>
      </c>
      <c r="C693" s="2">
        <f>IFERROR((Data!C693/Data!C692-1)*100,"")</f>
        <v>6.7119186789077467E-2</v>
      </c>
      <c r="D693">
        <f t="shared" si="92"/>
        <v>1.1353467835813666E-2</v>
      </c>
      <c r="E693">
        <f t="shared" si="93"/>
        <v>0.17690097918325876</v>
      </c>
      <c r="P693" t="str" cm="1">
        <f t="array" ref="P693">_xlfn.IFS(
  AND(D693&gt;0,E693&gt;0),"Expansion",
  AND(D693&lt;0,E693&gt;0),"Slowdown",
  AND(D693&lt;0,E693&lt;0),"Contraction",
  AND(D693&gt;0,E693&lt;0),"Recovery",
  TRUE,"Undefined"
)</f>
        <v>Expansion</v>
      </c>
      <c r="Q693" t="str">
        <f t="shared" si="100"/>
        <v>Expansion</v>
      </c>
      <c r="R693">
        <f t="shared" si="94"/>
        <v>1</v>
      </c>
      <c r="S693">
        <f t="shared" si="95"/>
        <v>1</v>
      </c>
      <c r="T693">
        <f t="shared" si="96"/>
        <v>1</v>
      </c>
      <c r="U693">
        <f t="shared" si="97"/>
        <v>1</v>
      </c>
      <c r="V693" t="str" cm="1">
        <f t="array" ref="V693">_xlfn.IFS(
  AND(S693&gt;0,U693&gt;0),"Expansion",
  AND(S693&lt;0,U693&gt;0),"Slowdown",
  AND(S693&lt;0,U693&lt;0),"Contraction",
  AND(S693&gt;0,U693&lt;0),"Recovery",
  TRUE,"Undefined"
)</f>
        <v>Expansion</v>
      </c>
      <c r="W693">
        <f t="shared" si="98"/>
        <v>0</v>
      </c>
      <c r="X693">
        <f t="shared" si="99"/>
        <v>0</v>
      </c>
      <c r="Y693">
        <v>0</v>
      </c>
    </row>
    <row r="694" spans="1:25" x14ac:dyDescent="0.35">
      <c r="A694" s="1">
        <f>Data!A694</f>
        <v>38231</v>
      </c>
      <c r="B694" s="2">
        <f>IFERROR((Data!B694/Data!B693-1)*100,"")</f>
        <v>0.31712473572940159</v>
      </c>
      <c r="C694" s="2">
        <f>IFERROR((Data!C694/Data!C693-1)*100,"")</f>
        <v>0.12709913839601406</v>
      </c>
      <c r="D694">
        <f t="shared" si="92"/>
        <v>0.31379458273039784</v>
      </c>
      <c r="E694">
        <f t="shared" si="93"/>
        <v>0.15862764454683079</v>
      </c>
      <c r="P694" t="str" cm="1">
        <f t="array" ref="P694">_xlfn.IFS(
  AND(D694&gt;0,E694&gt;0),"Expansion",
  AND(D694&lt;0,E694&gt;0),"Slowdown",
  AND(D694&lt;0,E694&lt;0),"Contraction",
  AND(D694&gt;0,E694&lt;0),"Recovery",
  TRUE,"Undefined"
)</f>
        <v>Expansion</v>
      </c>
      <c r="Q694" t="str">
        <f t="shared" si="100"/>
        <v>Expansion</v>
      </c>
      <c r="R694">
        <f t="shared" si="94"/>
        <v>1</v>
      </c>
      <c r="S694">
        <f t="shared" si="95"/>
        <v>1</v>
      </c>
      <c r="T694">
        <f t="shared" si="96"/>
        <v>1</v>
      </c>
      <c r="U694">
        <f t="shared" si="97"/>
        <v>1</v>
      </c>
      <c r="V694" t="str" cm="1">
        <f t="array" ref="V694">_xlfn.IFS(
  AND(S694&gt;0,U694&gt;0),"Expansion",
  AND(S694&lt;0,U694&gt;0),"Slowdown",
  AND(S694&lt;0,U694&lt;0),"Contraction",
  AND(S694&gt;0,U694&lt;0),"Recovery",
  TRUE,"Undefined"
)</f>
        <v>Expansion</v>
      </c>
      <c r="W694">
        <f t="shared" si="98"/>
        <v>0</v>
      </c>
      <c r="X694">
        <f t="shared" si="99"/>
        <v>0</v>
      </c>
      <c r="Y694">
        <v>0</v>
      </c>
    </row>
    <row r="695" spans="1:25" x14ac:dyDescent="0.35">
      <c r="A695" s="1">
        <f>Data!A695</f>
        <v>38261</v>
      </c>
      <c r="B695" s="2">
        <f>IFERROR((Data!B695/Data!B694-1)*100,"")</f>
        <v>0.52687038988408208</v>
      </c>
      <c r="C695" s="2">
        <f>IFERROR((Data!C695/Data!C694-1)*100,"")</f>
        <v>0.85315003088106689</v>
      </c>
      <c r="D695">
        <f t="shared" si="92"/>
        <v>0.34912278535538616</v>
      </c>
      <c r="E695">
        <f t="shared" si="93"/>
        <v>0.29895906619691698</v>
      </c>
      <c r="P695" t="str" cm="1">
        <f t="array" ref="P695">_xlfn.IFS(
  AND(D695&gt;0,E695&gt;0),"Expansion",
  AND(D695&lt;0,E695&gt;0),"Slowdown",
  AND(D695&lt;0,E695&lt;0),"Contraction",
  AND(D695&gt;0,E695&lt;0),"Recovery",
  TRUE,"Undefined"
)</f>
        <v>Expansion</v>
      </c>
      <c r="Q695" t="str">
        <f t="shared" si="100"/>
        <v>Expansion</v>
      </c>
      <c r="R695">
        <f t="shared" si="94"/>
        <v>1</v>
      </c>
      <c r="S695">
        <f t="shared" si="95"/>
        <v>1</v>
      </c>
      <c r="T695">
        <f t="shared" si="96"/>
        <v>1</v>
      </c>
      <c r="U695">
        <f t="shared" si="97"/>
        <v>1</v>
      </c>
      <c r="V695" t="str" cm="1">
        <f t="array" ref="V695">_xlfn.IFS(
  AND(S695&gt;0,U695&gt;0),"Expansion",
  AND(S695&lt;0,U695&gt;0),"Slowdown",
  AND(S695&lt;0,U695&lt;0),"Contraction",
  AND(S695&gt;0,U695&lt;0),"Recovery",
  TRUE,"Undefined"
)</f>
        <v>Expansion</v>
      </c>
      <c r="W695">
        <f t="shared" si="98"/>
        <v>0</v>
      </c>
      <c r="X695">
        <f t="shared" si="99"/>
        <v>0</v>
      </c>
      <c r="Y695">
        <v>0</v>
      </c>
    </row>
    <row r="696" spans="1:25" x14ac:dyDescent="0.35">
      <c r="A696" s="1">
        <f>Data!A696</f>
        <v>38292</v>
      </c>
      <c r="B696" s="2">
        <f>IFERROR((Data!B696/Data!B695-1)*100,"")</f>
        <v>0.47169811320753041</v>
      </c>
      <c r="C696" s="2">
        <f>IFERROR((Data!C696/Data!C695-1)*100,"")</f>
        <v>0.24834340774118058</v>
      </c>
      <c r="D696">
        <f t="shared" si="92"/>
        <v>0.40953085900608716</v>
      </c>
      <c r="E696">
        <f t="shared" si="93"/>
        <v>0.43856441294033804</v>
      </c>
      <c r="P696" t="str" cm="1">
        <f t="array" ref="P696">_xlfn.IFS(
  AND(D696&gt;0,E696&gt;0),"Expansion",
  AND(D696&lt;0,E696&gt;0),"Slowdown",
  AND(D696&lt;0,E696&lt;0),"Contraction",
  AND(D696&gt;0,E696&lt;0),"Recovery",
  TRUE,"Undefined"
)</f>
        <v>Expansion</v>
      </c>
      <c r="Q696" t="str">
        <f t="shared" si="100"/>
        <v>Expansion</v>
      </c>
      <c r="R696">
        <f t="shared" si="94"/>
        <v>1</v>
      </c>
      <c r="S696">
        <f t="shared" si="95"/>
        <v>1</v>
      </c>
      <c r="T696">
        <f t="shared" si="96"/>
        <v>1</v>
      </c>
      <c r="U696">
        <f t="shared" si="97"/>
        <v>1</v>
      </c>
      <c r="V696" t="str" cm="1">
        <f t="array" ref="V696">_xlfn.IFS(
  AND(S696&gt;0,U696&gt;0),"Expansion",
  AND(S696&lt;0,U696&gt;0),"Slowdown",
  AND(S696&lt;0,U696&lt;0),"Contraction",
  AND(S696&gt;0,U696&lt;0),"Recovery",
  TRUE,"Undefined"
)</f>
        <v>Expansion</v>
      </c>
      <c r="W696">
        <f t="shared" si="98"/>
        <v>0</v>
      </c>
      <c r="X696">
        <f t="shared" si="99"/>
        <v>0</v>
      </c>
      <c r="Y696">
        <v>0</v>
      </c>
    </row>
    <row r="697" spans="1:25" x14ac:dyDescent="0.35">
      <c r="A697" s="1">
        <f>Data!A697</f>
        <v>38322</v>
      </c>
      <c r="B697" s="2">
        <f>IFERROR((Data!B697/Data!B696-1)*100,"")</f>
        <v>0</v>
      </c>
      <c r="C697" s="2">
        <f>IFERROR((Data!C697/Data!C696-1)*100,"")</f>
        <v>0.7967816436364572</v>
      </c>
      <c r="D697">
        <f t="shared" si="92"/>
        <v>0.63275836075290159</v>
      </c>
      <c r="E697">
        <f t="shared" si="93"/>
        <v>0.33285616769720416</v>
      </c>
      <c r="P697" t="str" cm="1">
        <f t="array" ref="P697">_xlfn.IFS(
  AND(D697&gt;0,E697&gt;0),"Expansion",
  AND(D697&lt;0,E697&gt;0),"Slowdown",
  AND(D697&lt;0,E697&lt;0),"Contraction",
  AND(D697&gt;0,E697&lt;0),"Recovery",
  TRUE,"Undefined"
)</f>
        <v>Expansion</v>
      </c>
      <c r="Q697" t="str">
        <f t="shared" si="100"/>
        <v>Expansion</v>
      </c>
      <c r="R697">
        <f t="shared" si="94"/>
        <v>1</v>
      </c>
      <c r="S697">
        <f t="shared" si="95"/>
        <v>1</v>
      </c>
      <c r="T697">
        <f t="shared" si="96"/>
        <v>1</v>
      </c>
      <c r="U697">
        <f t="shared" si="97"/>
        <v>1</v>
      </c>
      <c r="V697" t="str" cm="1">
        <f t="array" ref="V697">_xlfn.IFS(
  AND(S697&gt;0,U697&gt;0),"Expansion",
  AND(S697&lt;0,U697&gt;0),"Slowdown",
  AND(S697&lt;0,U697&lt;0),"Contraction",
  AND(S697&gt;0,U697&lt;0),"Recovery",
  TRUE,"Undefined"
)</f>
        <v>Expansion</v>
      </c>
      <c r="W697">
        <f t="shared" si="98"/>
        <v>0</v>
      </c>
      <c r="X697">
        <f t="shared" si="99"/>
        <v>0</v>
      </c>
      <c r="Y697">
        <v>0</v>
      </c>
    </row>
    <row r="698" spans="1:25" x14ac:dyDescent="0.35">
      <c r="A698" s="1">
        <f>Data!A698</f>
        <v>38353</v>
      </c>
      <c r="B698" s="2">
        <f>IFERROR((Data!B698/Data!B697-1)*100,"")</f>
        <v>-5.2164840897228615E-2</v>
      </c>
      <c r="C698" s="2">
        <f>IFERROR((Data!C698/Data!C697-1)*100,"")</f>
        <v>0.3596531168715611</v>
      </c>
      <c r="D698">
        <f t="shared" si="92"/>
        <v>0.46825938941639961</v>
      </c>
      <c r="E698">
        <f t="shared" si="93"/>
        <v>0.13984442410343392</v>
      </c>
      <c r="P698" t="str" cm="1">
        <f t="array" ref="P698">_xlfn.IFS(
  AND(D698&gt;0,E698&gt;0),"Expansion",
  AND(D698&lt;0,E698&gt;0),"Slowdown",
  AND(D698&lt;0,E698&lt;0),"Contraction",
  AND(D698&gt;0,E698&lt;0),"Recovery",
  TRUE,"Undefined"
)</f>
        <v>Expansion</v>
      </c>
      <c r="Q698" t="str">
        <f t="shared" si="100"/>
        <v>Expansion</v>
      </c>
      <c r="R698">
        <f t="shared" si="94"/>
        <v>1</v>
      </c>
      <c r="S698">
        <f t="shared" si="95"/>
        <v>1</v>
      </c>
      <c r="T698">
        <f t="shared" si="96"/>
        <v>1</v>
      </c>
      <c r="U698">
        <f t="shared" si="97"/>
        <v>1</v>
      </c>
      <c r="V698" t="str" cm="1">
        <f t="array" ref="V698">_xlfn.IFS(
  AND(S698&gt;0,U698&gt;0),"Expansion",
  AND(S698&lt;0,U698&gt;0),"Slowdown",
  AND(S698&lt;0,U698&lt;0),"Contraction",
  AND(S698&gt;0,U698&lt;0),"Recovery",
  TRUE,"Undefined"
)</f>
        <v>Expansion</v>
      </c>
      <c r="W698">
        <f t="shared" si="98"/>
        <v>0</v>
      </c>
      <c r="X698">
        <f t="shared" si="99"/>
        <v>0</v>
      </c>
      <c r="Y698">
        <v>0</v>
      </c>
    </row>
    <row r="699" spans="1:25" x14ac:dyDescent="0.35">
      <c r="A699" s="1">
        <f>Data!A699</f>
        <v>38384</v>
      </c>
      <c r="B699" s="2">
        <f>IFERROR((Data!B699/Data!B698-1)*100,"")</f>
        <v>0.41753653444676075</v>
      </c>
      <c r="C699" s="2">
        <f>IFERROR((Data!C699/Data!C698-1)*100,"")</f>
        <v>0.7259066271311676</v>
      </c>
      <c r="D699">
        <f t="shared" si="92"/>
        <v>0.627447129213062</v>
      </c>
      <c r="E699">
        <f t="shared" si="93"/>
        <v>0.12179056451651071</v>
      </c>
      <c r="P699" t="str" cm="1">
        <f t="array" ref="P699">_xlfn.IFS(
  AND(D699&gt;0,E699&gt;0),"Expansion",
  AND(D699&lt;0,E699&gt;0),"Slowdown",
  AND(D699&lt;0,E699&lt;0),"Contraction",
  AND(D699&gt;0,E699&lt;0),"Recovery",
  TRUE,"Undefined"
)</f>
        <v>Expansion</v>
      </c>
      <c r="Q699" t="str">
        <f t="shared" si="100"/>
        <v>Expansion</v>
      </c>
      <c r="R699">
        <f t="shared" si="94"/>
        <v>1</v>
      </c>
      <c r="S699">
        <f t="shared" si="95"/>
        <v>1</v>
      </c>
      <c r="T699">
        <f t="shared" si="96"/>
        <v>1</v>
      </c>
      <c r="U699">
        <f t="shared" si="97"/>
        <v>1</v>
      </c>
      <c r="V699" t="str" cm="1">
        <f t="array" ref="V699">_xlfn.IFS(
  AND(S699&gt;0,U699&gt;0),"Expansion",
  AND(S699&lt;0,U699&gt;0),"Slowdown",
  AND(S699&lt;0,U699&lt;0),"Contraction",
  AND(S699&gt;0,U699&lt;0),"Recovery",
  TRUE,"Undefined"
)</f>
        <v>Expansion</v>
      </c>
      <c r="W699">
        <f t="shared" si="98"/>
        <v>0</v>
      </c>
      <c r="X699">
        <f t="shared" si="99"/>
        <v>0</v>
      </c>
      <c r="Y699">
        <v>0</v>
      </c>
    </row>
    <row r="700" spans="1:25" x14ac:dyDescent="0.35">
      <c r="A700" s="1">
        <f>Data!A700</f>
        <v>38412</v>
      </c>
      <c r="B700" s="2">
        <f>IFERROR((Data!B700/Data!B699-1)*100,"")</f>
        <v>0.36382536382535413</v>
      </c>
      <c r="C700" s="2">
        <f>IFERROR((Data!C700/Data!C699-1)*100,"")</f>
        <v>-0.1351265996452522</v>
      </c>
      <c r="D700">
        <f t="shared" si="92"/>
        <v>0.31681104811915883</v>
      </c>
      <c r="E700">
        <f t="shared" si="93"/>
        <v>0.24306568579162877</v>
      </c>
      <c r="P700" t="str" cm="1">
        <f t="array" ref="P700">_xlfn.IFS(
  AND(D700&gt;0,E700&gt;0),"Expansion",
  AND(D700&lt;0,E700&gt;0),"Slowdown",
  AND(D700&lt;0,E700&lt;0),"Contraction",
  AND(D700&gt;0,E700&lt;0),"Recovery",
  TRUE,"Undefined"
)</f>
        <v>Expansion</v>
      </c>
      <c r="Q700" t="str">
        <f t="shared" si="100"/>
        <v>Expansion</v>
      </c>
      <c r="R700">
        <f t="shared" si="94"/>
        <v>1</v>
      </c>
      <c r="S700">
        <f t="shared" si="95"/>
        <v>1</v>
      </c>
      <c r="T700">
        <f t="shared" si="96"/>
        <v>1</v>
      </c>
      <c r="U700">
        <f t="shared" si="97"/>
        <v>1</v>
      </c>
      <c r="V700" t="str" cm="1">
        <f t="array" ref="V700">_xlfn.IFS(
  AND(S700&gt;0,U700&gt;0),"Expansion",
  AND(S700&lt;0,U700&gt;0),"Slowdown",
  AND(S700&lt;0,U700&lt;0),"Contraction",
  AND(S700&gt;0,U700&lt;0),"Recovery",
  TRUE,"Undefined"
)</f>
        <v>Expansion</v>
      </c>
      <c r="W700">
        <f t="shared" si="98"/>
        <v>0</v>
      </c>
      <c r="X700">
        <f t="shared" si="99"/>
        <v>0</v>
      </c>
      <c r="Y700">
        <v>0</v>
      </c>
    </row>
    <row r="701" spans="1:25" x14ac:dyDescent="0.35">
      <c r="A701" s="1">
        <f>Data!A701</f>
        <v>38443</v>
      </c>
      <c r="B701" s="2">
        <f>IFERROR((Data!B701/Data!B700-1)*100,"")</f>
        <v>0.31071983428274663</v>
      </c>
      <c r="C701" s="2">
        <f>IFERROR((Data!C701/Data!C700-1)*100,"")</f>
        <v>0.21525087717841895</v>
      </c>
      <c r="D701">
        <f t="shared" si="92"/>
        <v>0.26867696822144477</v>
      </c>
      <c r="E701">
        <f t="shared" si="93"/>
        <v>0.36402724418495386</v>
      </c>
      <c r="P701" t="str" cm="1">
        <f t="array" ref="P701">_xlfn.IFS(
  AND(D701&gt;0,E701&gt;0),"Expansion",
  AND(D701&lt;0,E701&gt;0),"Slowdown",
  AND(D701&lt;0,E701&lt;0),"Contraction",
  AND(D701&gt;0,E701&lt;0),"Recovery",
  TRUE,"Undefined"
)</f>
        <v>Expansion</v>
      </c>
      <c r="Q701" t="str">
        <f t="shared" si="100"/>
        <v>Expansion</v>
      </c>
      <c r="R701">
        <f t="shared" si="94"/>
        <v>1</v>
      </c>
      <c r="S701">
        <f t="shared" si="95"/>
        <v>1</v>
      </c>
      <c r="T701">
        <f t="shared" si="96"/>
        <v>1</v>
      </c>
      <c r="U701">
        <f t="shared" si="97"/>
        <v>1</v>
      </c>
      <c r="V701" t="str" cm="1">
        <f t="array" ref="V701">_xlfn.IFS(
  AND(S701&gt;0,U701&gt;0),"Expansion",
  AND(S701&lt;0,U701&gt;0),"Slowdown",
  AND(S701&lt;0,U701&lt;0),"Contraction",
  AND(S701&gt;0,U701&lt;0),"Recovery",
  TRUE,"Undefined"
)</f>
        <v>Expansion</v>
      </c>
      <c r="W701">
        <f t="shared" si="98"/>
        <v>0</v>
      </c>
      <c r="X701">
        <f t="shared" si="99"/>
        <v>0</v>
      </c>
      <c r="Y701">
        <v>0</v>
      </c>
    </row>
    <row r="702" spans="1:25" x14ac:dyDescent="0.35">
      <c r="A702" s="1">
        <f>Data!A702</f>
        <v>38473</v>
      </c>
      <c r="B702" s="2">
        <f>IFERROR((Data!B702/Data!B701-1)*100,"")</f>
        <v>-5.162622612286949E-2</v>
      </c>
      <c r="C702" s="2">
        <f>IFERROR((Data!C702/Data!C701-1)*100,"")</f>
        <v>9.0012539677952752E-2</v>
      </c>
      <c r="D702">
        <f t="shared" si="92"/>
        <v>5.67122724037065E-2</v>
      </c>
      <c r="E702">
        <f t="shared" si="93"/>
        <v>0.20763965732841042</v>
      </c>
      <c r="P702" t="str" cm="1">
        <f t="array" ref="P702">_xlfn.IFS(
  AND(D702&gt;0,E702&gt;0),"Expansion",
  AND(D702&lt;0,E702&gt;0),"Slowdown",
  AND(D702&lt;0,E702&lt;0),"Contraction",
  AND(D702&gt;0,E702&lt;0),"Recovery",
  TRUE,"Undefined"
)</f>
        <v>Expansion</v>
      </c>
      <c r="Q702" t="str">
        <f t="shared" si="100"/>
        <v>Expansion</v>
      </c>
      <c r="R702">
        <f t="shared" si="94"/>
        <v>1</v>
      </c>
      <c r="S702">
        <f t="shared" si="95"/>
        <v>1</v>
      </c>
      <c r="T702">
        <f t="shared" si="96"/>
        <v>1</v>
      </c>
      <c r="U702">
        <f t="shared" si="97"/>
        <v>1</v>
      </c>
      <c r="V702" t="str" cm="1">
        <f t="array" ref="V702">_xlfn.IFS(
  AND(S702&gt;0,U702&gt;0),"Expansion",
  AND(S702&lt;0,U702&gt;0),"Slowdown",
  AND(S702&lt;0,U702&lt;0),"Contraction",
  AND(S702&gt;0,U702&lt;0),"Recovery",
  TRUE,"Undefined"
)</f>
        <v>Expansion</v>
      </c>
      <c r="W702">
        <f t="shared" si="98"/>
        <v>0</v>
      </c>
      <c r="X702">
        <f t="shared" si="99"/>
        <v>0</v>
      </c>
      <c r="Y702">
        <v>0</v>
      </c>
    </row>
    <row r="703" spans="1:25" x14ac:dyDescent="0.35">
      <c r="A703" s="1">
        <f>Data!A703</f>
        <v>38504</v>
      </c>
      <c r="B703" s="2">
        <f>IFERROR((Data!B703/Data!B702-1)*100,"")</f>
        <v>5.1652892561970809E-2</v>
      </c>
      <c r="C703" s="2">
        <f>IFERROR((Data!C703/Data!C702-1)*100,"")</f>
        <v>0.44976131949281406</v>
      </c>
      <c r="D703">
        <f t="shared" si="92"/>
        <v>0.25167491211639526</v>
      </c>
      <c r="E703">
        <f t="shared" si="93"/>
        <v>0.10358216690728266</v>
      </c>
      <c r="P703" t="str" cm="1">
        <f t="array" ref="P703">_xlfn.IFS(
  AND(D703&gt;0,E703&gt;0),"Expansion",
  AND(D703&lt;0,E703&gt;0),"Slowdown",
  AND(D703&lt;0,E703&lt;0),"Contraction",
  AND(D703&gt;0,E703&lt;0),"Recovery",
  TRUE,"Undefined"
)</f>
        <v>Expansion</v>
      </c>
      <c r="Q703" t="str">
        <f t="shared" si="100"/>
        <v>Expansion</v>
      </c>
      <c r="R703">
        <f t="shared" si="94"/>
        <v>1</v>
      </c>
      <c r="S703">
        <f t="shared" si="95"/>
        <v>1</v>
      </c>
      <c r="T703">
        <f t="shared" si="96"/>
        <v>1</v>
      </c>
      <c r="U703">
        <f t="shared" si="97"/>
        <v>1</v>
      </c>
      <c r="V703" t="str" cm="1">
        <f t="array" ref="V703">_xlfn.IFS(
  AND(S703&gt;0,U703&gt;0),"Expansion",
  AND(S703&lt;0,U703&gt;0),"Slowdown",
  AND(S703&lt;0,U703&lt;0),"Contraction",
  AND(S703&gt;0,U703&lt;0),"Recovery",
  TRUE,"Undefined"
)</f>
        <v>Expansion</v>
      </c>
      <c r="W703">
        <f t="shared" si="98"/>
        <v>0</v>
      </c>
      <c r="X703">
        <f t="shared" si="99"/>
        <v>0</v>
      </c>
      <c r="Y703">
        <v>0</v>
      </c>
    </row>
    <row r="704" spans="1:25" x14ac:dyDescent="0.35">
      <c r="A704" s="1">
        <f>Data!A704</f>
        <v>38534</v>
      </c>
      <c r="B704" s="2">
        <f>IFERROR((Data!B704/Data!B703-1)*100,"")</f>
        <v>0.61951471347445608</v>
      </c>
      <c r="C704" s="2">
        <f>IFERROR((Data!C704/Data!C703-1)*100,"")</f>
        <v>-0.31664425013351316</v>
      </c>
      <c r="D704">
        <f t="shared" si="92"/>
        <v>7.4376536345751212E-2</v>
      </c>
      <c r="E704">
        <f t="shared" si="93"/>
        <v>0.20651379330451913</v>
      </c>
      <c r="P704" t="str" cm="1">
        <f t="array" ref="P704">_xlfn.IFS(
  AND(D704&gt;0,E704&gt;0),"Expansion",
  AND(D704&lt;0,E704&gt;0),"Slowdown",
  AND(D704&lt;0,E704&lt;0),"Contraction",
  AND(D704&gt;0,E704&lt;0),"Recovery",
  TRUE,"Undefined"
)</f>
        <v>Expansion</v>
      </c>
      <c r="Q704" t="str">
        <f t="shared" si="100"/>
        <v>Expansion</v>
      </c>
      <c r="R704">
        <f t="shared" si="94"/>
        <v>1</v>
      </c>
      <c r="S704">
        <f t="shared" si="95"/>
        <v>1</v>
      </c>
      <c r="T704">
        <f t="shared" si="96"/>
        <v>1</v>
      </c>
      <c r="U704">
        <f t="shared" si="97"/>
        <v>1</v>
      </c>
      <c r="V704" t="str" cm="1">
        <f t="array" ref="V704">_xlfn.IFS(
  AND(S704&gt;0,U704&gt;0),"Expansion",
  AND(S704&lt;0,U704&gt;0),"Slowdown",
  AND(S704&lt;0,U704&lt;0),"Contraction",
  AND(S704&gt;0,U704&lt;0),"Recovery",
  TRUE,"Undefined"
)</f>
        <v>Expansion</v>
      </c>
      <c r="W704">
        <f t="shared" si="98"/>
        <v>0</v>
      </c>
      <c r="X704">
        <f t="shared" si="99"/>
        <v>0</v>
      </c>
      <c r="Y704">
        <v>0</v>
      </c>
    </row>
    <row r="705" spans="1:25" x14ac:dyDescent="0.35">
      <c r="A705" s="1">
        <f>Data!A705</f>
        <v>38565</v>
      </c>
      <c r="B705" s="2">
        <f>IFERROR((Data!B705/Data!B704-1)*100,"")</f>
        <v>0.61570035915854415</v>
      </c>
      <c r="C705" s="2">
        <f>IFERROR((Data!C705/Data!C704-1)*100,"")</f>
        <v>0.32590876619220666</v>
      </c>
      <c r="D705">
        <f t="shared" si="92"/>
        <v>0.15300861185050252</v>
      </c>
      <c r="E705">
        <f t="shared" si="93"/>
        <v>0.42895598839832366</v>
      </c>
      <c r="P705" t="str" cm="1">
        <f t="array" ref="P705">_xlfn.IFS(
  AND(D705&gt;0,E705&gt;0),"Expansion",
  AND(D705&lt;0,E705&gt;0),"Slowdown",
  AND(D705&lt;0,E705&lt;0),"Contraction",
  AND(D705&gt;0,E705&lt;0),"Recovery",
  TRUE,"Undefined"
)</f>
        <v>Expansion</v>
      </c>
      <c r="Q705" t="str">
        <f t="shared" si="100"/>
        <v>Expansion</v>
      </c>
      <c r="R705">
        <f t="shared" si="94"/>
        <v>1</v>
      </c>
      <c r="S705">
        <f t="shared" si="95"/>
        <v>1</v>
      </c>
      <c r="T705">
        <f t="shared" si="96"/>
        <v>1</v>
      </c>
      <c r="U705">
        <f t="shared" si="97"/>
        <v>1</v>
      </c>
      <c r="V705" t="str" cm="1">
        <f t="array" ref="V705">_xlfn.IFS(
  AND(S705&gt;0,U705&gt;0),"Expansion",
  AND(S705&lt;0,U705&gt;0),"Slowdown",
  AND(S705&lt;0,U705&lt;0),"Contraction",
  AND(S705&gt;0,U705&lt;0),"Recovery",
  TRUE,"Undefined"
)</f>
        <v>Expansion</v>
      </c>
      <c r="W705">
        <f t="shared" si="98"/>
        <v>0</v>
      </c>
      <c r="X705">
        <f t="shared" si="99"/>
        <v>0</v>
      </c>
      <c r="Y705">
        <v>0</v>
      </c>
    </row>
    <row r="706" spans="1:25" x14ac:dyDescent="0.35">
      <c r="A706" s="1">
        <f>Data!A706</f>
        <v>38596</v>
      </c>
      <c r="B706" s="2">
        <f>IFERROR((Data!B706/Data!B705-1)*100,"")</f>
        <v>1.3768485466598701</v>
      </c>
      <c r="C706" s="2">
        <f>IFERROR((Data!C706/Data!C705-1)*100,"")</f>
        <v>-1.9373698979145648</v>
      </c>
      <c r="D706">
        <f t="shared" si="92"/>
        <v>-0.64270179395195715</v>
      </c>
      <c r="E706">
        <f t="shared" si="93"/>
        <v>0.87068787309762341</v>
      </c>
      <c r="P706" t="str" cm="1">
        <f t="array" ref="P706">_xlfn.IFS(
  AND(D706&gt;0,E706&gt;0),"Expansion",
  AND(D706&lt;0,E706&gt;0),"Slowdown",
  AND(D706&lt;0,E706&lt;0),"Contraction",
  AND(D706&gt;0,E706&lt;0),"Recovery",
  TRUE,"Undefined"
)</f>
        <v>Slowdown</v>
      </c>
      <c r="Q706" t="str">
        <f t="shared" si="100"/>
        <v>Expansion</v>
      </c>
      <c r="R706">
        <f t="shared" si="94"/>
        <v>-1</v>
      </c>
      <c r="S706">
        <f t="shared" si="95"/>
        <v>-1</v>
      </c>
      <c r="T706">
        <f t="shared" si="96"/>
        <v>1</v>
      </c>
      <c r="U706">
        <f t="shared" si="97"/>
        <v>1</v>
      </c>
      <c r="V706" t="str" cm="1">
        <f t="array" ref="V706">_xlfn.IFS(
  AND(S706&gt;0,U706&gt;0),"Expansion",
  AND(S706&lt;0,U706&gt;0),"Slowdown",
  AND(S706&lt;0,U706&lt;0),"Contraction",
  AND(S706&gt;0,U706&lt;0),"Recovery",
  TRUE,"Undefined"
)</f>
        <v>Slowdown</v>
      </c>
      <c r="W706">
        <f t="shared" si="98"/>
        <v>0</v>
      </c>
      <c r="X706">
        <f t="shared" si="99"/>
        <v>0</v>
      </c>
      <c r="Y706">
        <v>0</v>
      </c>
    </row>
    <row r="707" spans="1:25" x14ac:dyDescent="0.35">
      <c r="A707" s="1">
        <f>Data!A707</f>
        <v>38626</v>
      </c>
      <c r="B707" s="2">
        <f>IFERROR((Data!B707/Data!B706-1)*100,"")</f>
        <v>0.15090543259557165</v>
      </c>
      <c r="C707" s="2">
        <f>IFERROR((Data!C707/Data!C706-1)*100,"")</f>
        <v>1.2137396970635095</v>
      </c>
      <c r="D707">
        <f t="shared" si="92"/>
        <v>-0.13257381155294956</v>
      </c>
      <c r="E707">
        <f t="shared" si="93"/>
        <v>0.7144847794713286</v>
      </c>
      <c r="P707" t="str" cm="1">
        <f t="array" ref="P707">_xlfn.IFS(
  AND(D707&gt;0,E707&gt;0),"Expansion",
  AND(D707&lt;0,E707&gt;0),"Slowdown",
  AND(D707&lt;0,E707&lt;0),"Contraction",
  AND(D707&gt;0,E707&lt;0),"Recovery",
  TRUE,"Undefined"
)</f>
        <v>Slowdown</v>
      </c>
      <c r="Q707" t="str">
        <f t="shared" si="100"/>
        <v>Expansion</v>
      </c>
      <c r="R707">
        <f t="shared" si="94"/>
        <v>1</v>
      </c>
      <c r="S707">
        <f t="shared" si="95"/>
        <v>1</v>
      </c>
      <c r="T707">
        <f t="shared" si="96"/>
        <v>1</v>
      </c>
      <c r="U707">
        <f t="shared" si="97"/>
        <v>1</v>
      </c>
      <c r="V707" t="str" cm="1">
        <f t="array" ref="V707">_xlfn.IFS(
  AND(S707&gt;0,U707&gt;0),"Expansion",
  AND(S707&lt;0,U707&gt;0),"Slowdown",
  AND(S707&lt;0,U707&lt;0),"Contraction",
  AND(S707&gt;0,U707&lt;0),"Recovery",
  TRUE,"Undefined"
)</f>
        <v>Expansion</v>
      </c>
      <c r="W707">
        <f t="shared" si="98"/>
        <v>0</v>
      </c>
      <c r="X707">
        <f t="shared" si="99"/>
        <v>0</v>
      </c>
      <c r="Y707">
        <v>0</v>
      </c>
    </row>
    <row r="708" spans="1:25" x14ac:dyDescent="0.35">
      <c r="A708" s="1">
        <f>Data!A708</f>
        <v>38657</v>
      </c>
      <c r="B708" s="2">
        <f>IFERROR((Data!B708/Data!B707-1)*100,"")</f>
        <v>-0.50226017076845375</v>
      </c>
      <c r="C708" s="2">
        <f>IFERROR((Data!C708/Data!C707-1)*100,"")</f>
        <v>1.1240218459586115</v>
      </c>
      <c r="D708">
        <f t="shared" si="92"/>
        <v>0.13346388170251874</v>
      </c>
      <c r="E708">
        <f t="shared" si="93"/>
        <v>0.34183126949566267</v>
      </c>
      <c r="P708" t="str" cm="1">
        <f t="array" ref="P708">_xlfn.IFS(
  AND(D708&gt;0,E708&gt;0),"Expansion",
  AND(D708&lt;0,E708&gt;0),"Slowdown",
  AND(D708&lt;0,E708&lt;0),"Contraction",
  AND(D708&gt;0,E708&lt;0),"Recovery",
  TRUE,"Undefined"
)</f>
        <v>Expansion</v>
      </c>
      <c r="Q708" t="str">
        <f t="shared" si="100"/>
        <v>Expansion</v>
      </c>
      <c r="R708">
        <f t="shared" si="94"/>
        <v>1</v>
      </c>
      <c r="S708">
        <f t="shared" si="95"/>
        <v>1</v>
      </c>
      <c r="T708">
        <f t="shared" si="96"/>
        <v>1</v>
      </c>
      <c r="U708">
        <f t="shared" si="97"/>
        <v>1</v>
      </c>
      <c r="V708" t="str" cm="1">
        <f t="array" ref="V708">_xlfn.IFS(
  AND(S708&gt;0,U708&gt;0),"Expansion",
  AND(S708&lt;0,U708&gt;0),"Slowdown",
  AND(S708&lt;0,U708&lt;0),"Contraction",
  AND(S708&gt;0,U708&lt;0),"Recovery",
  TRUE,"Undefined"
)</f>
        <v>Expansion</v>
      </c>
      <c r="W708">
        <f t="shared" si="98"/>
        <v>0</v>
      </c>
      <c r="X708">
        <f t="shared" si="99"/>
        <v>0</v>
      </c>
      <c r="Y708">
        <v>0</v>
      </c>
    </row>
    <row r="709" spans="1:25" x14ac:dyDescent="0.35">
      <c r="A709" s="1">
        <f>Data!A709</f>
        <v>38687</v>
      </c>
      <c r="B709" s="2">
        <f>IFERROR((Data!B709/Data!B708-1)*100,"")</f>
        <v>0</v>
      </c>
      <c r="C709" s="2">
        <f>IFERROR((Data!C709/Data!C708-1)*100,"")</f>
        <v>0.51649863545120134</v>
      </c>
      <c r="D709">
        <f t="shared" ref="D709:D772" si="101">SUM(C707:C709)/3</f>
        <v>0.95142005949110742</v>
      </c>
      <c r="E709">
        <f t="shared" ref="E709:E772" si="102">SUM(B707:B709)/3</f>
        <v>-0.11711824605762737</v>
      </c>
      <c r="P709" t="str" cm="1">
        <f t="array" ref="P709">_xlfn.IFS(
  AND(D709&gt;0,E709&gt;0),"Expansion",
  AND(D709&lt;0,E709&gt;0),"Slowdown",
  AND(D709&lt;0,E709&lt;0),"Contraction",
  AND(D709&gt;0,E709&lt;0),"Recovery",
  TRUE,"Undefined"
)</f>
        <v>Recovery</v>
      </c>
      <c r="Q709" t="str">
        <f t="shared" si="100"/>
        <v>Expansion</v>
      </c>
      <c r="R709">
        <f t="shared" si="94"/>
        <v>1</v>
      </c>
      <c r="S709">
        <f t="shared" si="95"/>
        <v>1</v>
      </c>
      <c r="T709">
        <f t="shared" si="96"/>
        <v>-1</v>
      </c>
      <c r="U709">
        <f t="shared" si="97"/>
        <v>-1</v>
      </c>
      <c r="V709" t="str" cm="1">
        <f t="array" ref="V709">_xlfn.IFS(
  AND(S709&gt;0,U709&gt;0),"Expansion",
  AND(S709&lt;0,U709&gt;0),"Slowdown",
  AND(S709&lt;0,U709&lt;0),"Contraction",
  AND(S709&gt;0,U709&lt;0),"Recovery",
  TRUE,"Undefined"
)</f>
        <v>Recovery</v>
      </c>
      <c r="W709">
        <f t="shared" si="98"/>
        <v>0</v>
      </c>
      <c r="X709">
        <f t="shared" si="99"/>
        <v>0</v>
      </c>
      <c r="Y709">
        <v>0</v>
      </c>
    </row>
    <row r="710" spans="1:25" x14ac:dyDescent="0.35">
      <c r="A710" s="1">
        <f>Data!A710</f>
        <v>38718</v>
      </c>
      <c r="B710" s="2">
        <f>IFERROR((Data!B710/Data!B709-1)*100,"")</f>
        <v>0.60575466935892663</v>
      </c>
      <c r="C710" s="2">
        <f>IFERROR((Data!C710/Data!C709-1)*100,"")</f>
        <v>0.15778436884212876</v>
      </c>
      <c r="D710">
        <f t="shared" si="101"/>
        <v>0.59943495008398051</v>
      </c>
      <c r="E710">
        <f t="shared" si="102"/>
        <v>3.4498166196824297E-2</v>
      </c>
      <c r="P710" t="str" cm="1">
        <f t="array" ref="P710">_xlfn.IFS(
  AND(D710&gt;0,E710&gt;0),"Expansion",
  AND(D710&lt;0,E710&gt;0),"Slowdown",
  AND(D710&lt;0,E710&lt;0),"Contraction",
  AND(D710&gt;0,E710&lt;0),"Recovery",
  TRUE,"Undefined"
)</f>
        <v>Expansion</v>
      </c>
      <c r="Q710" t="str">
        <f t="shared" si="100"/>
        <v>Expansion</v>
      </c>
      <c r="R710">
        <f t="shared" ref="R710:R773" si="103">IF(D710&gt;-0.26, 1, -1)</f>
        <v>1</v>
      </c>
      <c r="S710">
        <f t="shared" ref="S710:S773" si="104">IF(R710=1, IF(D710 &lt; -$L$5, -1, 1), IF(D710 &gt; $L$5, 1, -1))</f>
        <v>1</v>
      </c>
      <c r="T710">
        <f t="shared" ref="T710:T773" si="105">IF(E710&gt;0, 1, -1)</f>
        <v>1</v>
      </c>
      <c r="U710">
        <f t="shared" ref="U710:U773" si="106">IF(T710=1, IF(E710 &lt; -$M$5, -1, 1), IF(E710 &gt; $M$5, 1, -1))</f>
        <v>1</v>
      </c>
      <c r="V710" t="str" cm="1">
        <f t="array" ref="V710">_xlfn.IFS(
  AND(S710&gt;0,U710&gt;0),"Expansion",
  AND(S710&lt;0,U710&gt;0),"Slowdown",
  AND(S710&lt;0,U710&lt;0),"Contraction",
  AND(S710&gt;0,U710&lt;0),"Recovery",
  TRUE,"Undefined"
)</f>
        <v>Expansion</v>
      </c>
      <c r="W710">
        <f t="shared" ref="W710:W773" si="107">IF(Q710="Contraction", 1, 0)</f>
        <v>0</v>
      </c>
      <c r="X710">
        <f t="shared" ref="X710:X773" si="108">IF(V710="Contraction", 1, 0)</f>
        <v>0</v>
      </c>
      <c r="Y710">
        <v>0</v>
      </c>
    </row>
    <row r="711" spans="1:25" x14ac:dyDescent="0.35">
      <c r="A711" s="1">
        <f>Data!A711</f>
        <v>38749</v>
      </c>
      <c r="B711" s="2">
        <f>IFERROR((Data!B711/Data!B710-1)*100,"")</f>
        <v>5.0175614651282174E-2</v>
      </c>
      <c r="C711" s="2">
        <f>IFERROR((Data!C711/Data!C710-1)*100,"")</f>
        <v>4.2158902402134046E-2</v>
      </c>
      <c r="D711">
        <f t="shared" si="101"/>
        <v>0.23881396889848805</v>
      </c>
      <c r="E711">
        <f t="shared" si="102"/>
        <v>0.21864342800340295</v>
      </c>
      <c r="P711" t="str" cm="1">
        <f t="array" ref="P711">_xlfn.IFS(
  AND(D711&gt;0,E711&gt;0),"Expansion",
  AND(D711&lt;0,E711&gt;0),"Slowdown",
  AND(D711&lt;0,E711&lt;0),"Contraction",
  AND(D711&gt;0,E711&lt;0),"Recovery",
  TRUE,"Undefined"
)</f>
        <v>Expansion</v>
      </c>
      <c r="Q711" t="str">
        <f t="shared" si="100"/>
        <v>Expansion</v>
      </c>
      <c r="R711">
        <f t="shared" si="103"/>
        <v>1</v>
      </c>
      <c r="S711">
        <f t="shared" si="104"/>
        <v>1</v>
      </c>
      <c r="T711">
        <f t="shared" si="105"/>
        <v>1</v>
      </c>
      <c r="U711">
        <f t="shared" si="106"/>
        <v>1</v>
      </c>
      <c r="V711" t="str" cm="1">
        <f t="array" ref="V711">_xlfn.IFS(
  AND(S711&gt;0,U711&gt;0),"Expansion",
  AND(S711&lt;0,U711&gt;0),"Slowdown",
  AND(S711&lt;0,U711&lt;0),"Contraction",
  AND(S711&gt;0,U711&lt;0),"Recovery",
  TRUE,"Undefined"
)</f>
        <v>Expansion</v>
      </c>
      <c r="W711">
        <f t="shared" si="107"/>
        <v>0</v>
      </c>
      <c r="X711">
        <f t="shared" si="108"/>
        <v>0</v>
      </c>
      <c r="Y711">
        <v>0</v>
      </c>
    </row>
    <row r="712" spans="1:25" x14ac:dyDescent="0.35">
      <c r="A712" s="1">
        <f>Data!A712</f>
        <v>38777</v>
      </c>
      <c r="B712" s="2">
        <f>IFERROR((Data!B712/Data!B711-1)*100,"")</f>
        <v>0.15045135406217547</v>
      </c>
      <c r="C712" s="2">
        <f>IFERROR((Data!C712/Data!C711-1)*100,"")</f>
        <v>0.22546525748337043</v>
      </c>
      <c r="D712">
        <f t="shared" si="101"/>
        <v>0.14180284290921108</v>
      </c>
      <c r="E712">
        <f t="shared" si="102"/>
        <v>0.26879387935746141</v>
      </c>
      <c r="P712" t="str" cm="1">
        <f t="array" ref="P712">_xlfn.IFS(
  AND(D712&gt;0,E712&gt;0),"Expansion",
  AND(D712&lt;0,E712&gt;0),"Slowdown",
  AND(D712&lt;0,E712&lt;0),"Contraction",
  AND(D712&gt;0,E712&lt;0),"Recovery",
  TRUE,"Undefined"
)</f>
        <v>Expansion</v>
      </c>
      <c r="Q712" t="str">
        <f t="shared" ref="Q712:Q775" si="109">IF(AND(P712=P711, P711=P710), P712, Q711)</f>
        <v>Expansion</v>
      </c>
      <c r="R712">
        <f t="shared" si="103"/>
        <v>1</v>
      </c>
      <c r="S712">
        <f t="shared" si="104"/>
        <v>1</v>
      </c>
      <c r="T712">
        <f t="shared" si="105"/>
        <v>1</v>
      </c>
      <c r="U712">
        <f t="shared" si="106"/>
        <v>1</v>
      </c>
      <c r="V712" t="str" cm="1">
        <f t="array" ref="V712">_xlfn.IFS(
  AND(S712&gt;0,U712&gt;0),"Expansion",
  AND(S712&lt;0,U712&gt;0),"Slowdown",
  AND(S712&lt;0,U712&lt;0),"Contraction",
  AND(S712&gt;0,U712&lt;0),"Recovery",
  TRUE,"Undefined"
)</f>
        <v>Expansion</v>
      </c>
      <c r="W712">
        <f t="shared" si="107"/>
        <v>0</v>
      </c>
      <c r="X712">
        <f t="shared" si="108"/>
        <v>0</v>
      </c>
      <c r="Y712">
        <v>0</v>
      </c>
    </row>
    <row r="713" spans="1:25" x14ac:dyDescent="0.35">
      <c r="A713" s="1">
        <f>Data!A713</f>
        <v>38808</v>
      </c>
      <c r="B713" s="2">
        <f>IFERROR((Data!B713/Data!B712-1)*100,"")</f>
        <v>0.50075112669003552</v>
      </c>
      <c r="C713" s="2">
        <f>IFERROR((Data!C713/Data!C712-1)*100,"")</f>
        <v>0.30366798425394137</v>
      </c>
      <c r="D713">
        <f t="shared" si="101"/>
        <v>0.19043071471314862</v>
      </c>
      <c r="E713">
        <f t="shared" si="102"/>
        <v>0.23379269846783104</v>
      </c>
      <c r="P713" t="str" cm="1">
        <f t="array" ref="P713">_xlfn.IFS(
  AND(D713&gt;0,E713&gt;0),"Expansion",
  AND(D713&lt;0,E713&gt;0),"Slowdown",
  AND(D713&lt;0,E713&lt;0),"Contraction",
  AND(D713&gt;0,E713&lt;0),"Recovery",
  TRUE,"Undefined"
)</f>
        <v>Expansion</v>
      </c>
      <c r="Q713" t="str">
        <f t="shared" si="109"/>
        <v>Expansion</v>
      </c>
      <c r="R713">
        <f t="shared" si="103"/>
        <v>1</v>
      </c>
      <c r="S713">
        <f t="shared" si="104"/>
        <v>1</v>
      </c>
      <c r="T713">
        <f t="shared" si="105"/>
        <v>1</v>
      </c>
      <c r="U713">
        <f t="shared" si="106"/>
        <v>1</v>
      </c>
      <c r="V713" t="str" cm="1">
        <f t="array" ref="V713">_xlfn.IFS(
  AND(S713&gt;0,U713&gt;0),"Expansion",
  AND(S713&lt;0,U713&gt;0),"Slowdown",
  AND(S713&lt;0,U713&lt;0),"Contraction",
  AND(S713&gt;0,U713&lt;0),"Recovery",
  TRUE,"Undefined"
)</f>
        <v>Expansion</v>
      </c>
      <c r="W713">
        <f t="shared" si="107"/>
        <v>0</v>
      </c>
      <c r="X713">
        <f t="shared" si="108"/>
        <v>0</v>
      </c>
      <c r="Y713">
        <v>0</v>
      </c>
    </row>
    <row r="714" spans="1:25" x14ac:dyDescent="0.35">
      <c r="A714" s="1">
        <f>Data!A714</f>
        <v>38838</v>
      </c>
      <c r="B714" s="2">
        <f>IFERROR((Data!B714/Data!B713-1)*100,"")</f>
        <v>0.2989536621823774</v>
      </c>
      <c r="C714" s="2">
        <f>IFERROR((Data!C714/Data!C713-1)*100,"")</f>
        <v>2.5414684625046924E-2</v>
      </c>
      <c r="D714">
        <f t="shared" si="101"/>
        <v>0.1848493087874529</v>
      </c>
      <c r="E714">
        <f t="shared" si="102"/>
        <v>0.31671871431152948</v>
      </c>
      <c r="P714" t="str" cm="1">
        <f t="array" ref="P714">_xlfn.IFS(
  AND(D714&gt;0,E714&gt;0),"Expansion",
  AND(D714&lt;0,E714&gt;0),"Slowdown",
  AND(D714&lt;0,E714&lt;0),"Contraction",
  AND(D714&gt;0,E714&lt;0),"Recovery",
  TRUE,"Undefined"
)</f>
        <v>Expansion</v>
      </c>
      <c r="Q714" t="str">
        <f t="shared" si="109"/>
        <v>Expansion</v>
      </c>
      <c r="R714">
        <f t="shared" si="103"/>
        <v>1</v>
      </c>
      <c r="S714">
        <f t="shared" si="104"/>
        <v>1</v>
      </c>
      <c r="T714">
        <f t="shared" si="105"/>
        <v>1</v>
      </c>
      <c r="U714">
        <f t="shared" si="106"/>
        <v>1</v>
      </c>
      <c r="V714" t="str" cm="1">
        <f t="array" ref="V714">_xlfn.IFS(
  AND(S714&gt;0,U714&gt;0),"Expansion",
  AND(S714&lt;0,U714&gt;0),"Slowdown",
  AND(S714&lt;0,U714&lt;0),"Contraction",
  AND(S714&gt;0,U714&lt;0),"Recovery",
  TRUE,"Undefined"
)</f>
        <v>Expansion</v>
      </c>
      <c r="W714">
        <f t="shared" si="107"/>
        <v>0</v>
      </c>
      <c r="X714">
        <f t="shared" si="108"/>
        <v>0</v>
      </c>
      <c r="Y714">
        <v>0</v>
      </c>
    </row>
    <row r="715" spans="1:25" x14ac:dyDescent="0.35">
      <c r="A715" s="1">
        <f>Data!A715</f>
        <v>38869</v>
      </c>
      <c r="B715" s="2">
        <f>IFERROR((Data!B715/Data!B714-1)*100,"")</f>
        <v>0.24838549428713996</v>
      </c>
      <c r="C715" s="2">
        <f>IFERROR((Data!C715/Data!C714-1)*100,"")</f>
        <v>0.31664117408278791</v>
      </c>
      <c r="D715">
        <f t="shared" si="101"/>
        <v>0.21524128098725873</v>
      </c>
      <c r="E715">
        <f t="shared" si="102"/>
        <v>0.34936342771985096</v>
      </c>
      <c r="P715" t="str" cm="1">
        <f t="array" ref="P715">_xlfn.IFS(
  AND(D715&gt;0,E715&gt;0),"Expansion",
  AND(D715&lt;0,E715&gt;0),"Slowdown",
  AND(D715&lt;0,E715&lt;0),"Contraction",
  AND(D715&gt;0,E715&lt;0),"Recovery",
  TRUE,"Undefined"
)</f>
        <v>Expansion</v>
      </c>
      <c r="Q715" t="str">
        <f t="shared" si="109"/>
        <v>Expansion</v>
      </c>
      <c r="R715">
        <f t="shared" si="103"/>
        <v>1</v>
      </c>
      <c r="S715">
        <f t="shared" si="104"/>
        <v>1</v>
      </c>
      <c r="T715">
        <f t="shared" si="105"/>
        <v>1</v>
      </c>
      <c r="U715">
        <f t="shared" si="106"/>
        <v>1</v>
      </c>
      <c r="V715" t="str" cm="1">
        <f t="array" ref="V715">_xlfn.IFS(
  AND(S715&gt;0,U715&gt;0),"Expansion",
  AND(S715&lt;0,U715&gt;0),"Slowdown",
  AND(S715&lt;0,U715&lt;0),"Contraction",
  AND(S715&gt;0,U715&lt;0),"Recovery",
  TRUE,"Undefined"
)</f>
        <v>Expansion</v>
      </c>
      <c r="W715">
        <f t="shared" si="107"/>
        <v>0</v>
      </c>
      <c r="X715">
        <f t="shared" si="108"/>
        <v>0</v>
      </c>
      <c r="Y715">
        <v>0</v>
      </c>
    </row>
    <row r="716" spans="1:25" x14ac:dyDescent="0.35">
      <c r="A716" s="1">
        <f>Data!A716</f>
        <v>38899</v>
      </c>
      <c r="B716" s="2">
        <f>IFERROR((Data!B716/Data!B715-1)*100,"")</f>
        <v>0.54509415262635752</v>
      </c>
      <c r="C716" s="2">
        <f>IFERROR((Data!C716/Data!C715-1)*100,"")</f>
        <v>-5.1261507350675029E-2</v>
      </c>
      <c r="D716">
        <f t="shared" si="101"/>
        <v>9.6931450452386603E-2</v>
      </c>
      <c r="E716">
        <f t="shared" si="102"/>
        <v>0.36414443636529165</v>
      </c>
      <c r="P716" t="str" cm="1">
        <f t="array" ref="P716">_xlfn.IFS(
  AND(D716&gt;0,E716&gt;0),"Expansion",
  AND(D716&lt;0,E716&gt;0),"Slowdown",
  AND(D716&lt;0,E716&lt;0),"Contraction",
  AND(D716&gt;0,E716&lt;0),"Recovery",
  TRUE,"Undefined"
)</f>
        <v>Expansion</v>
      </c>
      <c r="Q716" t="str">
        <f t="shared" si="109"/>
        <v>Expansion</v>
      </c>
      <c r="R716">
        <f t="shared" si="103"/>
        <v>1</v>
      </c>
      <c r="S716">
        <f t="shared" si="104"/>
        <v>1</v>
      </c>
      <c r="T716">
        <f t="shared" si="105"/>
        <v>1</v>
      </c>
      <c r="U716">
        <f t="shared" si="106"/>
        <v>1</v>
      </c>
      <c r="V716" t="str" cm="1">
        <f t="array" ref="V716">_xlfn.IFS(
  AND(S716&gt;0,U716&gt;0),"Expansion",
  AND(S716&lt;0,U716&gt;0),"Slowdown",
  AND(S716&lt;0,U716&lt;0),"Contraction",
  AND(S716&gt;0,U716&lt;0),"Recovery",
  TRUE,"Undefined"
)</f>
        <v>Expansion</v>
      </c>
      <c r="W716">
        <f t="shared" si="107"/>
        <v>0</v>
      </c>
      <c r="X716">
        <f t="shared" si="108"/>
        <v>0</v>
      </c>
      <c r="Y716">
        <v>0</v>
      </c>
    </row>
    <row r="717" spans="1:25" x14ac:dyDescent="0.35">
      <c r="A717" s="1">
        <f>Data!A717</f>
        <v>38930</v>
      </c>
      <c r="B717" s="2">
        <f>IFERROR((Data!B717/Data!B716-1)*100,"")</f>
        <v>0.44356826022671214</v>
      </c>
      <c r="C717" s="2">
        <f>IFERROR((Data!C717/Data!C716-1)*100,"")</f>
        <v>0.43887413186818325</v>
      </c>
      <c r="D717">
        <f t="shared" si="101"/>
        <v>0.2347512662000987</v>
      </c>
      <c r="E717">
        <f t="shared" si="102"/>
        <v>0.41234930238006989</v>
      </c>
      <c r="P717" t="str" cm="1">
        <f t="array" ref="P717">_xlfn.IFS(
  AND(D717&gt;0,E717&gt;0),"Expansion",
  AND(D717&lt;0,E717&gt;0),"Slowdown",
  AND(D717&lt;0,E717&lt;0),"Contraction",
  AND(D717&gt;0,E717&lt;0),"Recovery",
  TRUE,"Undefined"
)</f>
        <v>Expansion</v>
      </c>
      <c r="Q717" t="str">
        <f t="shared" si="109"/>
        <v>Expansion</v>
      </c>
      <c r="R717">
        <f t="shared" si="103"/>
        <v>1</v>
      </c>
      <c r="S717">
        <f t="shared" si="104"/>
        <v>1</v>
      </c>
      <c r="T717">
        <f t="shared" si="105"/>
        <v>1</v>
      </c>
      <c r="U717">
        <f t="shared" si="106"/>
        <v>1</v>
      </c>
      <c r="V717" t="str" cm="1">
        <f t="array" ref="V717">_xlfn.IFS(
  AND(S717&gt;0,U717&gt;0),"Expansion",
  AND(S717&lt;0,U717&gt;0),"Slowdown",
  AND(S717&lt;0,U717&lt;0),"Contraction",
  AND(S717&gt;0,U717&lt;0),"Recovery",
  TRUE,"Undefined"
)</f>
        <v>Expansion</v>
      </c>
      <c r="W717">
        <f t="shared" si="107"/>
        <v>0</v>
      </c>
      <c r="X717">
        <f t="shared" si="108"/>
        <v>0</v>
      </c>
      <c r="Y717">
        <v>0</v>
      </c>
    </row>
    <row r="718" spans="1:25" x14ac:dyDescent="0.35">
      <c r="A718" s="1">
        <f>Data!A718</f>
        <v>38961</v>
      </c>
      <c r="B718" s="2">
        <f>IFERROR((Data!B718/Data!B717-1)*100,"")</f>
        <v>-0.49067713444553851</v>
      </c>
      <c r="C718" s="2">
        <f>IFERROR((Data!C718/Data!C717-1)*100,"")</f>
        <v>-0.16615804011917978</v>
      </c>
      <c r="D718">
        <f t="shared" si="101"/>
        <v>7.3818194799442807E-2</v>
      </c>
      <c r="E718">
        <f t="shared" si="102"/>
        <v>0.16599509280251037</v>
      </c>
      <c r="P718" t="str" cm="1">
        <f t="array" ref="P718">_xlfn.IFS(
  AND(D718&gt;0,E718&gt;0),"Expansion",
  AND(D718&lt;0,E718&gt;0),"Slowdown",
  AND(D718&lt;0,E718&lt;0),"Contraction",
  AND(D718&gt;0,E718&lt;0),"Recovery",
  TRUE,"Undefined"
)</f>
        <v>Expansion</v>
      </c>
      <c r="Q718" t="str">
        <f t="shared" si="109"/>
        <v>Expansion</v>
      </c>
      <c r="R718">
        <f t="shared" si="103"/>
        <v>1</v>
      </c>
      <c r="S718">
        <f t="shared" si="104"/>
        <v>1</v>
      </c>
      <c r="T718">
        <f t="shared" si="105"/>
        <v>1</v>
      </c>
      <c r="U718">
        <f t="shared" si="106"/>
        <v>1</v>
      </c>
      <c r="V718" t="str" cm="1">
        <f t="array" ref="V718">_xlfn.IFS(
  AND(S718&gt;0,U718&gt;0),"Expansion",
  AND(S718&lt;0,U718&gt;0),"Slowdown",
  AND(S718&lt;0,U718&lt;0),"Contraction",
  AND(S718&gt;0,U718&lt;0),"Recovery",
  TRUE,"Undefined"
)</f>
        <v>Expansion</v>
      </c>
      <c r="W718">
        <f t="shared" si="107"/>
        <v>0</v>
      </c>
      <c r="X718">
        <f t="shared" si="108"/>
        <v>0</v>
      </c>
      <c r="Y718">
        <v>0</v>
      </c>
    </row>
    <row r="719" spans="1:25" x14ac:dyDescent="0.35">
      <c r="A719" s="1">
        <f>Data!A719</f>
        <v>38991</v>
      </c>
      <c r="B719" s="2">
        <f>IFERROR((Data!B719/Data!B718-1)*100,"")</f>
        <v>-0.44378698224852853</v>
      </c>
      <c r="C719" s="2">
        <f>IFERROR((Data!C719/Data!C718-1)*100,"")</f>
        <v>-0.11468178573332821</v>
      </c>
      <c r="D719">
        <f t="shared" si="101"/>
        <v>5.2678102005225082E-2</v>
      </c>
      <c r="E719">
        <f t="shared" si="102"/>
        <v>-0.16363195215578497</v>
      </c>
      <c r="P719" t="str" cm="1">
        <f t="array" ref="P719">_xlfn.IFS(
  AND(D719&gt;0,E719&gt;0),"Expansion",
  AND(D719&lt;0,E719&gt;0),"Slowdown",
  AND(D719&lt;0,E719&lt;0),"Contraction",
  AND(D719&gt;0,E719&lt;0),"Recovery",
  TRUE,"Undefined"
)</f>
        <v>Recovery</v>
      </c>
      <c r="Q719" t="str">
        <f t="shared" si="109"/>
        <v>Expansion</v>
      </c>
      <c r="R719">
        <f t="shared" si="103"/>
        <v>1</v>
      </c>
      <c r="S719">
        <f t="shared" si="104"/>
        <v>1</v>
      </c>
      <c r="T719">
        <f t="shared" si="105"/>
        <v>-1</v>
      </c>
      <c r="U719">
        <f t="shared" si="106"/>
        <v>-1</v>
      </c>
      <c r="V719" t="str" cm="1">
        <f t="array" ref="V719">_xlfn.IFS(
  AND(S719&gt;0,U719&gt;0),"Expansion",
  AND(S719&lt;0,U719&gt;0),"Slowdown",
  AND(S719&lt;0,U719&lt;0),"Contraction",
  AND(S719&gt;0,U719&lt;0),"Recovery",
  TRUE,"Undefined"
)</f>
        <v>Recovery</v>
      </c>
      <c r="W719">
        <f t="shared" si="107"/>
        <v>0</v>
      </c>
      <c r="X719">
        <f t="shared" si="108"/>
        <v>0</v>
      </c>
      <c r="Y719">
        <v>0</v>
      </c>
    </row>
    <row r="720" spans="1:25" x14ac:dyDescent="0.35">
      <c r="A720" s="1">
        <f>Data!A720</f>
        <v>39022</v>
      </c>
      <c r="B720" s="2">
        <f>IFERROR((Data!B720/Data!B719-1)*100,"")</f>
        <v>4.9529470034670453E-2</v>
      </c>
      <c r="C720" s="2">
        <f>IFERROR((Data!C720/Data!C719-1)*100,"")</f>
        <v>-4.2034425892401028E-2</v>
      </c>
      <c r="D720">
        <f t="shared" si="101"/>
        <v>-0.10762475058163634</v>
      </c>
      <c r="E720">
        <f t="shared" si="102"/>
        <v>-0.29497821555313219</v>
      </c>
      <c r="P720" t="str" cm="1">
        <f t="array" ref="P720">_xlfn.IFS(
  AND(D720&gt;0,E720&gt;0),"Expansion",
  AND(D720&lt;0,E720&gt;0),"Slowdown",
  AND(D720&lt;0,E720&lt;0),"Contraction",
  AND(D720&gt;0,E720&lt;0),"Recovery",
  TRUE,"Undefined"
)</f>
        <v>Contraction</v>
      </c>
      <c r="Q720" t="str">
        <f t="shared" si="109"/>
        <v>Expansion</v>
      </c>
      <c r="R720">
        <f t="shared" si="103"/>
        <v>1</v>
      </c>
      <c r="S720">
        <f t="shared" si="104"/>
        <v>1</v>
      </c>
      <c r="T720">
        <f t="shared" si="105"/>
        <v>-1</v>
      </c>
      <c r="U720">
        <f t="shared" si="106"/>
        <v>-1</v>
      </c>
      <c r="V720" t="str" cm="1">
        <f t="array" ref="V720">_xlfn.IFS(
  AND(S720&gt;0,U720&gt;0),"Expansion",
  AND(S720&lt;0,U720&gt;0),"Slowdown",
  AND(S720&lt;0,U720&lt;0),"Contraction",
  AND(S720&gt;0,U720&lt;0),"Recovery",
  TRUE,"Undefined"
)</f>
        <v>Recovery</v>
      </c>
      <c r="W720">
        <f t="shared" si="107"/>
        <v>0</v>
      </c>
      <c r="X720">
        <f t="shared" si="108"/>
        <v>0</v>
      </c>
      <c r="Y720">
        <v>0</v>
      </c>
    </row>
    <row r="721" spans="1:25" x14ac:dyDescent="0.35">
      <c r="A721" s="1">
        <f>Data!A721</f>
        <v>39052</v>
      </c>
      <c r="B721" s="2">
        <f>IFERROR((Data!B721/Data!B720-1)*100,"")</f>
        <v>0.54455445544554504</v>
      </c>
      <c r="C721" s="2">
        <f>IFERROR((Data!C721/Data!C720-1)*100,"")</f>
        <v>1.0193348910427114</v>
      </c>
      <c r="D721">
        <f t="shared" si="101"/>
        <v>0.2875395598056607</v>
      </c>
      <c r="E721">
        <f t="shared" si="102"/>
        <v>5.0098981077228988E-2</v>
      </c>
      <c r="P721" t="str" cm="1">
        <f t="array" ref="P721">_xlfn.IFS(
  AND(D721&gt;0,E721&gt;0),"Expansion",
  AND(D721&lt;0,E721&gt;0),"Slowdown",
  AND(D721&lt;0,E721&lt;0),"Contraction",
  AND(D721&gt;0,E721&lt;0),"Recovery",
  TRUE,"Undefined"
)</f>
        <v>Expansion</v>
      </c>
      <c r="Q721" t="str">
        <f t="shared" si="109"/>
        <v>Expansion</v>
      </c>
      <c r="R721">
        <f t="shared" si="103"/>
        <v>1</v>
      </c>
      <c r="S721">
        <f t="shared" si="104"/>
        <v>1</v>
      </c>
      <c r="T721">
        <f t="shared" si="105"/>
        <v>1</v>
      </c>
      <c r="U721">
        <f t="shared" si="106"/>
        <v>1</v>
      </c>
      <c r="V721" t="str" cm="1">
        <f t="array" ref="V721">_xlfn.IFS(
  AND(S721&gt;0,U721&gt;0),"Expansion",
  AND(S721&lt;0,U721&gt;0),"Slowdown",
  AND(S721&lt;0,U721&lt;0),"Contraction",
  AND(S721&gt;0,U721&lt;0),"Recovery",
  TRUE,"Undefined"
)</f>
        <v>Expansion</v>
      </c>
      <c r="W721">
        <f t="shared" si="107"/>
        <v>0</v>
      </c>
      <c r="X721">
        <f t="shared" si="108"/>
        <v>0</v>
      </c>
      <c r="Y721">
        <v>0</v>
      </c>
    </row>
    <row r="722" spans="1:25" x14ac:dyDescent="0.35">
      <c r="A722" s="1">
        <f>Data!A722</f>
        <v>39083</v>
      </c>
      <c r="B722" s="2">
        <f>IFERROR((Data!B722/Data!B721-1)*100,"")</f>
        <v>0.1659281142294633</v>
      </c>
      <c r="C722" s="2">
        <f>IFERROR((Data!C722/Data!C721-1)*100,"")</f>
        <v>-0.33831302689834031</v>
      </c>
      <c r="D722">
        <f t="shared" si="101"/>
        <v>0.21299581275065668</v>
      </c>
      <c r="E722">
        <f t="shared" si="102"/>
        <v>0.25333734656989293</v>
      </c>
      <c r="P722" t="str" cm="1">
        <f t="array" ref="P722">_xlfn.IFS(
  AND(D722&gt;0,E722&gt;0),"Expansion",
  AND(D722&lt;0,E722&gt;0),"Slowdown",
  AND(D722&lt;0,E722&lt;0),"Contraction",
  AND(D722&gt;0,E722&lt;0),"Recovery",
  TRUE,"Undefined"
)</f>
        <v>Expansion</v>
      </c>
      <c r="Q722" t="str">
        <f t="shared" si="109"/>
        <v>Expansion</v>
      </c>
      <c r="R722">
        <f t="shared" si="103"/>
        <v>1</v>
      </c>
      <c r="S722">
        <f t="shared" si="104"/>
        <v>1</v>
      </c>
      <c r="T722">
        <f t="shared" si="105"/>
        <v>1</v>
      </c>
      <c r="U722">
        <f t="shared" si="106"/>
        <v>1</v>
      </c>
      <c r="V722" t="str" cm="1">
        <f t="array" ref="V722">_xlfn.IFS(
  AND(S722&gt;0,U722&gt;0),"Expansion",
  AND(S722&lt;0,U722&gt;0),"Slowdown",
  AND(S722&lt;0,U722&lt;0),"Contraction",
  AND(S722&gt;0,U722&lt;0),"Recovery",
  TRUE,"Undefined"
)</f>
        <v>Expansion</v>
      </c>
      <c r="W722">
        <f t="shared" si="107"/>
        <v>0</v>
      </c>
      <c r="X722">
        <f t="shared" si="108"/>
        <v>0</v>
      </c>
      <c r="Y722">
        <v>0</v>
      </c>
    </row>
    <row r="723" spans="1:25" x14ac:dyDescent="0.35">
      <c r="A723" s="1">
        <f>Data!A723</f>
        <v>39114</v>
      </c>
      <c r="B723" s="2">
        <f>IFERROR((Data!B723/Data!B722-1)*100,"")</f>
        <v>0.38783505458692691</v>
      </c>
      <c r="C723" s="2">
        <f>IFERROR((Data!C723/Data!C722-1)*100,"")</f>
        <v>0.94225849555165109</v>
      </c>
      <c r="D723">
        <f t="shared" si="101"/>
        <v>0.54109345323200742</v>
      </c>
      <c r="E723">
        <f t="shared" si="102"/>
        <v>0.36610587475397843</v>
      </c>
      <c r="P723" t="str" cm="1">
        <f t="array" ref="P723">_xlfn.IFS(
  AND(D723&gt;0,E723&gt;0),"Expansion",
  AND(D723&lt;0,E723&gt;0),"Slowdown",
  AND(D723&lt;0,E723&lt;0),"Contraction",
  AND(D723&gt;0,E723&lt;0),"Recovery",
  TRUE,"Undefined"
)</f>
        <v>Expansion</v>
      </c>
      <c r="Q723" t="str">
        <f t="shared" si="109"/>
        <v>Expansion</v>
      </c>
      <c r="R723">
        <f t="shared" si="103"/>
        <v>1</v>
      </c>
      <c r="S723">
        <f t="shared" si="104"/>
        <v>1</v>
      </c>
      <c r="T723">
        <f t="shared" si="105"/>
        <v>1</v>
      </c>
      <c r="U723">
        <f t="shared" si="106"/>
        <v>1</v>
      </c>
      <c r="V723" t="str" cm="1">
        <f t="array" ref="V723">_xlfn.IFS(
  AND(S723&gt;0,U723&gt;0),"Expansion",
  AND(S723&lt;0,U723&gt;0),"Slowdown",
  AND(S723&lt;0,U723&lt;0),"Contraction",
  AND(S723&gt;0,U723&lt;0),"Recovery",
  TRUE,"Undefined"
)</f>
        <v>Expansion</v>
      </c>
      <c r="W723">
        <f t="shared" si="107"/>
        <v>0</v>
      </c>
      <c r="X723">
        <f t="shared" si="108"/>
        <v>0</v>
      </c>
      <c r="Y723">
        <v>0</v>
      </c>
    </row>
    <row r="724" spans="1:25" x14ac:dyDescent="0.35">
      <c r="A724" s="1">
        <f>Data!A724</f>
        <v>39142</v>
      </c>
      <c r="B724" s="2">
        <f>IFERROR((Data!B724/Data!B723-1)*100,"")</f>
        <v>0.52001214340975377</v>
      </c>
      <c r="C724" s="2">
        <f>IFERROR((Data!C724/Data!C723-1)*100,"")</f>
        <v>0.17801981239451425</v>
      </c>
      <c r="D724">
        <f t="shared" si="101"/>
        <v>0.26065509368260836</v>
      </c>
      <c r="E724">
        <f t="shared" si="102"/>
        <v>0.35792510407538131</v>
      </c>
      <c r="P724" t="str" cm="1">
        <f t="array" ref="P724">_xlfn.IFS(
  AND(D724&gt;0,E724&gt;0),"Expansion",
  AND(D724&lt;0,E724&gt;0),"Slowdown",
  AND(D724&lt;0,E724&lt;0),"Contraction",
  AND(D724&gt;0,E724&lt;0),"Recovery",
  TRUE,"Undefined"
)</f>
        <v>Expansion</v>
      </c>
      <c r="Q724" t="str">
        <f t="shared" si="109"/>
        <v>Expansion</v>
      </c>
      <c r="R724">
        <f t="shared" si="103"/>
        <v>1</v>
      </c>
      <c r="S724">
        <f t="shared" si="104"/>
        <v>1</v>
      </c>
      <c r="T724">
        <f t="shared" si="105"/>
        <v>1</v>
      </c>
      <c r="U724">
        <f t="shared" si="106"/>
        <v>1</v>
      </c>
      <c r="V724" t="str" cm="1">
        <f t="array" ref="V724">_xlfn.IFS(
  AND(S724&gt;0,U724&gt;0),"Expansion",
  AND(S724&lt;0,U724&gt;0),"Slowdown",
  AND(S724&lt;0,U724&lt;0),"Contraction",
  AND(S724&gt;0,U724&lt;0),"Recovery",
  TRUE,"Undefined"
)</f>
        <v>Expansion</v>
      </c>
      <c r="W724">
        <f t="shared" si="107"/>
        <v>0</v>
      </c>
      <c r="X724">
        <f t="shared" si="108"/>
        <v>0</v>
      </c>
      <c r="Y724">
        <v>0</v>
      </c>
    </row>
    <row r="725" spans="1:25" x14ac:dyDescent="0.35">
      <c r="A725" s="1">
        <f>Data!A725</f>
        <v>39173</v>
      </c>
      <c r="B725" s="2">
        <f>IFERROR((Data!B725/Data!B724-1)*100,"")</f>
        <v>0.30006624839249429</v>
      </c>
      <c r="C725" s="2">
        <f>IFERROR((Data!C725/Data!C724-1)*100,"")</f>
        <v>0.67228172635844796</v>
      </c>
      <c r="D725">
        <f t="shared" si="101"/>
        <v>0.5975200114348711</v>
      </c>
      <c r="E725">
        <f t="shared" si="102"/>
        <v>0.40263781546305832</v>
      </c>
      <c r="P725" t="str" cm="1">
        <f t="array" ref="P725">_xlfn.IFS(
  AND(D725&gt;0,E725&gt;0),"Expansion",
  AND(D725&lt;0,E725&gt;0),"Slowdown",
  AND(D725&lt;0,E725&lt;0),"Contraction",
  AND(D725&gt;0,E725&lt;0),"Recovery",
  TRUE,"Undefined"
)</f>
        <v>Expansion</v>
      </c>
      <c r="Q725" t="str">
        <f t="shared" si="109"/>
        <v>Expansion</v>
      </c>
      <c r="R725">
        <f t="shared" si="103"/>
        <v>1</v>
      </c>
      <c r="S725">
        <f t="shared" si="104"/>
        <v>1</v>
      </c>
      <c r="T725">
        <f t="shared" si="105"/>
        <v>1</v>
      </c>
      <c r="U725">
        <f t="shared" si="106"/>
        <v>1</v>
      </c>
      <c r="V725" t="str" cm="1">
        <f t="array" ref="V725">_xlfn.IFS(
  AND(S725&gt;0,U725&gt;0),"Expansion",
  AND(S725&lt;0,U725&gt;0),"Slowdown",
  AND(S725&lt;0,U725&lt;0),"Contraction",
  AND(S725&gt;0,U725&lt;0),"Recovery",
  TRUE,"Undefined"
)</f>
        <v>Expansion</v>
      </c>
      <c r="W725">
        <f t="shared" si="107"/>
        <v>0</v>
      </c>
      <c r="X725">
        <f t="shared" si="108"/>
        <v>0</v>
      </c>
      <c r="Y725">
        <v>0</v>
      </c>
    </row>
    <row r="726" spans="1:25" x14ac:dyDescent="0.35">
      <c r="A726" s="1">
        <f>Data!A726</f>
        <v>39203</v>
      </c>
      <c r="B726" s="2">
        <f>IFERROR((Data!B726/Data!B725-1)*100,"")</f>
        <v>0.41329940166290324</v>
      </c>
      <c r="C726" s="2">
        <f>IFERROR((Data!C726/Data!C725-1)*100,"")</f>
        <v>9.5637851336283219E-2</v>
      </c>
      <c r="D726">
        <f t="shared" si="101"/>
        <v>0.31531313002974848</v>
      </c>
      <c r="E726">
        <f t="shared" si="102"/>
        <v>0.41112593115505042</v>
      </c>
      <c r="P726" t="str" cm="1">
        <f t="array" ref="P726">_xlfn.IFS(
  AND(D726&gt;0,E726&gt;0),"Expansion",
  AND(D726&lt;0,E726&gt;0),"Slowdown",
  AND(D726&lt;0,E726&lt;0),"Contraction",
  AND(D726&gt;0,E726&lt;0),"Recovery",
  TRUE,"Undefined"
)</f>
        <v>Expansion</v>
      </c>
      <c r="Q726" t="str">
        <f t="shared" si="109"/>
        <v>Expansion</v>
      </c>
      <c r="R726">
        <f t="shared" si="103"/>
        <v>1</v>
      </c>
      <c r="S726">
        <f t="shared" si="104"/>
        <v>1</v>
      </c>
      <c r="T726">
        <f t="shared" si="105"/>
        <v>1</v>
      </c>
      <c r="U726">
        <f t="shared" si="106"/>
        <v>1</v>
      </c>
      <c r="V726" t="str" cm="1">
        <f t="array" ref="V726">_xlfn.IFS(
  AND(S726&gt;0,U726&gt;0),"Expansion",
  AND(S726&lt;0,U726&gt;0),"Slowdown",
  AND(S726&lt;0,U726&lt;0),"Contraction",
  AND(S726&gt;0,U726&lt;0),"Recovery",
  TRUE,"Undefined"
)</f>
        <v>Expansion</v>
      </c>
      <c r="W726">
        <f t="shared" si="107"/>
        <v>0</v>
      </c>
      <c r="X726">
        <f t="shared" si="108"/>
        <v>0</v>
      </c>
      <c r="Y726">
        <v>0</v>
      </c>
    </row>
    <row r="727" spans="1:25" x14ac:dyDescent="0.35">
      <c r="A727" s="1">
        <f>Data!A727</f>
        <v>39234</v>
      </c>
      <c r="B727" s="2">
        <f>IFERROR((Data!B727/Data!B726-1)*100,"")</f>
        <v>0.23167517109623503</v>
      </c>
      <c r="C727" s="2">
        <f>IFERROR((Data!C727/Data!C726-1)*100,"")</f>
        <v>5.7701419238664897E-2</v>
      </c>
      <c r="D727">
        <f t="shared" si="101"/>
        <v>0.27520699897779871</v>
      </c>
      <c r="E727">
        <f t="shared" si="102"/>
        <v>0.31501360705054421</v>
      </c>
      <c r="P727" t="str" cm="1">
        <f t="array" ref="P727">_xlfn.IFS(
  AND(D727&gt;0,E727&gt;0),"Expansion",
  AND(D727&lt;0,E727&gt;0),"Slowdown",
  AND(D727&lt;0,E727&lt;0),"Contraction",
  AND(D727&gt;0,E727&lt;0),"Recovery",
  TRUE,"Undefined"
)</f>
        <v>Expansion</v>
      </c>
      <c r="Q727" t="str">
        <f t="shared" si="109"/>
        <v>Expansion</v>
      </c>
      <c r="R727">
        <f t="shared" si="103"/>
        <v>1</v>
      </c>
      <c r="S727">
        <f t="shared" si="104"/>
        <v>1</v>
      </c>
      <c r="T727">
        <f t="shared" si="105"/>
        <v>1</v>
      </c>
      <c r="U727">
        <f t="shared" si="106"/>
        <v>1</v>
      </c>
      <c r="V727" t="str" cm="1">
        <f t="array" ref="V727">_xlfn.IFS(
  AND(S727&gt;0,U727&gt;0),"Expansion",
  AND(S727&lt;0,U727&gt;0),"Slowdown",
  AND(S727&lt;0,U727&lt;0),"Contraction",
  AND(S727&gt;0,U727&lt;0),"Recovery",
  TRUE,"Undefined"
)</f>
        <v>Expansion</v>
      </c>
      <c r="W727">
        <f t="shared" si="107"/>
        <v>0</v>
      </c>
      <c r="X727">
        <f t="shared" si="108"/>
        <v>0</v>
      </c>
      <c r="Y727">
        <v>0</v>
      </c>
    </row>
    <row r="728" spans="1:25" x14ac:dyDescent="0.35">
      <c r="A728" s="1">
        <f>Data!A728</f>
        <v>39264</v>
      </c>
      <c r="B728" s="2">
        <f>IFERROR((Data!B728/Data!B727-1)*100,"")</f>
        <v>0.17805958481715844</v>
      </c>
      <c r="C728" s="2">
        <f>IFERROR((Data!C728/Data!C727-1)*100,"")</f>
        <v>-0.11995366900057203</v>
      </c>
      <c r="D728">
        <f t="shared" si="101"/>
        <v>1.1128533858125364E-2</v>
      </c>
      <c r="E728">
        <f t="shared" si="102"/>
        <v>0.27434471919209891</v>
      </c>
      <c r="P728" t="str" cm="1">
        <f t="array" ref="P728">_xlfn.IFS(
  AND(D728&gt;0,E728&gt;0),"Expansion",
  AND(D728&lt;0,E728&gt;0),"Slowdown",
  AND(D728&lt;0,E728&lt;0),"Contraction",
  AND(D728&gt;0,E728&lt;0),"Recovery",
  TRUE,"Undefined"
)</f>
        <v>Expansion</v>
      </c>
      <c r="Q728" t="str">
        <f t="shared" si="109"/>
        <v>Expansion</v>
      </c>
      <c r="R728">
        <f t="shared" si="103"/>
        <v>1</v>
      </c>
      <c r="S728">
        <f t="shared" si="104"/>
        <v>1</v>
      </c>
      <c r="T728">
        <f t="shared" si="105"/>
        <v>1</v>
      </c>
      <c r="U728">
        <f t="shared" si="106"/>
        <v>1</v>
      </c>
      <c r="V728" t="str" cm="1">
        <f t="array" ref="V728">_xlfn.IFS(
  AND(S728&gt;0,U728&gt;0),"Expansion",
  AND(S728&lt;0,U728&gt;0),"Slowdown",
  AND(S728&lt;0,U728&lt;0),"Contraction",
  AND(S728&gt;0,U728&lt;0),"Recovery",
  TRUE,"Undefined"
)</f>
        <v>Expansion</v>
      </c>
      <c r="W728">
        <f t="shared" si="107"/>
        <v>0</v>
      </c>
      <c r="X728">
        <f t="shared" si="108"/>
        <v>0</v>
      </c>
      <c r="Y728">
        <v>0</v>
      </c>
    </row>
    <row r="729" spans="1:25" x14ac:dyDescent="0.35">
      <c r="A729" s="1">
        <f>Data!A729</f>
        <v>39295</v>
      </c>
      <c r="B729" s="2">
        <f>IFERROR((Data!B729/Data!B728-1)*100,"")</f>
        <v>3.0828070885302594E-2</v>
      </c>
      <c r="C729" s="2">
        <f>IFERROR((Data!C729/Data!C728-1)*100,"")</f>
        <v>0.19258915363067342</v>
      </c>
      <c r="D729">
        <f t="shared" si="101"/>
        <v>4.3445634622922093E-2</v>
      </c>
      <c r="E729">
        <f t="shared" si="102"/>
        <v>0.14685427559956535</v>
      </c>
      <c r="P729" t="str" cm="1">
        <f t="array" ref="P729">_xlfn.IFS(
  AND(D729&gt;0,E729&gt;0),"Expansion",
  AND(D729&lt;0,E729&gt;0),"Slowdown",
  AND(D729&lt;0,E729&lt;0),"Contraction",
  AND(D729&gt;0,E729&lt;0),"Recovery",
  TRUE,"Undefined"
)</f>
        <v>Expansion</v>
      </c>
      <c r="Q729" t="str">
        <f t="shared" si="109"/>
        <v>Expansion</v>
      </c>
      <c r="R729">
        <f t="shared" si="103"/>
        <v>1</v>
      </c>
      <c r="S729">
        <f t="shared" si="104"/>
        <v>1</v>
      </c>
      <c r="T729">
        <f t="shared" si="105"/>
        <v>1</v>
      </c>
      <c r="U729">
        <f t="shared" si="106"/>
        <v>1</v>
      </c>
      <c r="V729" t="str" cm="1">
        <f t="array" ref="V729">_xlfn.IFS(
  AND(S729&gt;0,U729&gt;0),"Expansion",
  AND(S729&lt;0,U729&gt;0),"Slowdown",
  AND(S729&lt;0,U729&lt;0),"Contraction",
  AND(S729&gt;0,U729&lt;0),"Recovery",
  TRUE,"Undefined"
)</f>
        <v>Expansion</v>
      </c>
      <c r="W729">
        <f t="shared" si="107"/>
        <v>0</v>
      </c>
      <c r="X729">
        <f t="shared" si="108"/>
        <v>0</v>
      </c>
      <c r="Y729">
        <v>0</v>
      </c>
    </row>
    <row r="730" spans="1:25" x14ac:dyDescent="0.35">
      <c r="A730" s="1">
        <f>Data!A730</f>
        <v>39326</v>
      </c>
      <c r="B730" s="2">
        <f>IFERROR((Data!B730/Data!B729-1)*100,"")</f>
        <v>0.42375533907650365</v>
      </c>
      <c r="C730" s="2">
        <f>IFERROR((Data!C730/Data!C729-1)*100,"")</f>
        <v>0.22225930907198155</v>
      </c>
      <c r="D730">
        <f t="shared" si="101"/>
        <v>9.8298264567360974E-2</v>
      </c>
      <c r="E730">
        <f t="shared" si="102"/>
        <v>0.21088099825965489</v>
      </c>
      <c r="P730" t="str" cm="1">
        <f t="array" ref="P730">_xlfn.IFS(
  AND(D730&gt;0,E730&gt;0),"Expansion",
  AND(D730&lt;0,E730&gt;0),"Slowdown",
  AND(D730&lt;0,E730&lt;0),"Contraction",
  AND(D730&gt;0,E730&lt;0),"Recovery",
  TRUE,"Undefined"
)</f>
        <v>Expansion</v>
      </c>
      <c r="Q730" t="str">
        <f t="shared" si="109"/>
        <v>Expansion</v>
      </c>
      <c r="R730">
        <f t="shared" si="103"/>
        <v>1</v>
      </c>
      <c r="S730">
        <f t="shared" si="104"/>
        <v>1</v>
      </c>
      <c r="T730">
        <f t="shared" si="105"/>
        <v>1</v>
      </c>
      <c r="U730">
        <f t="shared" si="106"/>
        <v>1</v>
      </c>
      <c r="V730" t="str" cm="1">
        <f t="array" ref="V730">_xlfn.IFS(
  AND(S730&gt;0,U730&gt;0),"Expansion",
  AND(S730&lt;0,U730&gt;0),"Slowdown",
  AND(S730&lt;0,U730&lt;0),"Contraction",
  AND(S730&gt;0,U730&lt;0),"Recovery",
  TRUE,"Undefined"
)</f>
        <v>Expansion</v>
      </c>
      <c r="W730">
        <f t="shared" si="107"/>
        <v>0</v>
      </c>
      <c r="X730">
        <f t="shared" si="108"/>
        <v>0</v>
      </c>
      <c r="Y730">
        <v>0</v>
      </c>
    </row>
    <row r="731" spans="1:25" x14ac:dyDescent="0.35">
      <c r="A731" s="1">
        <f>Data!A731</f>
        <v>39356</v>
      </c>
      <c r="B731" s="2">
        <f>IFERROR((Data!B731/Data!B730-1)*100,"")</f>
        <v>0.30832378312801723</v>
      </c>
      <c r="C731" s="2">
        <f>IFERROR((Data!C731/Data!C730-1)*100,"")</f>
        <v>-0.28200773047936112</v>
      </c>
      <c r="D731">
        <f t="shared" si="101"/>
        <v>4.4280244074431284E-2</v>
      </c>
      <c r="E731">
        <f t="shared" si="102"/>
        <v>0.25430239769660784</v>
      </c>
      <c r="P731" t="str" cm="1">
        <f t="array" ref="P731">_xlfn.IFS(
  AND(D731&gt;0,E731&gt;0),"Expansion",
  AND(D731&lt;0,E731&gt;0),"Slowdown",
  AND(D731&lt;0,E731&lt;0),"Contraction",
  AND(D731&gt;0,E731&lt;0),"Recovery",
  TRUE,"Undefined"
)</f>
        <v>Expansion</v>
      </c>
      <c r="Q731" t="str">
        <f t="shared" si="109"/>
        <v>Expansion</v>
      </c>
      <c r="R731">
        <f t="shared" si="103"/>
        <v>1</v>
      </c>
      <c r="S731">
        <f t="shared" si="104"/>
        <v>1</v>
      </c>
      <c r="T731">
        <f t="shared" si="105"/>
        <v>1</v>
      </c>
      <c r="U731">
        <f t="shared" si="106"/>
        <v>1</v>
      </c>
      <c r="V731" t="str" cm="1">
        <f t="array" ref="V731">_xlfn.IFS(
  AND(S731&gt;0,U731&gt;0),"Expansion",
  AND(S731&lt;0,U731&gt;0),"Slowdown",
  AND(S731&lt;0,U731&lt;0),"Contraction",
  AND(S731&gt;0,U731&lt;0),"Recovery",
  TRUE,"Undefined"
)</f>
        <v>Expansion</v>
      </c>
      <c r="W731">
        <f t="shared" si="107"/>
        <v>0</v>
      </c>
      <c r="X731">
        <f t="shared" si="108"/>
        <v>0</v>
      </c>
      <c r="Y731">
        <v>0</v>
      </c>
    </row>
    <row r="732" spans="1:25" x14ac:dyDescent="0.35">
      <c r="A732" s="1">
        <f>Data!A732</f>
        <v>39387</v>
      </c>
      <c r="B732" s="2">
        <f>IFERROR((Data!B732/Data!B731-1)*100,"")</f>
        <v>0.7858884267890387</v>
      </c>
      <c r="C732" s="2">
        <f>IFERROR((Data!C732/Data!C731-1)*100,"")</f>
        <v>0.53348919220246316</v>
      </c>
      <c r="D732">
        <f t="shared" si="101"/>
        <v>0.15791359026502785</v>
      </c>
      <c r="E732">
        <f t="shared" si="102"/>
        <v>0.50598918299785323</v>
      </c>
      <c r="P732" t="str" cm="1">
        <f t="array" ref="P732">_xlfn.IFS(
  AND(D732&gt;0,E732&gt;0),"Expansion",
  AND(D732&lt;0,E732&gt;0),"Slowdown",
  AND(D732&lt;0,E732&lt;0),"Contraction",
  AND(D732&gt;0,E732&lt;0),"Recovery",
  TRUE,"Undefined"
)</f>
        <v>Expansion</v>
      </c>
      <c r="Q732" t="str">
        <f t="shared" si="109"/>
        <v>Expansion</v>
      </c>
      <c r="R732">
        <f t="shared" si="103"/>
        <v>1</v>
      </c>
      <c r="S732">
        <f t="shared" si="104"/>
        <v>1</v>
      </c>
      <c r="T732">
        <f t="shared" si="105"/>
        <v>1</v>
      </c>
      <c r="U732">
        <f t="shared" si="106"/>
        <v>1</v>
      </c>
      <c r="V732" t="str" cm="1">
        <f t="array" ref="V732">_xlfn.IFS(
  AND(S732&gt;0,U732&gt;0),"Expansion",
  AND(S732&lt;0,U732&gt;0),"Slowdown",
  AND(S732&lt;0,U732&lt;0),"Contraction",
  AND(S732&gt;0,U732&lt;0),"Recovery",
  TRUE,"Undefined"
)</f>
        <v>Expansion</v>
      </c>
      <c r="W732">
        <f t="shared" si="107"/>
        <v>0</v>
      </c>
      <c r="X732">
        <f t="shared" si="108"/>
        <v>0</v>
      </c>
      <c r="Y732">
        <v>0</v>
      </c>
    </row>
    <row r="733" spans="1:25" x14ac:dyDescent="0.35">
      <c r="A733" s="1">
        <f>Data!A733</f>
        <v>39417</v>
      </c>
      <c r="B733" s="2">
        <f>IFERROR((Data!B733/Data!B732-1)*100,"")</f>
        <v>0.28980145517325528</v>
      </c>
      <c r="C733" s="2">
        <f>IFERROR((Data!C733/Data!C732-1)*100,"")</f>
        <v>3.4882153039839103E-2</v>
      </c>
      <c r="D733">
        <f t="shared" si="101"/>
        <v>9.5454538254313714E-2</v>
      </c>
      <c r="E733">
        <f t="shared" si="102"/>
        <v>0.46133788836343709</v>
      </c>
      <c r="P733" t="str" cm="1">
        <f t="array" ref="P733">_xlfn.IFS(
  AND(D733&gt;0,E733&gt;0),"Expansion",
  AND(D733&lt;0,E733&gt;0),"Slowdown",
  AND(D733&lt;0,E733&lt;0),"Contraction",
  AND(D733&gt;0,E733&lt;0),"Recovery",
  TRUE,"Undefined"
)</f>
        <v>Expansion</v>
      </c>
      <c r="Q733" t="str">
        <f t="shared" si="109"/>
        <v>Expansion</v>
      </c>
      <c r="R733">
        <f t="shared" si="103"/>
        <v>1</v>
      </c>
      <c r="S733">
        <f t="shared" si="104"/>
        <v>1</v>
      </c>
      <c r="T733">
        <f t="shared" si="105"/>
        <v>1</v>
      </c>
      <c r="U733">
        <f t="shared" si="106"/>
        <v>1</v>
      </c>
      <c r="V733" t="str" cm="1">
        <f t="array" ref="V733">_xlfn.IFS(
  AND(S733&gt;0,U733&gt;0),"Expansion",
  AND(S733&lt;0,U733&gt;0),"Slowdown",
  AND(S733&lt;0,U733&lt;0),"Contraction",
  AND(S733&gt;0,U733&lt;0),"Recovery",
  TRUE,"Undefined"
)</f>
        <v>Expansion</v>
      </c>
      <c r="W733">
        <f t="shared" si="107"/>
        <v>0</v>
      </c>
      <c r="X733">
        <f t="shared" si="108"/>
        <v>0</v>
      </c>
      <c r="Y733">
        <v>0</v>
      </c>
    </row>
    <row r="734" spans="1:25" x14ac:dyDescent="0.35">
      <c r="A734" s="1">
        <f>Data!A734</f>
        <v>39448</v>
      </c>
      <c r="B734" s="2">
        <f>IFERROR((Data!B734/Data!B733-1)*100,"")</f>
        <v>0.34477050769703421</v>
      </c>
      <c r="C734" s="2">
        <f>IFERROR((Data!C734/Data!C733-1)*100,"")</f>
        <v>-0.13234968055378937</v>
      </c>
      <c r="D734">
        <f t="shared" si="101"/>
        <v>0.14534055489617095</v>
      </c>
      <c r="E734">
        <f t="shared" si="102"/>
        <v>0.47348679655310938</v>
      </c>
      <c r="P734" t="str" cm="1">
        <f t="array" ref="P734">_xlfn.IFS(
  AND(D734&gt;0,E734&gt;0),"Expansion",
  AND(D734&lt;0,E734&gt;0),"Slowdown",
  AND(D734&lt;0,E734&lt;0),"Contraction",
  AND(D734&gt;0,E734&lt;0),"Recovery",
  TRUE,"Undefined"
)</f>
        <v>Expansion</v>
      </c>
      <c r="Q734" t="str">
        <f t="shared" si="109"/>
        <v>Expansion</v>
      </c>
      <c r="R734">
        <f t="shared" si="103"/>
        <v>1</v>
      </c>
      <c r="S734">
        <f t="shared" si="104"/>
        <v>1</v>
      </c>
      <c r="T734">
        <f t="shared" si="105"/>
        <v>1</v>
      </c>
      <c r="U734">
        <f t="shared" si="106"/>
        <v>1</v>
      </c>
      <c r="V734" t="str" cm="1">
        <f t="array" ref="V734">_xlfn.IFS(
  AND(S734&gt;0,U734&gt;0),"Expansion",
  AND(S734&lt;0,U734&gt;0),"Slowdown",
  AND(S734&lt;0,U734&lt;0),"Contraction",
  AND(S734&gt;0,U734&lt;0),"Recovery",
  TRUE,"Undefined"
)</f>
        <v>Expansion</v>
      </c>
      <c r="W734">
        <f t="shared" si="107"/>
        <v>0</v>
      </c>
      <c r="X734">
        <f t="shared" si="108"/>
        <v>0</v>
      </c>
      <c r="Y734">
        <v>1</v>
      </c>
    </row>
    <row r="735" spans="1:25" x14ac:dyDescent="0.35">
      <c r="A735" s="1">
        <f>Data!A735</f>
        <v>39479</v>
      </c>
      <c r="B735" s="2">
        <f>IFERROR((Data!B735/Data!B734-1)*100,"")</f>
        <v>0.24178268779397882</v>
      </c>
      <c r="C735" s="2">
        <f>IFERROR((Data!C735/Data!C734-1)*100,"")</f>
        <v>-0.39219598453906768</v>
      </c>
      <c r="D735">
        <f t="shared" si="101"/>
        <v>-0.16322117068433931</v>
      </c>
      <c r="E735">
        <f t="shared" si="102"/>
        <v>0.29211821688808942</v>
      </c>
      <c r="P735" t="str" cm="1">
        <f t="array" ref="P735">_xlfn.IFS(
  AND(D735&gt;0,E735&gt;0),"Expansion",
  AND(D735&lt;0,E735&gt;0),"Slowdown",
  AND(D735&lt;0,E735&lt;0),"Contraction",
  AND(D735&gt;0,E735&lt;0),"Recovery",
  TRUE,"Undefined"
)</f>
        <v>Slowdown</v>
      </c>
      <c r="Q735" t="str">
        <f t="shared" si="109"/>
        <v>Expansion</v>
      </c>
      <c r="R735">
        <f t="shared" si="103"/>
        <v>1</v>
      </c>
      <c r="S735">
        <f t="shared" si="104"/>
        <v>1</v>
      </c>
      <c r="T735">
        <f t="shared" si="105"/>
        <v>1</v>
      </c>
      <c r="U735">
        <f t="shared" si="106"/>
        <v>1</v>
      </c>
      <c r="V735" t="str" cm="1">
        <f t="array" ref="V735">_xlfn.IFS(
  AND(S735&gt;0,U735&gt;0),"Expansion",
  AND(S735&lt;0,U735&gt;0),"Slowdown",
  AND(S735&lt;0,U735&lt;0),"Contraction",
  AND(S735&gt;0,U735&lt;0),"Recovery",
  TRUE,"Undefined"
)</f>
        <v>Expansion</v>
      </c>
      <c r="W735">
        <f t="shared" si="107"/>
        <v>0</v>
      </c>
      <c r="X735">
        <f t="shared" si="108"/>
        <v>0</v>
      </c>
      <c r="Y735">
        <v>1</v>
      </c>
    </row>
    <row r="736" spans="1:25" x14ac:dyDescent="0.35">
      <c r="A736" s="1">
        <f>Data!A736</f>
        <v>39508</v>
      </c>
      <c r="B736" s="2">
        <f>IFERROR((Data!B736/Data!B735-1)*100,"")</f>
        <v>0.3578027806118822</v>
      </c>
      <c r="C736" s="2">
        <f>IFERROR((Data!C736/Data!C735-1)*100,"")</f>
        <v>-0.30458407875589844</v>
      </c>
      <c r="D736">
        <f t="shared" si="101"/>
        <v>-0.27637658128291848</v>
      </c>
      <c r="E736">
        <f t="shared" si="102"/>
        <v>0.31478532536763176</v>
      </c>
      <c r="P736" t="str" cm="1">
        <f t="array" ref="P736">_xlfn.IFS(
  AND(D736&gt;0,E736&gt;0),"Expansion",
  AND(D736&lt;0,E736&gt;0),"Slowdown",
  AND(D736&lt;0,E736&lt;0),"Contraction",
  AND(D736&gt;0,E736&lt;0),"Recovery",
  TRUE,"Undefined"
)</f>
        <v>Slowdown</v>
      </c>
      <c r="Q736" t="str">
        <f t="shared" si="109"/>
        <v>Expansion</v>
      </c>
      <c r="R736">
        <f t="shared" si="103"/>
        <v>-1</v>
      </c>
      <c r="S736">
        <f t="shared" si="104"/>
        <v>-1</v>
      </c>
      <c r="T736">
        <f t="shared" si="105"/>
        <v>1</v>
      </c>
      <c r="U736">
        <f t="shared" si="106"/>
        <v>1</v>
      </c>
      <c r="V736" t="str" cm="1">
        <f t="array" ref="V736">_xlfn.IFS(
  AND(S736&gt;0,U736&gt;0),"Expansion",
  AND(S736&lt;0,U736&gt;0),"Slowdown",
  AND(S736&lt;0,U736&lt;0),"Contraction",
  AND(S736&gt;0,U736&lt;0),"Recovery",
  TRUE,"Undefined"
)</f>
        <v>Slowdown</v>
      </c>
      <c r="W736">
        <f t="shared" si="107"/>
        <v>0</v>
      </c>
      <c r="X736">
        <f t="shared" si="108"/>
        <v>0</v>
      </c>
      <c r="Y736">
        <v>1</v>
      </c>
    </row>
    <row r="737" spans="1:25" x14ac:dyDescent="0.35">
      <c r="A737" s="1">
        <f>Data!A737</f>
        <v>39539</v>
      </c>
      <c r="B737" s="2">
        <f>IFERROR((Data!B737/Data!B736-1)*100,"")</f>
        <v>0.23143810202015391</v>
      </c>
      <c r="C737" s="2">
        <f>IFERROR((Data!C737/Data!C736-1)*100,"")</f>
        <v>-0.64520513406399749</v>
      </c>
      <c r="D737">
        <f t="shared" si="101"/>
        <v>-0.44732839911965455</v>
      </c>
      <c r="E737">
        <f t="shared" si="102"/>
        <v>0.27700785680867163</v>
      </c>
      <c r="P737" t="str" cm="1">
        <f t="array" ref="P737">_xlfn.IFS(
  AND(D737&gt;0,E737&gt;0),"Expansion",
  AND(D737&lt;0,E737&gt;0),"Slowdown",
  AND(D737&lt;0,E737&lt;0),"Contraction",
  AND(D737&gt;0,E737&lt;0),"Recovery",
  TRUE,"Undefined"
)</f>
        <v>Slowdown</v>
      </c>
      <c r="Q737" t="str">
        <f t="shared" si="109"/>
        <v>Slowdown</v>
      </c>
      <c r="R737">
        <f t="shared" si="103"/>
        <v>-1</v>
      </c>
      <c r="S737">
        <f t="shared" si="104"/>
        <v>-1</v>
      </c>
      <c r="T737">
        <f t="shared" si="105"/>
        <v>1</v>
      </c>
      <c r="U737">
        <f t="shared" si="106"/>
        <v>1</v>
      </c>
      <c r="V737" t="str" cm="1">
        <f t="array" ref="V737">_xlfn.IFS(
  AND(S737&gt;0,U737&gt;0),"Expansion",
  AND(S737&lt;0,U737&gt;0),"Slowdown",
  AND(S737&lt;0,U737&lt;0),"Contraction",
  AND(S737&gt;0,U737&lt;0),"Recovery",
  TRUE,"Undefined"
)</f>
        <v>Slowdown</v>
      </c>
      <c r="W737">
        <f t="shared" si="107"/>
        <v>0</v>
      </c>
      <c r="X737">
        <f t="shared" si="108"/>
        <v>0</v>
      </c>
      <c r="Y737">
        <v>1</v>
      </c>
    </row>
    <row r="738" spans="1:25" x14ac:dyDescent="0.35">
      <c r="A738" s="1">
        <f>Data!A738</f>
        <v>39569</v>
      </c>
      <c r="B738" s="2">
        <f>IFERROR((Data!B738/Data!B737-1)*100,"")</f>
        <v>0.59174916566171465</v>
      </c>
      <c r="C738" s="2">
        <f>IFERROR((Data!C738/Data!C737-1)*100,"")</f>
        <v>-0.60577823817761223</v>
      </c>
      <c r="D738">
        <f t="shared" si="101"/>
        <v>-0.51852248366583609</v>
      </c>
      <c r="E738">
        <f t="shared" si="102"/>
        <v>0.39366334943125025</v>
      </c>
      <c r="P738" t="str" cm="1">
        <f t="array" ref="P738">_xlfn.IFS(
  AND(D738&gt;0,E738&gt;0),"Expansion",
  AND(D738&lt;0,E738&gt;0),"Slowdown",
  AND(D738&lt;0,E738&lt;0),"Contraction",
  AND(D738&gt;0,E738&lt;0),"Recovery",
  TRUE,"Undefined"
)</f>
        <v>Slowdown</v>
      </c>
      <c r="Q738" t="str">
        <f t="shared" si="109"/>
        <v>Slowdown</v>
      </c>
      <c r="R738">
        <f t="shared" si="103"/>
        <v>-1</v>
      </c>
      <c r="S738">
        <f t="shared" si="104"/>
        <v>-1</v>
      </c>
      <c r="T738">
        <f t="shared" si="105"/>
        <v>1</v>
      </c>
      <c r="U738">
        <f t="shared" si="106"/>
        <v>1</v>
      </c>
      <c r="V738" t="str" cm="1">
        <f t="array" ref="V738">_xlfn.IFS(
  AND(S738&gt;0,U738&gt;0),"Expansion",
  AND(S738&lt;0,U738&gt;0),"Slowdown",
  AND(S738&lt;0,U738&lt;0),"Contraction",
  AND(S738&gt;0,U738&lt;0),"Recovery",
  TRUE,"Undefined"
)</f>
        <v>Slowdown</v>
      </c>
      <c r="W738">
        <f t="shared" si="107"/>
        <v>0</v>
      </c>
      <c r="X738">
        <f t="shared" si="108"/>
        <v>0</v>
      </c>
      <c r="Y738">
        <v>1</v>
      </c>
    </row>
    <row r="739" spans="1:25" x14ac:dyDescent="0.35">
      <c r="A739" s="1">
        <f>Data!A739</f>
        <v>39600</v>
      </c>
      <c r="B739" s="2">
        <f>IFERROR((Data!B739/Data!B738-1)*100,"")</f>
        <v>1.04782350098509</v>
      </c>
      <c r="C739" s="2">
        <f>IFERROR((Data!C739/Data!C738-1)*100,"")</f>
        <v>-0.23327621938934451</v>
      </c>
      <c r="D739">
        <f t="shared" si="101"/>
        <v>-0.49475319721031807</v>
      </c>
      <c r="E739">
        <f t="shared" si="102"/>
        <v>0.62367025622231953</v>
      </c>
      <c r="P739" t="str" cm="1">
        <f t="array" ref="P739">_xlfn.IFS(
  AND(D739&gt;0,E739&gt;0),"Expansion",
  AND(D739&lt;0,E739&gt;0),"Slowdown",
  AND(D739&lt;0,E739&lt;0),"Contraction",
  AND(D739&gt;0,E739&lt;0),"Recovery",
  TRUE,"Undefined"
)</f>
        <v>Slowdown</v>
      </c>
      <c r="Q739" t="str">
        <f t="shared" si="109"/>
        <v>Slowdown</v>
      </c>
      <c r="R739">
        <f t="shared" si="103"/>
        <v>-1</v>
      </c>
      <c r="S739">
        <f t="shared" si="104"/>
        <v>-1</v>
      </c>
      <c r="T739">
        <f t="shared" si="105"/>
        <v>1</v>
      </c>
      <c r="U739">
        <f t="shared" si="106"/>
        <v>1</v>
      </c>
      <c r="V739" t="str" cm="1">
        <f t="array" ref="V739">_xlfn.IFS(
  AND(S739&gt;0,U739&gt;0),"Expansion",
  AND(S739&lt;0,U739&gt;0),"Slowdown",
  AND(S739&lt;0,U739&lt;0),"Contraction",
  AND(S739&gt;0,U739&lt;0),"Recovery",
  TRUE,"Undefined"
)</f>
        <v>Slowdown</v>
      </c>
      <c r="W739">
        <f t="shared" si="107"/>
        <v>0</v>
      </c>
      <c r="X739">
        <f t="shared" si="108"/>
        <v>0</v>
      </c>
      <c r="Y739">
        <v>1</v>
      </c>
    </row>
    <row r="740" spans="1:25" x14ac:dyDescent="0.35">
      <c r="A740" s="1">
        <f>Data!A740</f>
        <v>39630</v>
      </c>
      <c r="B740" s="2">
        <f>IFERROR((Data!B740/Data!B739-1)*100,"")</f>
        <v>0.71414447515210089</v>
      </c>
      <c r="C740" s="2">
        <f>IFERROR((Data!C740/Data!C739-1)*100,"")</f>
        <v>-0.35738027760700009</v>
      </c>
      <c r="D740">
        <f t="shared" si="101"/>
        <v>-0.39881157839131892</v>
      </c>
      <c r="E740">
        <f t="shared" si="102"/>
        <v>0.78457238059963519</v>
      </c>
      <c r="P740" t="str" cm="1">
        <f t="array" ref="P740">_xlfn.IFS(
  AND(D740&gt;0,E740&gt;0),"Expansion",
  AND(D740&lt;0,E740&gt;0),"Slowdown",
  AND(D740&lt;0,E740&lt;0),"Contraction",
  AND(D740&gt;0,E740&lt;0),"Recovery",
  TRUE,"Undefined"
)</f>
        <v>Slowdown</v>
      </c>
      <c r="Q740" t="str">
        <f t="shared" si="109"/>
        <v>Slowdown</v>
      </c>
      <c r="R740">
        <f t="shared" si="103"/>
        <v>-1</v>
      </c>
      <c r="S740">
        <f t="shared" si="104"/>
        <v>-1</v>
      </c>
      <c r="T740">
        <f t="shared" si="105"/>
        <v>1</v>
      </c>
      <c r="U740">
        <f t="shared" si="106"/>
        <v>1</v>
      </c>
      <c r="V740" t="str" cm="1">
        <f t="array" ref="V740">_xlfn.IFS(
  AND(S740&gt;0,U740&gt;0),"Expansion",
  AND(S740&lt;0,U740&gt;0),"Slowdown",
  AND(S740&lt;0,U740&lt;0),"Contraction",
  AND(S740&gt;0,U740&lt;0),"Recovery",
  TRUE,"Undefined"
)</f>
        <v>Slowdown</v>
      </c>
      <c r="W740">
        <f t="shared" si="107"/>
        <v>0</v>
      </c>
      <c r="X740">
        <f t="shared" si="108"/>
        <v>0</v>
      </c>
      <c r="Y740">
        <v>1</v>
      </c>
    </row>
    <row r="741" spans="1:25" x14ac:dyDescent="0.35">
      <c r="A741" s="1">
        <f>Data!A741</f>
        <v>39661</v>
      </c>
      <c r="B741" s="2">
        <f>IFERROR((Data!B741/Data!B740-1)*100,"")</f>
        <v>-0.14884757278006422</v>
      </c>
      <c r="C741" s="2">
        <f>IFERROR((Data!C741/Data!C740-1)*100,"")</f>
        <v>-1.5699867570929893</v>
      </c>
      <c r="D741">
        <f t="shared" si="101"/>
        <v>-0.72021441802977793</v>
      </c>
      <c r="E741">
        <f t="shared" si="102"/>
        <v>0.53770680111904223</v>
      </c>
      <c r="P741" t="str" cm="1">
        <f t="array" ref="P741">_xlfn.IFS(
  AND(D741&gt;0,E741&gt;0),"Expansion",
  AND(D741&lt;0,E741&gt;0),"Slowdown",
  AND(D741&lt;0,E741&lt;0),"Contraction",
  AND(D741&gt;0,E741&lt;0),"Recovery",
  TRUE,"Undefined"
)</f>
        <v>Slowdown</v>
      </c>
      <c r="Q741" t="str">
        <f t="shared" si="109"/>
        <v>Slowdown</v>
      </c>
      <c r="R741">
        <f t="shared" si="103"/>
        <v>-1</v>
      </c>
      <c r="S741">
        <f t="shared" si="104"/>
        <v>-1</v>
      </c>
      <c r="T741">
        <f t="shared" si="105"/>
        <v>1</v>
      </c>
      <c r="U741">
        <f t="shared" si="106"/>
        <v>1</v>
      </c>
      <c r="V741" t="str" cm="1">
        <f t="array" ref="V741">_xlfn.IFS(
  AND(S741&gt;0,U741&gt;0),"Expansion",
  AND(S741&lt;0,U741&gt;0),"Slowdown",
  AND(S741&lt;0,U741&lt;0),"Contraction",
  AND(S741&gt;0,U741&lt;0),"Recovery",
  TRUE,"Undefined"
)</f>
        <v>Slowdown</v>
      </c>
      <c r="W741">
        <f t="shared" si="107"/>
        <v>0</v>
      </c>
      <c r="X741">
        <f t="shared" si="108"/>
        <v>0</v>
      </c>
      <c r="Y741">
        <v>1</v>
      </c>
    </row>
    <row r="742" spans="1:25" x14ac:dyDescent="0.35">
      <c r="A742" s="1">
        <f>Data!A742</f>
        <v>39692</v>
      </c>
      <c r="B742" s="2">
        <f>IFERROR((Data!B742/Data!B741-1)*100,"")</f>
        <v>8.550916822900323E-2</v>
      </c>
      <c r="C742" s="2">
        <f>IFERROR((Data!C742/Data!C741-1)*100,"")</f>
        <v>-4.4048023108496315</v>
      </c>
      <c r="D742">
        <f t="shared" si="101"/>
        <v>-2.1107231151832071</v>
      </c>
      <c r="E742">
        <f t="shared" si="102"/>
        <v>0.21693535686701329</v>
      </c>
      <c r="P742" t="str" cm="1">
        <f t="array" ref="P742">_xlfn.IFS(
  AND(D742&gt;0,E742&gt;0),"Expansion",
  AND(D742&lt;0,E742&gt;0),"Slowdown",
  AND(D742&lt;0,E742&lt;0),"Contraction",
  AND(D742&gt;0,E742&lt;0),"Recovery",
  TRUE,"Undefined"
)</f>
        <v>Slowdown</v>
      </c>
      <c r="Q742" t="str">
        <f t="shared" si="109"/>
        <v>Slowdown</v>
      </c>
      <c r="R742">
        <f t="shared" si="103"/>
        <v>-1</v>
      </c>
      <c r="S742">
        <f t="shared" si="104"/>
        <v>-1</v>
      </c>
      <c r="T742">
        <f t="shared" si="105"/>
        <v>1</v>
      </c>
      <c r="U742">
        <f t="shared" si="106"/>
        <v>1</v>
      </c>
      <c r="V742" t="str" cm="1">
        <f t="array" ref="V742">_xlfn.IFS(
  AND(S742&gt;0,U742&gt;0),"Expansion",
  AND(S742&lt;0,U742&gt;0),"Slowdown",
  AND(S742&lt;0,U742&lt;0),"Contraction",
  AND(S742&gt;0,U742&lt;0),"Recovery",
  TRUE,"Undefined"
)</f>
        <v>Slowdown</v>
      </c>
      <c r="W742">
        <f t="shared" si="107"/>
        <v>0</v>
      </c>
      <c r="X742">
        <f t="shared" si="108"/>
        <v>0</v>
      </c>
      <c r="Y742">
        <v>1</v>
      </c>
    </row>
    <row r="743" spans="1:25" x14ac:dyDescent="0.35">
      <c r="A743" s="1">
        <f>Data!A743</f>
        <v>39722</v>
      </c>
      <c r="B743" s="2">
        <f>IFERROR((Data!B743/Data!B742-1)*100,"")</f>
        <v>-0.85984365648286154</v>
      </c>
      <c r="C743" s="2">
        <f>IFERROR((Data!C743/Data!C742-1)*100,"")</f>
        <v>0.99414113520170933</v>
      </c>
      <c r="D743">
        <f t="shared" si="101"/>
        <v>-1.6602159775803038</v>
      </c>
      <c r="E743">
        <f t="shared" si="102"/>
        <v>-0.30772735367797416</v>
      </c>
      <c r="P743" t="str" cm="1">
        <f t="array" ref="P743">_xlfn.IFS(
  AND(D743&gt;0,E743&gt;0),"Expansion",
  AND(D743&lt;0,E743&gt;0),"Slowdown",
  AND(D743&lt;0,E743&lt;0),"Contraction",
  AND(D743&gt;0,E743&lt;0),"Recovery",
  TRUE,"Undefined"
)</f>
        <v>Contraction</v>
      </c>
      <c r="Q743" t="str">
        <f t="shared" si="109"/>
        <v>Slowdown</v>
      </c>
      <c r="R743">
        <f t="shared" si="103"/>
        <v>-1</v>
      </c>
      <c r="S743">
        <f t="shared" si="104"/>
        <v>-1</v>
      </c>
      <c r="T743">
        <f t="shared" si="105"/>
        <v>-1</v>
      </c>
      <c r="U743">
        <f t="shared" si="106"/>
        <v>-1</v>
      </c>
      <c r="V743" t="str" cm="1">
        <f t="array" ref="V743">_xlfn.IFS(
  AND(S743&gt;0,U743&gt;0),"Expansion",
  AND(S743&lt;0,U743&gt;0),"Slowdown",
  AND(S743&lt;0,U743&lt;0),"Contraction",
  AND(S743&gt;0,U743&lt;0),"Recovery",
  TRUE,"Undefined"
)</f>
        <v>Contraction</v>
      </c>
      <c r="W743">
        <f t="shared" si="107"/>
        <v>0</v>
      </c>
      <c r="X743">
        <f t="shared" si="108"/>
        <v>1</v>
      </c>
      <c r="Y743">
        <v>1</v>
      </c>
    </row>
    <row r="744" spans="1:25" x14ac:dyDescent="0.35">
      <c r="A744" s="1">
        <f>Data!A744</f>
        <v>39753</v>
      </c>
      <c r="B744" s="2">
        <f>IFERROR((Data!B744/Data!B743-1)*100,"")</f>
        <v>-1.7705477084725474</v>
      </c>
      <c r="C744" s="2">
        <f>IFERROR((Data!C744/Data!C743-1)*100,"")</f>
        <v>-1.3200748718089517</v>
      </c>
      <c r="D744">
        <f t="shared" si="101"/>
        <v>-1.576912015818958</v>
      </c>
      <c r="E744">
        <f t="shared" si="102"/>
        <v>-0.8482940655754686</v>
      </c>
      <c r="P744" t="str" cm="1">
        <f t="array" ref="P744">_xlfn.IFS(
  AND(D744&gt;0,E744&gt;0),"Expansion",
  AND(D744&lt;0,E744&gt;0),"Slowdown",
  AND(D744&lt;0,E744&lt;0),"Contraction",
  AND(D744&gt;0,E744&lt;0),"Recovery",
  TRUE,"Undefined"
)</f>
        <v>Contraction</v>
      </c>
      <c r="Q744" t="str">
        <f t="shared" si="109"/>
        <v>Slowdown</v>
      </c>
      <c r="R744">
        <f t="shared" si="103"/>
        <v>-1</v>
      </c>
      <c r="S744">
        <f t="shared" si="104"/>
        <v>-1</v>
      </c>
      <c r="T744">
        <f t="shared" si="105"/>
        <v>-1</v>
      </c>
      <c r="U744">
        <f t="shared" si="106"/>
        <v>-1</v>
      </c>
      <c r="V744" t="str" cm="1">
        <f t="array" ref="V744">_xlfn.IFS(
  AND(S744&gt;0,U744&gt;0),"Expansion",
  AND(S744&lt;0,U744&gt;0),"Slowdown",
  AND(S744&lt;0,U744&lt;0),"Contraction",
  AND(S744&gt;0,U744&lt;0),"Recovery",
  TRUE,"Undefined"
)</f>
        <v>Contraction</v>
      </c>
      <c r="W744">
        <f t="shared" si="107"/>
        <v>0</v>
      </c>
      <c r="X744">
        <f t="shared" si="108"/>
        <v>1</v>
      </c>
      <c r="Y744">
        <v>1</v>
      </c>
    </row>
    <row r="745" spans="1:25" x14ac:dyDescent="0.35">
      <c r="A745" s="1">
        <f>Data!A745</f>
        <v>39783</v>
      </c>
      <c r="B745" s="2">
        <f>IFERROR((Data!B745/Data!B744-1)*100,"")</f>
        <v>-0.82335223994032258</v>
      </c>
      <c r="C745" s="2">
        <f>IFERROR((Data!C745/Data!C744-1)*100,"")</f>
        <v>-2.8198969739439361</v>
      </c>
      <c r="D745">
        <f t="shared" si="101"/>
        <v>-1.0486102368503929</v>
      </c>
      <c r="E745">
        <f t="shared" si="102"/>
        <v>-1.1512478682985772</v>
      </c>
      <c r="P745" t="str" cm="1">
        <f t="array" ref="P745">_xlfn.IFS(
  AND(D745&gt;0,E745&gt;0),"Expansion",
  AND(D745&lt;0,E745&gt;0),"Slowdown",
  AND(D745&lt;0,E745&lt;0),"Contraction",
  AND(D745&gt;0,E745&lt;0),"Recovery",
  TRUE,"Undefined"
)</f>
        <v>Contraction</v>
      </c>
      <c r="Q745" t="str">
        <f t="shared" si="109"/>
        <v>Contraction</v>
      </c>
      <c r="R745">
        <f t="shared" si="103"/>
        <v>-1</v>
      </c>
      <c r="S745">
        <f t="shared" si="104"/>
        <v>-1</v>
      </c>
      <c r="T745">
        <f t="shared" si="105"/>
        <v>-1</v>
      </c>
      <c r="U745">
        <f t="shared" si="106"/>
        <v>-1</v>
      </c>
      <c r="V745" t="str" cm="1">
        <f t="array" ref="V745">_xlfn.IFS(
  AND(S745&gt;0,U745&gt;0),"Expansion",
  AND(S745&lt;0,U745&gt;0),"Slowdown",
  AND(S745&lt;0,U745&lt;0),"Contraction",
  AND(S745&gt;0,U745&lt;0),"Recovery",
  TRUE,"Undefined"
)</f>
        <v>Contraction</v>
      </c>
      <c r="W745">
        <f t="shared" si="107"/>
        <v>1</v>
      </c>
      <c r="X745">
        <f t="shared" si="108"/>
        <v>1</v>
      </c>
      <c r="Y745">
        <v>1</v>
      </c>
    </row>
    <row r="746" spans="1:25" x14ac:dyDescent="0.35">
      <c r="A746" s="1">
        <f>Data!A746</f>
        <v>39814</v>
      </c>
      <c r="B746" s="2">
        <f>IFERROR((Data!B746/Data!B745-1)*100,"")</f>
        <v>0.25307713412614508</v>
      </c>
      <c r="C746" s="2">
        <f>IFERROR((Data!C746/Data!C745-1)*100,"")</f>
        <v>-2.4942836351786957</v>
      </c>
      <c r="D746">
        <f t="shared" si="101"/>
        <v>-2.211418493643861</v>
      </c>
      <c r="E746">
        <f t="shared" si="102"/>
        <v>-0.78027427142890826</v>
      </c>
      <c r="P746" t="str" cm="1">
        <f t="array" ref="P746">_xlfn.IFS(
  AND(D746&gt;0,E746&gt;0),"Expansion",
  AND(D746&lt;0,E746&gt;0),"Slowdown",
  AND(D746&lt;0,E746&lt;0),"Contraction",
  AND(D746&gt;0,E746&lt;0),"Recovery",
  TRUE,"Undefined"
)</f>
        <v>Contraction</v>
      </c>
      <c r="Q746" t="str">
        <f t="shared" si="109"/>
        <v>Contraction</v>
      </c>
      <c r="R746">
        <f t="shared" si="103"/>
        <v>-1</v>
      </c>
      <c r="S746">
        <f t="shared" si="104"/>
        <v>-1</v>
      </c>
      <c r="T746">
        <f t="shared" si="105"/>
        <v>-1</v>
      </c>
      <c r="U746">
        <f t="shared" si="106"/>
        <v>-1</v>
      </c>
      <c r="V746" t="str" cm="1">
        <f t="array" ref="V746">_xlfn.IFS(
  AND(S746&gt;0,U746&gt;0),"Expansion",
  AND(S746&lt;0,U746&gt;0),"Slowdown",
  AND(S746&lt;0,U746&lt;0),"Contraction",
  AND(S746&gt;0,U746&lt;0),"Recovery",
  TRUE,"Undefined"
)</f>
        <v>Contraction</v>
      </c>
      <c r="W746">
        <f t="shared" si="107"/>
        <v>1</v>
      </c>
      <c r="X746">
        <f t="shared" si="108"/>
        <v>1</v>
      </c>
      <c r="Y746">
        <v>1</v>
      </c>
    </row>
    <row r="747" spans="1:25" x14ac:dyDescent="0.35">
      <c r="A747" s="1">
        <f>Data!A747</f>
        <v>39845</v>
      </c>
      <c r="B747" s="2">
        <f>IFERROR((Data!B747/Data!B746-1)*100,"")</f>
        <v>0.36426606521873239</v>
      </c>
      <c r="C747" s="2">
        <f>IFERROR((Data!C747/Data!C746-1)*100,"")</f>
        <v>-0.60855820255163451</v>
      </c>
      <c r="D747">
        <f t="shared" si="101"/>
        <v>-1.9742462705580888</v>
      </c>
      <c r="E747">
        <f t="shared" si="102"/>
        <v>-6.86696801984817E-2</v>
      </c>
      <c r="P747" t="str" cm="1">
        <f t="array" ref="P747">_xlfn.IFS(
  AND(D747&gt;0,E747&gt;0),"Expansion",
  AND(D747&lt;0,E747&gt;0),"Slowdown",
  AND(D747&lt;0,E747&lt;0),"Contraction",
  AND(D747&gt;0,E747&lt;0),"Recovery",
  TRUE,"Undefined"
)</f>
        <v>Contraction</v>
      </c>
      <c r="Q747" t="str">
        <f t="shared" si="109"/>
        <v>Contraction</v>
      </c>
      <c r="R747">
        <f t="shared" si="103"/>
        <v>-1</v>
      </c>
      <c r="S747">
        <f t="shared" si="104"/>
        <v>-1</v>
      </c>
      <c r="T747">
        <f t="shared" si="105"/>
        <v>-1</v>
      </c>
      <c r="U747">
        <f t="shared" si="106"/>
        <v>-1</v>
      </c>
      <c r="V747" t="str" cm="1">
        <f t="array" ref="V747">_xlfn.IFS(
  AND(S747&gt;0,U747&gt;0),"Expansion",
  AND(S747&lt;0,U747&gt;0),"Slowdown",
  AND(S747&lt;0,U747&lt;0),"Contraction",
  AND(S747&gt;0,U747&lt;0),"Recovery",
  TRUE,"Undefined"
)</f>
        <v>Contraction</v>
      </c>
      <c r="W747">
        <f t="shared" si="107"/>
        <v>1</v>
      </c>
      <c r="X747">
        <f t="shared" si="108"/>
        <v>1</v>
      </c>
      <c r="Y747">
        <v>1</v>
      </c>
    </row>
    <row r="748" spans="1:25" x14ac:dyDescent="0.35">
      <c r="A748" s="1">
        <f>Data!A748</f>
        <v>39873</v>
      </c>
      <c r="B748" s="2">
        <f>IFERROR((Data!B748/Data!B747-1)*100,"")</f>
        <v>-9.8728285653848502E-2</v>
      </c>
      <c r="C748" s="2">
        <f>IFERROR((Data!C748/Data!C747-1)*100,"")</f>
        <v>-1.5655848507912018</v>
      </c>
      <c r="D748">
        <f t="shared" si="101"/>
        <v>-1.5561422295071772</v>
      </c>
      <c r="E748">
        <f t="shared" si="102"/>
        <v>0.17287163789700966</v>
      </c>
      <c r="P748" t="str" cm="1">
        <f t="array" ref="P748">_xlfn.IFS(
  AND(D748&gt;0,E748&gt;0),"Expansion",
  AND(D748&lt;0,E748&gt;0),"Slowdown",
  AND(D748&lt;0,E748&lt;0),"Contraction",
  AND(D748&gt;0,E748&lt;0),"Recovery",
  TRUE,"Undefined"
)</f>
        <v>Slowdown</v>
      </c>
      <c r="Q748" t="str">
        <f t="shared" si="109"/>
        <v>Contraction</v>
      </c>
      <c r="R748">
        <f t="shared" si="103"/>
        <v>-1</v>
      </c>
      <c r="S748">
        <f t="shared" si="104"/>
        <v>-1</v>
      </c>
      <c r="T748">
        <f t="shared" si="105"/>
        <v>1</v>
      </c>
      <c r="U748">
        <f t="shared" si="106"/>
        <v>1</v>
      </c>
      <c r="V748" t="str" cm="1">
        <f t="array" ref="V748">_xlfn.IFS(
  AND(S748&gt;0,U748&gt;0),"Expansion",
  AND(S748&lt;0,U748&gt;0),"Slowdown",
  AND(S748&lt;0,U748&lt;0),"Contraction",
  AND(S748&gt;0,U748&lt;0),"Recovery",
  TRUE,"Undefined"
)</f>
        <v>Slowdown</v>
      </c>
      <c r="W748">
        <f t="shared" si="107"/>
        <v>1</v>
      </c>
      <c r="X748">
        <f t="shared" si="108"/>
        <v>0</v>
      </c>
      <c r="Y748">
        <v>1</v>
      </c>
    </row>
    <row r="749" spans="1:25" x14ac:dyDescent="0.35">
      <c r="A749" s="1">
        <f>Data!A749</f>
        <v>39904</v>
      </c>
      <c r="B749" s="2">
        <f>IFERROR((Data!B749/Data!B748-1)*100,"")</f>
        <v>0.10070825195886979</v>
      </c>
      <c r="C749" s="2">
        <f>IFERROR((Data!C749/Data!C748-1)*100,"")</f>
        <v>-0.82905572583921172</v>
      </c>
      <c r="D749">
        <f t="shared" si="101"/>
        <v>-1.0010662597273494</v>
      </c>
      <c r="E749">
        <f t="shared" si="102"/>
        <v>0.12208201050791789</v>
      </c>
      <c r="P749" t="str" cm="1">
        <f t="array" ref="P749">_xlfn.IFS(
  AND(D749&gt;0,E749&gt;0),"Expansion",
  AND(D749&lt;0,E749&gt;0),"Slowdown",
  AND(D749&lt;0,E749&lt;0),"Contraction",
  AND(D749&gt;0,E749&lt;0),"Recovery",
  TRUE,"Undefined"
)</f>
        <v>Slowdown</v>
      </c>
      <c r="Q749" t="str">
        <f t="shared" si="109"/>
        <v>Contraction</v>
      </c>
      <c r="R749">
        <f t="shared" si="103"/>
        <v>-1</v>
      </c>
      <c r="S749">
        <f t="shared" si="104"/>
        <v>-1</v>
      </c>
      <c r="T749">
        <f t="shared" si="105"/>
        <v>1</v>
      </c>
      <c r="U749">
        <f t="shared" si="106"/>
        <v>1</v>
      </c>
      <c r="V749" t="str" cm="1">
        <f t="array" ref="V749">_xlfn.IFS(
  AND(S749&gt;0,U749&gt;0),"Expansion",
  AND(S749&lt;0,U749&gt;0),"Slowdown",
  AND(S749&lt;0,U749&lt;0),"Contraction",
  AND(S749&gt;0,U749&lt;0),"Recovery",
  TRUE,"Undefined"
)</f>
        <v>Slowdown</v>
      </c>
      <c r="W749">
        <f t="shared" si="107"/>
        <v>1</v>
      </c>
      <c r="X749">
        <f t="shared" si="108"/>
        <v>0</v>
      </c>
      <c r="Y749">
        <v>1</v>
      </c>
    </row>
    <row r="750" spans="1:25" x14ac:dyDescent="0.35">
      <c r="A750" s="1">
        <f>Data!A750</f>
        <v>39934</v>
      </c>
      <c r="B750" s="2">
        <f>IFERROR((Data!B750/Data!B749-1)*100,"")</f>
        <v>0.14714939189219844</v>
      </c>
      <c r="C750" s="2">
        <f>IFERROR((Data!C750/Data!C749-1)*100,"")</f>
        <v>-1.0099564318829191</v>
      </c>
      <c r="D750">
        <f t="shared" si="101"/>
        <v>-1.1348656695044441</v>
      </c>
      <c r="E750">
        <f t="shared" si="102"/>
        <v>4.9709786065739912E-2</v>
      </c>
      <c r="P750" t="str" cm="1">
        <f t="array" ref="P750">_xlfn.IFS(
  AND(D750&gt;0,E750&gt;0),"Expansion",
  AND(D750&lt;0,E750&gt;0),"Slowdown",
  AND(D750&lt;0,E750&lt;0),"Contraction",
  AND(D750&gt;0,E750&lt;0),"Recovery",
  TRUE,"Undefined"
)</f>
        <v>Slowdown</v>
      </c>
      <c r="Q750" t="str">
        <f t="shared" si="109"/>
        <v>Slowdown</v>
      </c>
      <c r="R750">
        <f t="shared" si="103"/>
        <v>-1</v>
      </c>
      <c r="S750">
        <f t="shared" si="104"/>
        <v>-1</v>
      </c>
      <c r="T750">
        <f t="shared" si="105"/>
        <v>1</v>
      </c>
      <c r="U750">
        <f t="shared" si="106"/>
        <v>1</v>
      </c>
      <c r="V750" t="str" cm="1">
        <f t="array" ref="V750">_xlfn.IFS(
  AND(S750&gt;0,U750&gt;0),"Expansion",
  AND(S750&lt;0,U750&gt;0),"Slowdown",
  AND(S750&lt;0,U750&lt;0),"Contraction",
  AND(S750&gt;0,U750&lt;0),"Recovery",
  TRUE,"Undefined"
)</f>
        <v>Slowdown</v>
      </c>
      <c r="W750">
        <f t="shared" si="107"/>
        <v>0</v>
      </c>
      <c r="X750">
        <f t="shared" si="108"/>
        <v>0</v>
      </c>
      <c r="Y750">
        <v>1</v>
      </c>
    </row>
    <row r="751" spans="1:25" x14ac:dyDescent="0.35">
      <c r="A751" s="1">
        <f>Data!A751</f>
        <v>39965</v>
      </c>
      <c r="B751" s="2">
        <f>IFERROR((Data!B751/Data!B750-1)*100,"")</f>
        <v>0.82996122466223454</v>
      </c>
      <c r="C751" s="2">
        <f>IFERROR((Data!C751/Data!C750-1)*100,"")</f>
        <v>-0.37688161614736204</v>
      </c>
      <c r="D751">
        <f t="shared" si="101"/>
        <v>-0.73863125795649764</v>
      </c>
      <c r="E751">
        <f t="shared" si="102"/>
        <v>0.35927295617110094</v>
      </c>
      <c r="P751" t="str" cm="1">
        <f t="array" ref="P751">_xlfn.IFS(
  AND(D751&gt;0,E751&gt;0),"Expansion",
  AND(D751&lt;0,E751&gt;0),"Slowdown",
  AND(D751&lt;0,E751&lt;0),"Contraction",
  AND(D751&gt;0,E751&lt;0),"Recovery",
  TRUE,"Undefined"
)</f>
        <v>Slowdown</v>
      </c>
      <c r="Q751" t="str">
        <f t="shared" si="109"/>
        <v>Slowdown</v>
      </c>
      <c r="R751">
        <f t="shared" si="103"/>
        <v>-1</v>
      </c>
      <c r="S751">
        <f t="shared" si="104"/>
        <v>-1</v>
      </c>
      <c r="T751">
        <f t="shared" si="105"/>
        <v>1</v>
      </c>
      <c r="U751">
        <f t="shared" si="106"/>
        <v>1</v>
      </c>
      <c r="V751" t="str" cm="1">
        <f t="array" ref="V751">_xlfn.IFS(
  AND(S751&gt;0,U751&gt;0),"Expansion",
  AND(S751&lt;0,U751&gt;0),"Slowdown",
  AND(S751&lt;0,U751&lt;0),"Contraction",
  AND(S751&gt;0,U751&lt;0),"Recovery",
  TRUE,"Undefined"
)</f>
        <v>Slowdown</v>
      </c>
      <c r="W751">
        <f t="shared" si="107"/>
        <v>0</v>
      </c>
      <c r="X751">
        <f t="shared" si="108"/>
        <v>0</v>
      </c>
      <c r="Y751">
        <v>1</v>
      </c>
    </row>
    <row r="752" spans="1:25" x14ac:dyDescent="0.35">
      <c r="A752" s="1">
        <f>Data!A752</f>
        <v>39995</v>
      </c>
      <c r="B752" s="2">
        <f>IFERROR((Data!B752/Data!B751-1)*100,"")</f>
        <v>-2.9796545463012247E-2</v>
      </c>
      <c r="C752" s="2">
        <f>IFERROR((Data!C752/Data!C751-1)*100,"")</f>
        <v>1.1290221709840731</v>
      </c>
      <c r="D752">
        <f t="shared" si="101"/>
        <v>-8.5938625682069336E-2</v>
      </c>
      <c r="E752">
        <f t="shared" si="102"/>
        <v>0.3157713570304736</v>
      </c>
      <c r="P752" t="str" cm="1">
        <f t="array" ref="P752">_xlfn.IFS(
  AND(D752&gt;0,E752&gt;0),"Expansion",
  AND(D752&lt;0,E752&gt;0),"Slowdown",
  AND(D752&lt;0,E752&lt;0),"Contraction",
  AND(D752&gt;0,E752&lt;0),"Recovery",
  TRUE,"Undefined"
)</f>
        <v>Slowdown</v>
      </c>
      <c r="Q752" t="str">
        <f t="shared" si="109"/>
        <v>Slowdown</v>
      </c>
      <c r="R752">
        <f t="shared" si="103"/>
        <v>1</v>
      </c>
      <c r="S752">
        <f t="shared" si="104"/>
        <v>1</v>
      </c>
      <c r="T752">
        <f t="shared" si="105"/>
        <v>1</v>
      </c>
      <c r="U752">
        <f t="shared" si="106"/>
        <v>1</v>
      </c>
      <c r="V752" t="str" cm="1">
        <f t="array" ref="V752">_xlfn.IFS(
  AND(S752&gt;0,U752&gt;0),"Expansion",
  AND(S752&lt;0,U752&gt;0),"Slowdown",
  AND(S752&lt;0,U752&lt;0),"Contraction",
  AND(S752&gt;0,U752&lt;0),"Recovery",
  TRUE,"Undefined"
)</f>
        <v>Expansion</v>
      </c>
      <c r="W752">
        <f t="shared" si="107"/>
        <v>0</v>
      </c>
      <c r="X752">
        <f t="shared" si="108"/>
        <v>0</v>
      </c>
      <c r="Y752">
        <v>0</v>
      </c>
    </row>
    <row r="753" spans="1:25" x14ac:dyDescent="0.35">
      <c r="A753" s="1">
        <f>Data!A753</f>
        <v>40026</v>
      </c>
      <c r="B753" s="2">
        <f>IFERROR((Data!B753/Data!B752-1)*100,"")</f>
        <v>0.33484533777929926</v>
      </c>
      <c r="C753" s="2">
        <f>IFERROR((Data!C753/Data!C752-1)*100,"")</f>
        <v>1.0966982370450573</v>
      </c>
      <c r="D753">
        <f t="shared" si="101"/>
        <v>0.61627959729392279</v>
      </c>
      <c r="E753">
        <f t="shared" si="102"/>
        <v>0.37833667232617385</v>
      </c>
      <c r="P753" t="str" cm="1">
        <f t="array" ref="P753">_xlfn.IFS(
  AND(D753&gt;0,E753&gt;0),"Expansion",
  AND(D753&lt;0,E753&gt;0),"Slowdown",
  AND(D753&lt;0,E753&lt;0),"Contraction",
  AND(D753&gt;0,E753&lt;0),"Recovery",
  TRUE,"Undefined"
)</f>
        <v>Expansion</v>
      </c>
      <c r="Q753" t="str">
        <f t="shared" si="109"/>
        <v>Slowdown</v>
      </c>
      <c r="R753">
        <f t="shared" si="103"/>
        <v>1</v>
      </c>
      <c r="S753">
        <f t="shared" si="104"/>
        <v>1</v>
      </c>
      <c r="T753">
        <f t="shared" si="105"/>
        <v>1</v>
      </c>
      <c r="U753">
        <f t="shared" si="106"/>
        <v>1</v>
      </c>
      <c r="V753" t="str" cm="1">
        <f t="array" ref="V753">_xlfn.IFS(
  AND(S753&gt;0,U753&gt;0),"Expansion",
  AND(S753&lt;0,U753&gt;0),"Slowdown",
  AND(S753&lt;0,U753&lt;0),"Contraction",
  AND(S753&gt;0,U753&lt;0),"Recovery",
  TRUE,"Undefined"
)</f>
        <v>Expansion</v>
      </c>
      <c r="W753">
        <f t="shared" si="107"/>
        <v>0</v>
      </c>
      <c r="X753">
        <f t="shared" si="108"/>
        <v>0</v>
      </c>
      <c r="Y753">
        <v>0</v>
      </c>
    </row>
    <row r="754" spans="1:25" x14ac:dyDescent="0.35">
      <c r="A754" s="1">
        <f>Data!A754</f>
        <v>40057</v>
      </c>
      <c r="B754" s="2">
        <f>IFERROR((Data!B754/Data!B753-1)*100,"")</f>
        <v>0.19308872334005134</v>
      </c>
      <c r="C754" s="2">
        <f>IFERROR((Data!C754/Data!C753-1)*100,"")</f>
        <v>0.88143707598802301</v>
      </c>
      <c r="D754">
        <f t="shared" si="101"/>
        <v>1.0357191613390511</v>
      </c>
      <c r="E754">
        <f t="shared" si="102"/>
        <v>0.16604583855211277</v>
      </c>
      <c r="P754" t="str" cm="1">
        <f t="array" ref="P754">_xlfn.IFS(
  AND(D754&gt;0,E754&gt;0),"Expansion",
  AND(D754&lt;0,E754&gt;0),"Slowdown",
  AND(D754&lt;0,E754&lt;0),"Contraction",
  AND(D754&gt;0,E754&lt;0),"Recovery",
  TRUE,"Undefined"
)</f>
        <v>Expansion</v>
      </c>
      <c r="Q754" t="str">
        <f t="shared" si="109"/>
        <v>Slowdown</v>
      </c>
      <c r="R754">
        <f t="shared" si="103"/>
        <v>1</v>
      </c>
      <c r="S754">
        <f t="shared" si="104"/>
        <v>1</v>
      </c>
      <c r="T754">
        <f t="shared" si="105"/>
        <v>1</v>
      </c>
      <c r="U754">
        <f t="shared" si="106"/>
        <v>1</v>
      </c>
      <c r="V754" t="str" cm="1">
        <f t="array" ref="V754">_xlfn.IFS(
  AND(S754&gt;0,U754&gt;0),"Expansion",
  AND(S754&lt;0,U754&gt;0),"Slowdown",
  AND(S754&lt;0,U754&lt;0),"Contraction",
  AND(S754&gt;0,U754&lt;0),"Recovery",
  TRUE,"Undefined"
)</f>
        <v>Expansion</v>
      </c>
      <c r="W754">
        <f t="shared" si="107"/>
        <v>0</v>
      </c>
      <c r="X754">
        <f t="shared" si="108"/>
        <v>0</v>
      </c>
      <c r="Y754">
        <v>0</v>
      </c>
    </row>
    <row r="755" spans="1:25" x14ac:dyDescent="0.35">
      <c r="A755" s="1">
        <f>Data!A755</f>
        <v>40087</v>
      </c>
      <c r="B755" s="2">
        <f>IFERROR((Data!B755/Data!B754-1)*100,"")</f>
        <v>0.3001931798703783</v>
      </c>
      <c r="C755" s="2">
        <f>IFERROR((Data!C755/Data!C754-1)*100,"")</f>
        <v>0.26954578788944694</v>
      </c>
      <c r="D755">
        <f t="shared" si="101"/>
        <v>0.74922703364084242</v>
      </c>
      <c r="E755">
        <f t="shared" si="102"/>
        <v>0.27604241366324295</v>
      </c>
      <c r="P755" t="str" cm="1">
        <f t="array" ref="P755">_xlfn.IFS(
  AND(D755&gt;0,E755&gt;0),"Expansion",
  AND(D755&lt;0,E755&gt;0),"Slowdown",
  AND(D755&lt;0,E755&lt;0),"Contraction",
  AND(D755&gt;0,E755&lt;0),"Recovery",
  TRUE,"Undefined"
)</f>
        <v>Expansion</v>
      </c>
      <c r="Q755" t="str">
        <f t="shared" si="109"/>
        <v>Expansion</v>
      </c>
      <c r="R755">
        <f t="shared" si="103"/>
        <v>1</v>
      </c>
      <c r="S755">
        <f t="shared" si="104"/>
        <v>1</v>
      </c>
      <c r="T755">
        <f t="shared" si="105"/>
        <v>1</v>
      </c>
      <c r="U755">
        <f t="shared" si="106"/>
        <v>1</v>
      </c>
      <c r="V755" t="str" cm="1">
        <f t="array" ref="V755">_xlfn.IFS(
  AND(S755&gt;0,U755&gt;0),"Expansion",
  AND(S755&lt;0,U755&gt;0),"Slowdown",
  AND(S755&lt;0,U755&lt;0),"Contraction",
  AND(S755&gt;0,U755&lt;0),"Recovery",
  TRUE,"Undefined"
)</f>
        <v>Expansion</v>
      </c>
      <c r="W755">
        <f t="shared" si="107"/>
        <v>0</v>
      </c>
      <c r="X755">
        <f t="shared" si="108"/>
        <v>0</v>
      </c>
      <c r="Y755">
        <v>0</v>
      </c>
    </row>
    <row r="756" spans="1:25" x14ac:dyDescent="0.35">
      <c r="A756" s="1">
        <f>Data!A756</f>
        <v>40118</v>
      </c>
      <c r="B756" s="2">
        <f>IFERROR((Data!B756/Data!B755-1)*100,"")</f>
        <v>0.33485905897676638</v>
      </c>
      <c r="C756" s="2">
        <f>IFERROR((Data!C756/Data!C755-1)*100,"")</f>
        <v>0.4338107685935455</v>
      </c>
      <c r="D756">
        <f t="shared" si="101"/>
        <v>0.52826454415700519</v>
      </c>
      <c r="E756">
        <f t="shared" si="102"/>
        <v>0.27604698739573202</v>
      </c>
      <c r="P756" t="str" cm="1">
        <f t="array" ref="P756">_xlfn.IFS(
  AND(D756&gt;0,E756&gt;0),"Expansion",
  AND(D756&lt;0,E756&gt;0),"Slowdown",
  AND(D756&lt;0,E756&lt;0),"Contraction",
  AND(D756&gt;0,E756&lt;0),"Recovery",
  TRUE,"Undefined"
)</f>
        <v>Expansion</v>
      </c>
      <c r="Q756" t="str">
        <f t="shared" si="109"/>
        <v>Expansion</v>
      </c>
      <c r="R756">
        <f t="shared" si="103"/>
        <v>1</v>
      </c>
      <c r="S756">
        <f t="shared" si="104"/>
        <v>1</v>
      </c>
      <c r="T756">
        <f t="shared" si="105"/>
        <v>1</v>
      </c>
      <c r="U756">
        <f t="shared" si="106"/>
        <v>1</v>
      </c>
      <c r="V756" t="str" cm="1">
        <f t="array" ref="V756">_xlfn.IFS(
  AND(S756&gt;0,U756&gt;0),"Expansion",
  AND(S756&lt;0,U756&gt;0),"Slowdown",
  AND(S756&lt;0,U756&lt;0),"Contraction",
  AND(S756&gt;0,U756&lt;0),"Recovery",
  TRUE,"Undefined"
)</f>
        <v>Expansion</v>
      </c>
      <c r="W756">
        <f t="shared" si="107"/>
        <v>0</v>
      </c>
      <c r="X756">
        <f t="shared" si="108"/>
        <v>0</v>
      </c>
      <c r="Y756">
        <v>0</v>
      </c>
    </row>
    <row r="757" spans="1:25" x14ac:dyDescent="0.35">
      <c r="A757" s="1">
        <f>Data!A757</f>
        <v>40148</v>
      </c>
      <c r="B757" s="2">
        <f>IFERROR((Data!B757/Data!B756-1)*100,"")</f>
        <v>5.2017639964274665E-2</v>
      </c>
      <c r="C757" s="2">
        <f>IFERROR((Data!C757/Data!C756-1)*100,"")</f>
        <v>0.40580717797007448</v>
      </c>
      <c r="D757">
        <f t="shared" si="101"/>
        <v>0.36972124481768898</v>
      </c>
      <c r="E757">
        <f t="shared" si="102"/>
        <v>0.22902329293713977</v>
      </c>
      <c r="P757" t="str" cm="1">
        <f t="array" ref="P757">_xlfn.IFS(
  AND(D757&gt;0,E757&gt;0),"Expansion",
  AND(D757&lt;0,E757&gt;0),"Slowdown",
  AND(D757&lt;0,E757&lt;0),"Contraction",
  AND(D757&gt;0,E757&lt;0),"Recovery",
  TRUE,"Undefined"
)</f>
        <v>Expansion</v>
      </c>
      <c r="Q757" t="str">
        <f t="shared" si="109"/>
        <v>Expansion</v>
      </c>
      <c r="R757">
        <f t="shared" si="103"/>
        <v>1</v>
      </c>
      <c r="S757">
        <f t="shared" si="104"/>
        <v>1</v>
      </c>
      <c r="T757">
        <f t="shared" si="105"/>
        <v>1</v>
      </c>
      <c r="U757">
        <f t="shared" si="106"/>
        <v>1</v>
      </c>
      <c r="V757" t="str" cm="1">
        <f t="array" ref="V757">_xlfn.IFS(
  AND(S757&gt;0,U757&gt;0),"Expansion",
  AND(S757&lt;0,U757&gt;0),"Slowdown",
  AND(S757&lt;0,U757&lt;0),"Contraction",
  AND(S757&gt;0,U757&lt;0),"Recovery",
  TRUE,"Undefined"
)</f>
        <v>Expansion</v>
      </c>
      <c r="W757">
        <f t="shared" si="107"/>
        <v>0</v>
      </c>
      <c r="X757">
        <f t="shared" si="108"/>
        <v>0</v>
      </c>
      <c r="Y757">
        <v>0</v>
      </c>
    </row>
    <row r="758" spans="1:25" x14ac:dyDescent="0.35">
      <c r="A758" s="1">
        <f>Data!A758</f>
        <v>40179</v>
      </c>
      <c r="B758" s="2">
        <f>IFERROR((Data!B758/Data!B757-1)*100,"")</f>
        <v>6.4873221162464745E-2</v>
      </c>
      <c r="C758" s="2">
        <f>IFERROR((Data!C758/Data!C757-1)*100,"")</f>
        <v>1.089961110803106</v>
      </c>
      <c r="D758">
        <f t="shared" si="101"/>
        <v>0.64319301912224203</v>
      </c>
      <c r="E758">
        <f t="shared" si="102"/>
        <v>0.1505833067011686</v>
      </c>
      <c r="P758" t="str" cm="1">
        <f t="array" ref="P758">_xlfn.IFS(
  AND(D758&gt;0,E758&gt;0),"Expansion",
  AND(D758&lt;0,E758&gt;0),"Slowdown",
  AND(D758&lt;0,E758&lt;0),"Contraction",
  AND(D758&gt;0,E758&lt;0),"Recovery",
  TRUE,"Undefined"
)</f>
        <v>Expansion</v>
      </c>
      <c r="Q758" t="str">
        <f t="shared" si="109"/>
        <v>Expansion</v>
      </c>
      <c r="R758">
        <f t="shared" si="103"/>
        <v>1</v>
      </c>
      <c r="S758">
        <f t="shared" si="104"/>
        <v>1</v>
      </c>
      <c r="T758">
        <f t="shared" si="105"/>
        <v>1</v>
      </c>
      <c r="U758">
        <f t="shared" si="106"/>
        <v>1</v>
      </c>
      <c r="V758" t="str" cm="1">
        <f t="array" ref="V758">_xlfn.IFS(
  AND(S758&gt;0,U758&gt;0),"Expansion",
  AND(S758&lt;0,U758&gt;0),"Slowdown",
  AND(S758&lt;0,U758&lt;0),"Contraction",
  AND(S758&gt;0,U758&lt;0),"Recovery",
  TRUE,"Undefined"
)</f>
        <v>Expansion</v>
      </c>
      <c r="W758">
        <f t="shared" si="107"/>
        <v>0</v>
      </c>
      <c r="X758">
        <f t="shared" si="108"/>
        <v>0</v>
      </c>
      <c r="Y758">
        <v>0</v>
      </c>
    </row>
    <row r="759" spans="1:25" x14ac:dyDescent="0.35">
      <c r="A759" s="1">
        <f>Data!A759</f>
        <v>40210</v>
      </c>
      <c r="B759" s="2">
        <f>IFERROR((Data!B759/Data!B758-1)*100,"")</f>
        <v>-9.5177664974621656E-2</v>
      </c>
      <c r="C759" s="2">
        <f>IFERROR((Data!C759/Data!C758-1)*100,"")</f>
        <v>0.37529689084490059</v>
      </c>
      <c r="D759">
        <f t="shared" si="101"/>
        <v>0.62368839320602698</v>
      </c>
      <c r="E759">
        <f t="shared" si="102"/>
        <v>7.237732050705918E-3</v>
      </c>
      <c r="P759" t="str" cm="1">
        <f t="array" ref="P759">_xlfn.IFS(
  AND(D759&gt;0,E759&gt;0),"Expansion",
  AND(D759&lt;0,E759&gt;0),"Slowdown",
  AND(D759&lt;0,E759&lt;0),"Contraction",
  AND(D759&gt;0,E759&lt;0),"Recovery",
  TRUE,"Undefined"
)</f>
        <v>Expansion</v>
      </c>
      <c r="Q759" t="str">
        <f t="shared" si="109"/>
        <v>Expansion</v>
      </c>
      <c r="R759">
        <f t="shared" si="103"/>
        <v>1</v>
      </c>
      <c r="S759">
        <f t="shared" si="104"/>
        <v>1</v>
      </c>
      <c r="T759">
        <f t="shared" si="105"/>
        <v>1</v>
      </c>
      <c r="U759">
        <f t="shared" si="106"/>
        <v>1</v>
      </c>
      <c r="V759" t="str" cm="1">
        <f t="array" ref="V759">_xlfn.IFS(
  AND(S759&gt;0,U759&gt;0),"Expansion",
  AND(S759&lt;0,U759&gt;0),"Slowdown",
  AND(S759&lt;0,U759&lt;0),"Contraction",
  AND(S759&gt;0,U759&lt;0),"Recovery",
  TRUE,"Undefined"
)</f>
        <v>Expansion</v>
      </c>
      <c r="W759">
        <f t="shared" si="107"/>
        <v>0</v>
      </c>
      <c r="X759">
        <f t="shared" si="108"/>
        <v>0</v>
      </c>
      <c r="Y759">
        <v>0</v>
      </c>
    </row>
    <row r="760" spans="1:25" x14ac:dyDescent="0.35">
      <c r="A760" s="1">
        <f>Data!A760</f>
        <v>40238</v>
      </c>
      <c r="B760" s="2">
        <f>IFERROR((Data!B760/Data!B759-1)*100,"")</f>
        <v>3.3136813619227823E-2</v>
      </c>
      <c r="C760" s="2">
        <f>IFERROR((Data!C760/Data!C759-1)*100,"")</f>
        <v>0.6856761810881018</v>
      </c>
      <c r="D760">
        <f t="shared" si="101"/>
        <v>0.71697806091203609</v>
      </c>
      <c r="E760">
        <f t="shared" si="102"/>
        <v>9.4412326902363708E-4</v>
      </c>
      <c r="P760" t="str" cm="1">
        <f t="array" ref="P760">_xlfn.IFS(
  AND(D760&gt;0,E760&gt;0),"Expansion",
  AND(D760&lt;0,E760&gt;0),"Slowdown",
  AND(D760&lt;0,E760&lt;0),"Contraction",
  AND(D760&gt;0,E760&lt;0),"Recovery",
  TRUE,"Undefined"
)</f>
        <v>Expansion</v>
      </c>
      <c r="Q760" t="str">
        <f t="shared" si="109"/>
        <v>Expansion</v>
      </c>
      <c r="R760">
        <f t="shared" si="103"/>
        <v>1</v>
      </c>
      <c r="S760">
        <f t="shared" si="104"/>
        <v>1</v>
      </c>
      <c r="T760">
        <f t="shared" si="105"/>
        <v>1</v>
      </c>
      <c r="U760">
        <f t="shared" si="106"/>
        <v>1</v>
      </c>
      <c r="V760" t="str" cm="1">
        <f t="array" ref="V760">_xlfn.IFS(
  AND(S760&gt;0,U760&gt;0),"Expansion",
  AND(S760&lt;0,U760&gt;0),"Slowdown",
  AND(S760&lt;0,U760&lt;0),"Contraction",
  AND(S760&gt;0,U760&lt;0),"Recovery",
  TRUE,"Undefined"
)</f>
        <v>Expansion</v>
      </c>
      <c r="W760">
        <f t="shared" si="107"/>
        <v>0</v>
      </c>
      <c r="X760">
        <f t="shared" si="108"/>
        <v>0</v>
      </c>
      <c r="Y760">
        <v>0</v>
      </c>
    </row>
    <row r="761" spans="1:25" x14ac:dyDescent="0.35">
      <c r="A761" s="1">
        <f>Data!A761</f>
        <v>40269</v>
      </c>
      <c r="B761" s="2">
        <f>IFERROR((Data!B761/Data!B760-1)*100,"")</f>
        <v>2.3004053314190642E-2</v>
      </c>
      <c r="C761" s="2">
        <f>IFERROR((Data!C761/Data!C760-1)*100,"")</f>
        <v>0.33922970602306979</v>
      </c>
      <c r="D761">
        <f t="shared" si="101"/>
        <v>0.46673425931869073</v>
      </c>
      <c r="E761">
        <f t="shared" si="102"/>
        <v>-1.3012266013734397E-2</v>
      </c>
      <c r="P761" t="str" cm="1">
        <f t="array" ref="P761">_xlfn.IFS(
  AND(D761&gt;0,E761&gt;0),"Expansion",
  AND(D761&lt;0,E761&gt;0),"Slowdown",
  AND(D761&lt;0,E761&lt;0),"Contraction",
  AND(D761&gt;0,E761&lt;0),"Recovery",
  TRUE,"Undefined"
)</f>
        <v>Recovery</v>
      </c>
      <c r="Q761" t="str">
        <f t="shared" si="109"/>
        <v>Expansion</v>
      </c>
      <c r="R761">
        <f t="shared" si="103"/>
        <v>1</v>
      </c>
      <c r="S761">
        <f t="shared" si="104"/>
        <v>1</v>
      </c>
      <c r="T761">
        <f t="shared" si="105"/>
        <v>-1</v>
      </c>
      <c r="U761">
        <f t="shared" si="106"/>
        <v>-1</v>
      </c>
      <c r="V761" t="str" cm="1">
        <f t="array" ref="V761">_xlfn.IFS(
  AND(S761&gt;0,U761&gt;0),"Expansion",
  AND(S761&lt;0,U761&gt;0),"Slowdown",
  AND(S761&lt;0,U761&lt;0),"Contraction",
  AND(S761&gt;0,U761&lt;0),"Recovery",
  TRUE,"Undefined"
)</f>
        <v>Recovery</v>
      </c>
      <c r="W761">
        <f t="shared" si="107"/>
        <v>0</v>
      </c>
      <c r="X761">
        <f t="shared" si="108"/>
        <v>0</v>
      </c>
      <c r="Y761">
        <v>0</v>
      </c>
    </row>
    <row r="762" spans="1:25" x14ac:dyDescent="0.35">
      <c r="A762" s="1">
        <f>Data!A762</f>
        <v>40299</v>
      </c>
      <c r="B762" s="2">
        <f>IFERROR((Data!B762/Data!B761-1)*100,"")</f>
        <v>-5.1977203626440982E-2</v>
      </c>
      <c r="C762" s="2">
        <f>IFERROR((Data!C762/Data!C761-1)*100,"")</f>
        <v>1.3508964217083586</v>
      </c>
      <c r="D762">
        <f t="shared" si="101"/>
        <v>0.79193410293984334</v>
      </c>
      <c r="E762">
        <f t="shared" si="102"/>
        <v>1.3878877689924944E-3</v>
      </c>
      <c r="P762" t="str" cm="1">
        <f t="array" ref="P762">_xlfn.IFS(
  AND(D762&gt;0,E762&gt;0),"Expansion",
  AND(D762&lt;0,E762&gt;0),"Slowdown",
  AND(D762&lt;0,E762&lt;0),"Contraction",
  AND(D762&gt;0,E762&lt;0),"Recovery",
  TRUE,"Undefined"
)</f>
        <v>Expansion</v>
      </c>
      <c r="Q762" t="str">
        <f t="shared" si="109"/>
        <v>Expansion</v>
      </c>
      <c r="R762">
        <f t="shared" si="103"/>
        <v>1</v>
      </c>
      <c r="S762">
        <f t="shared" si="104"/>
        <v>1</v>
      </c>
      <c r="T762">
        <f t="shared" si="105"/>
        <v>1</v>
      </c>
      <c r="U762">
        <f t="shared" si="106"/>
        <v>1</v>
      </c>
      <c r="V762" t="str" cm="1">
        <f t="array" ref="V762">_xlfn.IFS(
  AND(S762&gt;0,U762&gt;0),"Expansion",
  AND(S762&lt;0,U762&gt;0),"Slowdown",
  AND(S762&lt;0,U762&lt;0),"Contraction",
  AND(S762&gt;0,U762&lt;0),"Recovery",
  TRUE,"Undefined"
)</f>
        <v>Expansion</v>
      </c>
      <c r="W762">
        <f t="shared" si="107"/>
        <v>0</v>
      </c>
      <c r="X762">
        <f t="shared" si="108"/>
        <v>0</v>
      </c>
      <c r="Y762">
        <v>0</v>
      </c>
    </row>
    <row r="763" spans="1:25" x14ac:dyDescent="0.35">
      <c r="A763" s="1">
        <f>Data!A763</f>
        <v>40330</v>
      </c>
      <c r="B763" s="2">
        <f>IFERROR((Data!B763/Data!B762-1)*100,"")</f>
        <v>-4.1879515854381655E-2</v>
      </c>
      <c r="C763" s="2">
        <f>IFERROR((Data!C763/Data!C762-1)*100,"")</f>
        <v>0.18492098929463463</v>
      </c>
      <c r="D763">
        <f t="shared" si="101"/>
        <v>0.62501570567535436</v>
      </c>
      <c r="E763">
        <f t="shared" si="102"/>
        <v>-2.3617555388877332E-2</v>
      </c>
      <c r="P763" t="str" cm="1">
        <f t="array" ref="P763">_xlfn.IFS(
  AND(D763&gt;0,E763&gt;0),"Expansion",
  AND(D763&lt;0,E763&gt;0),"Slowdown",
  AND(D763&lt;0,E763&lt;0),"Contraction",
  AND(D763&gt;0,E763&lt;0),"Recovery",
  TRUE,"Undefined"
)</f>
        <v>Recovery</v>
      </c>
      <c r="Q763" t="str">
        <f t="shared" si="109"/>
        <v>Expansion</v>
      </c>
      <c r="R763">
        <f t="shared" si="103"/>
        <v>1</v>
      </c>
      <c r="S763">
        <f t="shared" si="104"/>
        <v>1</v>
      </c>
      <c r="T763">
        <f t="shared" si="105"/>
        <v>-1</v>
      </c>
      <c r="U763">
        <f t="shared" si="106"/>
        <v>-1</v>
      </c>
      <c r="V763" t="str" cm="1">
        <f t="array" ref="V763">_xlfn.IFS(
  AND(S763&gt;0,U763&gt;0),"Expansion",
  AND(S763&lt;0,U763&gt;0),"Slowdown",
  AND(S763&lt;0,U763&lt;0),"Contraction",
  AND(S763&gt;0,U763&lt;0),"Recovery",
  TRUE,"Undefined"
)</f>
        <v>Recovery</v>
      </c>
      <c r="W763">
        <f t="shared" si="107"/>
        <v>0</v>
      </c>
      <c r="X763">
        <f t="shared" si="108"/>
        <v>0</v>
      </c>
      <c r="Y763">
        <v>0</v>
      </c>
    </row>
    <row r="764" spans="1:25" x14ac:dyDescent="0.35">
      <c r="A764" s="1">
        <f>Data!A764</f>
        <v>40360</v>
      </c>
      <c r="B764" s="2">
        <f>IFERROR((Data!B764/Data!B763-1)*100,"")</f>
        <v>0.18692535416828804</v>
      </c>
      <c r="C764" s="2">
        <f>IFERROR((Data!C764/Data!C763-1)*100,"")</f>
        <v>0.37970362897965515</v>
      </c>
      <c r="D764">
        <f t="shared" si="101"/>
        <v>0.63850701332754944</v>
      </c>
      <c r="E764">
        <f t="shared" si="102"/>
        <v>3.1022878229155133E-2</v>
      </c>
      <c r="P764" t="str" cm="1">
        <f t="array" ref="P764">_xlfn.IFS(
  AND(D764&gt;0,E764&gt;0),"Expansion",
  AND(D764&lt;0,E764&gt;0),"Slowdown",
  AND(D764&lt;0,E764&lt;0),"Contraction",
  AND(D764&gt;0,E764&lt;0),"Recovery",
  TRUE,"Undefined"
)</f>
        <v>Expansion</v>
      </c>
      <c r="Q764" t="str">
        <f t="shared" si="109"/>
        <v>Expansion</v>
      </c>
      <c r="R764">
        <f t="shared" si="103"/>
        <v>1</v>
      </c>
      <c r="S764">
        <f t="shared" si="104"/>
        <v>1</v>
      </c>
      <c r="T764">
        <f t="shared" si="105"/>
        <v>1</v>
      </c>
      <c r="U764">
        <f t="shared" si="106"/>
        <v>1</v>
      </c>
      <c r="V764" t="str" cm="1">
        <f t="array" ref="V764">_xlfn.IFS(
  AND(S764&gt;0,U764&gt;0),"Expansion",
  AND(S764&lt;0,U764&gt;0),"Slowdown",
  AND(S764&lt;0,U764&lt;0),"Contraction",
  AND(S764&gt;0,U764&lt;0),"Recovery",
  TRUE,"Undefined"
)</f>
        <v>Expansion</v>
      </c>
      <c r="W764">
        <f t="shared" si="107"/>
        <v>0</v>
      </c>
      <c r="X764">
        <f t="shared" si="108"/>
        <v>0</v>
      </c>
      <c r="Y764">
        <v>0</v>
      </c>
    </row>
    <row r="765" spans="1:25" x14ac:dyDescent="0.35">
      <c r="A765" s="1">
        <f>Data!A765</f>
        <v>40391</v>
      </c>
      <c r="B765" s="2">
        <f>IFERROR((Data!B765/Data!B764-1)*100,"")</f>
        <v>0.14613634796996067</v>
      </c>
      <c r="C765" s="2">
        <f>IFERROR((Data!C765/Data!C764-1)*100,"")</f>
        <v>0.36646340076735839</v>
      </c>
      <c r="D765">
        <f t="shared" si="101"/>
        <v>0.31036267301388271</v>
      </c>
      <c r="E765">
        <f t="shared" si="102"/>
        <v>9.7060728761289017E-2</v>
      </c>
      <c r="P765" t="str" cm="1">
        <f t="array" ref="P765">_xlfn.IFS(
  AND(D765&gt;0,E765&gt;0),"Expansion",
  AND(D765&lt;0,E765&gt;0),"Slowdown",
  AND(D765&lt;0,E765&lt;0),"Contraction",
  AND(D765&gt;0,E765&lt;0),"Recovery",
  TRUE,"Undefined"
)</f>
        <v>Expansion</v>
      </c>
      <c r="Q765" t="str">
        <f t="shared" si="109"/>
        <v>Expansion</v>
      </c>
      <c r="R765">
        <f t="shared" si="103"/>
        <v>1</v>
      </c>
      <c r="S765">
        <f t="shared" si="104"/>
        <v>1</v>
      </c>
      <c r="T765">
        <f t="shared" si="105"/>
        <v>1</v>
      </c>
      <c r="U765">
        <f t="shared" si="106"/>
        <v>1</v>
      </c>
      <c r="V765" t="str" cm="1">
        <f t="array" ref="V765">_xlfn.IFS(
  AND(S765&gt;0,U765&gt;0),"Expansion",
  AND(S765&lt;0,U765&gt;0),"Slowdown",
  AND(S765&lt;0,U765&lt;0),"Contraction",
  AND(S765&gt;0,U765&lt;0),"Recovery",
  TRUE,"Undefined"
)</f>
        <v>Expansion</v>
      </c>
      <c r="W765">
        <f t="shared" si="107"/>
        <v>0</v>
      </c>
      <c r="X765">
        <f t="shared" si="108"/>
        <v>0</v>
      </c>
      <c r="Y765">
        <v>0</v>
      </c>
    </row>
    <row r="766" spans="1:25" x14ac:dyDescent="0.35">
      <c r="A766" s="1">
        <f>Data!A766</f>
        <v>40422</v>
      </c>
      <c r="B766" s="2">
        <f>IFERROR((Data!B766/Data!B765-1)*100,"")</f>
        <v>0.16152494229613179</v>
      </c>
      <c r="C766" s="2">
        <f>IFERROR((Data!C766/Data!C765-1)*100,"")</f>
        <v>0.29477613953312609</v>
      </c>
      <c r="D766">
        <f t="shared" si="101"/>
        <v>0.34698105642671323</v>
      </c>
      <c r="E766">
        <f t="shared" si="102"/>
        <v>0.16486221481146016</v>
      </c>
      <c r="P766" t="str" cm="1">
        <f t="array" ref="P766">_xlfn.IFS(
  AND(D766&gt;0,E766&gt;0),"Expansion",
  AND(D766&lt;0,E766&gt;0),"Slowdown",
  AND(D766&lt;0,E766&lt;0),"Contraction",
  AND(D766&gt;0,E766&lt;0),"Recovery",
  TRUE,"Undefined"
)</f>
        <v>Expansion</v>
      </c>
      <c r="Q766" t="str">
        <f t="shared" si="109"/>
        <v>Expansion</v>
      </c>
      <c r="R766">
        <f t="shared" si="103"/>
        <v>1</v>
      </c>
      <c r="S766">
        <f t="shared" si="104"/>
        <v>1</v>
      </c>
      <c r="T766">
        <f t="shared" si="105"/>
        <v>1</v>
      </c>
      <c r="U766">
        <f t="shared" si="106"/>
        <v>1</v>
      </c>
      <c r="V766" t="str" cm="1">
        <f t="array" ref="V766">_xlfn.IFS(
  AND(S766&gt;0,U766&gt;0),"Expansion",
  AND(S766&lt;0,U766&gt;0),"Slowdown",
  AND(S766&lt;0,U766&lt;0),"Contraction",
  AND(S766&gt;0,U766&lt;0),"Recovery",
  TRUE,"Undefined"
)</f>
        <v>Expansion</v>
      </c>
      <c r="W766">
        <f t="shared" si="107"/>
        <v>0</v>
      </c>
      <c r="X766">
        <f t="shared" si="108"/>
        <v>0</v>
      </c>
      <c r="Y766">
        <v>0</v>
      </c>
    </row>
    <row r="767" spans="1:25" x14ac:dyDescent="0.35">
      <c r="A767" s="1">
        <f>Data!A767</f>
        <v>40452</v>
      </c>
      <c r="B767" s="2">
        <f>IFERROR((Data!B767/Data!B766-1)*100,"")</f>
        <v>0.34818462948116302</v>
      </c>
      <c r="C767" s="2">
        <f>IFERROR((Data!C767/Data!C766-1)*100,"")</f>
        <v>-0.28336688050072389</v>
      </c>
      <c r="D767">
        <f t="shared" si="101"/>
        <v>0.12595755326658686</v>
      </c>
      <c r="E767">
        <f t="shared" si="102"/>
        <v>0.21861530658241848</v>
      </c>
      <c r="P767" t="str" cm="1">
        <f t="array" ref="P767">_xlfn.IFS(
  AND(D767&gt;0,E767&gt;0),"Expansion",
  AND(D767&lt;0,E767&gt;0),"Slowdown",
  AND(D767&lt;0,E767&lt;0),"Contraction",
  AND(D767&gt;0,E767&lt;0),"Recovery",
  TRUE,"Undefined"
)</f>
        <v>Expansion</v>
      </c>
      <c r="Q767" t="str">
        <f t="shared" si="109"/>
        <v>Expansion</v>
      </c>
      <c r="R767">
        <f t="shared" si="103"/>
        <v>1</v>
      </c>
      <c r="S767">
        <f t="shared" si="104"/>
        <v>1</v>
      </c>
      <c r="T767">
        <f t="shared" si="105"/>
        <v>1</v>
      </c>
      <c r="U767">
        <f t="shared" si="106"/>
        <v>1</v>
      </c>
      <c r="V767" t="str" cm="1">
        <f t="array" ref="V767">_xlfn.IFS(
  AND(S767&gt;0,U767&gt;0),"Expansion",
  AND(S767&lt;0,U767&gt;0),"Slowdown",
  AND(S767&lt;0,U767&lt;0),"Contraction",
  AND(S767&gt;0,U767&lt;0),"Recovery",
  TRUE,"Undefined"
)</f>
        <v>Expansion</v>
      </c>
      <c r="W767">
        <f t="shared" si="107"/>
        <v>0</v>
      </c>
      <c r="X767">
        <f t="shared" si="108"/>
        <v>0</v>
      </c>
      <c r="Y767">
        <v>0</v>
      </c>
    </row>
    <row r="768" spans="1:25" x14ac:dyDescent="0.35">
      <c r="A768" s="1">
        <f>Data!A768</f>
        <v>40483</v>
      </c>
      <c r="B768" s="2">
        <f>IFERROR((Data!B768/Data!B767-1)*100,"")</f>
        <v>0.25338416234848005</v>
      </c>
      <c r="C768" s="2">
        <f>IFERROR((Data!C768/Data!C767-1)*100,"")</f>
        <v>8.6956240296998111E-2</v>
      </c>
      <c r="D768">
        <f t="shared" si="101"/>
        <v>3.2788499776466772E-2</v>
      </c>
      <c r="E768">
        <f t="shared" si="102"/>
        <v>0.25436457804192497</v>
      </c>
      <c r="P768" t="str" cm="1">
        <f t="array" ref="P768">_xlfn.IFS(
  AND(D768&gt;0,E768&gt;0),"Expansion",
  AND(D768&lt;0,E768&gt;0),"Slowdown",
  AND(D768&lt;0,E768&lt;0),"Contraction",
  AND(D768&gt;0,E768&lt;0),"Recovery",
  TRUE,"Undefined"
)</f>
        <v>Expansion</v>
      </c>
      <c r="Q768" t="str">
        <f t="shared" si="109"/>
        <v>Expansion</v>
      </c>
      <c r="R768">
        <f t="shared" si="103"/>
        <v>1</v>
      </c>
      <c r="S768">
        <f t="shared" si="104"/>
        <v>1</v>
      </c>
      <c r="T768">
        <f t="shared" si="105"/>
        <v>1</v>
      </c>
      <c r="U768">
        <f t="shared" si="106"/>
        <v>1</v>
      </c>
      <c r="V768" t="str" cm="1">
        <f t="array" ref="V768">_xlfn.IFS(
  AND(S768&gt;0,U768&gt;0),"Expansion",
  AND(S768&lt;0,U768&gt;0),"Slowdown",
  AND(S768&lt;0,U768&lt;0),"Contraction",
  AND(S768&gt;0,U768&lt;0),"Recovery",
  TRUE,"Undefined"
)</f>
        <v>Expansion</v>
      </c>
      <c r="W768">
        <f t="shared" si="107"/>
        <v>0</v>
      </c>
      <c r="X768">
        <f t="shared" si="108"/>
        <v>0</v>
      </c>
      <c r="Y768">
        <v>0</v>
      </c>
    </row>
    <row r="769" spans="1:25" x14ac:dyDescent="0.35">
      <c r="A769" s="1">
        <f>Data!A769</f>
        <v>40513</v>
      </c>
      <c r="B769" s="2">
        <f>IFERROR((Data!B769/Data!B768-1)*100,"")</f>
        <v>0.40165763468282822</v>
      </c>
      <c r="C769" s="2">
        <f>IFERROR((Data!C769/Data!C768-1)*100,"")</f>
        <v>0.97853960670857276</v>
      </c>
      <c r="D769">
        <f t="shared" si="101"/>
        <v>0.26070965550161568</v>
      </c>
      <c r="E769">
        <f t="shared" si="102"/>
        <v>0.33440880883749041</v>
      </c>
      <c r="P769" t="str" cm="1">
        <f t="array" ref="P769">_xlfn.IFS(
  AND(D769&gt;0,E769&gt;0),"Expansion",
  AND(D769&lt;0,E769&gt;0),"Slowdown",
  AND(D769&lt;0,E769&lt;0),"Contraction",
  AND(D769&gt;0,E769&lt;0),"Recovery",
  TRUE,"Undefined"
)</f>
        <v>Expansion</v>
      </c>
      <c r="Q769" t="str">
        <f t="shared" si="109"/>
        <v>Expansion</v>
      </c>
      <c r="R769">
        <f t="shared" si="103"/>
        <v>1</v>
      </c>
      <c r="S769">
        <f t="shared" si="104"/>
        <v>1</v>
      </c>
      <c r="T769">
        <f t="shared" si="105"/>
        <v>1</v>
      </c>
      <c r="U769">
        <f t="shared" si="106"/>
        <v>1</v>
      </c>
      <c r="V769" t="str" cm="1">
        <f t="array" ref="V769">_xlfn.IFS(
  AND(S769&gt;0,U769&gt;0),"Expansion",
  AND(S769&lt;0,U769&gt;0),"Slowdown",
  AND(S769&lt;0,U769&lt;0),"Contraction",
  AND(S769&gt;0,U769&lt;0),"Recovery",
  TRUE,"Undefined"
)</f>
        <v>Expansion</v>
      </c>
      <c r="W769">
        <f t="shared" si="107"/>
        <v>0</v>
      </c>
      <c r="X769">
        <f t="shared" si="108"/>
        <v>0</v>
      </c>
      <c r="Y769">
        <v>0</v>
      </c>
    </row>
    <row r="770" spans="1:25" x14ac:dyDescent="0.35">
      <c r="A770" s="1">
        <f>Data!A770</f>
        <v>40544</v>
      </c>
      <c r="B770" s="2">
        <f>IFERROR((Data!B770/Data!B769-1)*100,"")</f>
        <v>0.32430422003701942</v>
      </c>
      <c r="C770" s="2">
        <f>IFERROR((Data!C770/Data!C769-1)*100,"")</f>
        <v>-0.21061351192962485</v>
      </c>
      <c r="D770">
        <f t="shared" si="101"/>
        <v>0.28496077835864869</v>
      </c>
      <c r="E770">
        <f t="shared" si="102"/>
        <v>0.32644867235610925</v>
      </c>
      <c r="P770" t="str" cm="1">
        <f t="array" ref="P770">_xlfn.IFS(
  AND(D770&gt;0,E770&gt;0),"Expansion",
  AND(D770&lt;0,E770&gt;0),"Slowdown",
  AND(D770&lt;0,E770&lt;0),"Contraction",
  AND(D770&gt;0,E770&lt;0),"Recovery",
  TRUE,"Undefined"
)</f>
        <v>Expansion</v>
      </c>
      <c r="Q770" t="str">
        <f t="shared" si="109"/>
        <v>Expansion</v>
      </c>
      <c r="R770">
        <f t="shared" si="103"/>
        <v>1</v>
      </c>
      <c r="S770">
        <f t="shared" si="104"/>
        <v>1</v>
      </c>
      <c r="T770">
        <f t="shared" si="105"/>
        <v>1</v>
      </c>
      <c r="U770">
        <f t="shared" si="106"/>
        <v>1</v>
      </c>
      <c r="V770" t="str" cm="1">
        <f t="array" ref="V770">_xlfn.IFS(
  AND(S770&gt;0,U770&gt;0),"Expansion",
  AND(S770&lt;0,U770&gt;0),"Slowdown",
  AND(S770&lt;0,U770&lt;0),"Contraction",
  AND(S770&gt;0,U770&lt;0),"Recovery",
  TRUE,"Undefined"
)</f>
        <v>Expansion</v>
      </c>
      <c r="W770">
        <f t="shared" si="107"/>
        <v>0</v>
      </c>
      <c r="X770">
        <f t="shared" si="108"/>
        <v>0</v>
      </c>
      <c r="Y770">
        <v>0</v>
      </c>
    </row>
    <row r="771" spans="1:25" x14ac:dyDescent="0.35">
      <c r="A771" s="1">
        <f>Data!A771</f>
        <v>40575</v>
      </c>
      <c r="B771" s="2">
        <f>IFERROR((Data!B771/Data!B770-1)*100,"")</f>
        <v>0.32144746300641902</v>
      </c>
      <c r="C771" s="2">
        <f>IFERROR((Data!C771/Data!C770-1)*100,"")</f>
        <v>-0.3970843397723911</v>
      </c>
      <c r="D771">
        <f t="shared" si="101"/>
        <v>0.12361391833551894</v>
      </c>
      <c r="E771">
        <f t="shared" si="102"/>
        <v>0.34913643924208887</v>
      </c>
      <c r="P771" t="str" cm="1">
        <f t="array" ref="P771">_xlfn.IFS(
  AND(D771&gt;0,E771&gt;0),"Expansion",
  AND(D771&lt;0,E771&gt;0),"Slowdown",
  AND(D771&lt;0,E771&lt;0),"Contraction",
  AND(D771&gt;0,E771&lt;0),"Recovery",
  TRUE,"Undefined"
)</f>
        <v>Expansion</v>
      </c>
      <c r="Q771" t="str">
        <f t="shared" si="109"/>
        <v>Expansion</v>
      </c>
      <c r="R771">
        <f t="shared" si="103"/>
        <v>1</v>
      </c>
      <c r="S771">
        <f t="shared" si="104"/>
        <v>1</v>
      </c>
      <c r="T771">
        <f t="shared" si="105"/>
        <v>1</v>
      </c>
      <c r="U771">
        <f t="shared" si="106"/>
        <v>1</v>
      </c>
      <c r="V771" t="str" cm="1">
        <f t="array" ref="V771">_xlfn.IFS(
  AND(S771&gt;0,U771&gt;0),"Expansion",
  AND(S771&lt;0,U771&gt;0),"Slowdown",
  AND(S771&lt;0,U771&lt;0),"Contraction",
  AND(S771&gt;0,U771&lt;0),"Recovery",
  TRUE,"Undefined"
)</f>
        <v>Expansion</v>
      </c>
      <c r="W771">
        <f t="shared" si="107"/>
        <v>0</v>
      </c>
      <c r="X771">
        <f t="shared" si="108"/>
        <v>0</v>
      </c>
      <c r="Y771">
        <v>0</v>
      </c>
    </row>
    <row r="772" spans="1:25" x14ac:dyDescent="0.35">
      <c r="A772" s="1">
        <f>Data!A772</f>
        <v>40603</v>
      </c>
      <c r="B772" s="2">
        <f>IFERROR((Data!B772/Data!B771-1)*100,"")</f>
        <v>0.51735482068338001</v>
      </c>
      <c r="C772" s="2">
        <f>IFERROR((Data!C772/Data!C771-1)*100,"")</f>
        <v>1.040272709112422</v>
      </c>
      <c r="D772">
        <f t="shared" si="101"/>
        <v>0.14419161913680201</v>
      </c>
      <c r="E772">
        <f t="shared" si="102"/>
        <v>0.38770216790893947</v>
      </c>
      <c r="P772" t="str" cm="1">
        <f t="array" ref="P772">_xlfn.IFS(
  AND(D772&gt;0,E772&gt;0),"Expansion",
  AND(D772&lt;0,E772&gt;0),"Slowdown",
  AND(D772&lt;0,E772&lt;0),"Contraction",
  AND(D772&gt;0,E772&lt;0),"Recovery",
  TRUE,"Undefined"
)</f>
        <v>Expansion</v>
      </c>
      <c r="Q772" t="str">
        <f t="shared" si="109"/>
        <v>Expansion</v>
      </c>
      <c r="R772">
        <f t="shared" si="103"/>
        <v>1</v>
      </c>
      <c r="S772">
        <f t="shared" si="104"/>
        <v>1</v>
      </c>
      <c r="T772">
        <f t="shared" si="105"/>
        <v>1</v>
      </c>
      <c r="U772">
        <f t="shared" si="106"/>
        <v>1</v>
      </c>
      <c r="V772" t="str" cm="1">
        <f t="array" ref="V772">_xlfn.IFS(
  AND(S772&gt;0,U772&gt;0),"Expansion",
  AND(S772&lt;0,U772&gt;0),"Slowdown",
  AND(S772&lt;0,U772&lt;0),"Contraction",
  AND(S772&gt;0,U772&lt;0),"Recovery",
  TRUE,"Undefined"
)</f>
        <v>Expansion</v>
      </c>
      <c r="W772">
        <f t="shared" si="107"/>
        <v>0</v>
      </c>
      <c r="X772">
        <f t="shared" si="108"/>
        <v>0</v>
      </c>
      <c r="Y772">
        <v>0</v>
      </c>
    </row>
    <row r="773" spans="1:25" x14ac:dyDescent="0.35">
      <c r="A773" s="1">
        <f>Data!A773</f>
        <v>40634</v>
      </c>
      <c r="B773" s="2">
        <f>IFERROR((Data!B773/Data!B772-1)*100,"")</f>
        <v>0.46940989750992035</v>
      </c>
      <c r="C773" s="2">
        <f>IFERROR((Data!C773/Data!C772-1)*100,"")</f>
        <v>-0.32302707942702957</v>
      </c>
      <c r="D773">
        <f t="shared" ref="D773:D836" si="110">SUM(C771:C773)/3</f>
        <v>0.10672042997100044</v>
      </c>
      <c r="E773">
        <f t="shared" ref="E773:E836" si="111">SUM(B771:B773)/3</f>
        <v>0.43607072706657313</v>
      </c>
      <c r="P773" t="str" cm="1">
        <f t="array" ref="P773">_xlfn.IFS(
  AND(D773&gt;0,E773&gt;0),"Expansion",
  AND(D773&lt;0,E773&gt;0),"Slowdown",
  AND(D773&lt;0,E773&lt;0),"Contraction",
  AND(D773&gt;0,E773&lt;0),"Recovery",
  TRUE,"Undefined"
)</f>
        <v>Expansion</v>
      </c>
      <c r="Q773" t="str">
        <f t="shared" si="109"/>
        <v>Expansion</v>
      </c>
      <c r="R773">
        <f t="shared" si="103"/>
        <v>1</v>
      </c>
      <c r="S773">
        <f t="shared" si="104"/>
        <v>1</v>
      </c>
      <c r="T773">
        <f t="shared" si="105"/>
        <v>1</v>
      </c>
      <c r="U773">
        <f t="shared" si="106"/>
        <v>1</v>
      </c>
      <c r="V773" t="str" cm="1">
        <f t="array" ref="V773">_xlfn.IFS(
  AND(S773&gt;0,U773&gt;0),"Expansion",
  AND(S773&lt;0,U773&gt;0),"Slowdown",
  AND(S773&lt;0,U773&lt;0),"Contraction",
  AND(S773&gt;0,U773&lt;0),"Recovery",
  TRUE,"Undefined"
)</f>
        <v>Expansion</v>
      </c>
      <c r="W773">
        <f t="shared" si="107"/>
        <v>0</v>
      </c>
      <c r="X773">
        <f t="shared" si="108"/>
        <v>0</v>
      </c>
      <c r="Y773">
        <v>0</v>
      </c>
    </row>
    <row r="774" spans="1:25" x14ac:dyDescent="0.35">
      <c r="A774" s="1">
        <f>Data!A774</f>
        <v>40664</v>
      </c>
      <c r="B774" s="2">
        <f>IFERROR((Data!B774/Data!B773-1)*100,"")</f>
        <v>0.31817147345076791</v>
      </c>
      <c r="C774" s="2">
        <f>IFERROR((Data!C774/Data!C773-1)*100,"")</f>
        <v>0.12060796652408889</v>
      </c>
      <c r="D774">
        <f t="shared" si="110"/>
        <v>0.27928453206982712</v>
      </c>
      <c r="E774">
        <f t="shared" si="111"/>
        <v>0.43497873054802277</v>
      </c>
      <c r="P774" t="str" cm="1">
        <f t="array" ref="P774">_xlfn.IFS(
  AND(D774&gt;0,E774&gt;0),"Expansion",
  AND(D774&lt;0,E774&gt;0),"Slowdown",
  AND(D774&lt;0,E774&lt;0),"Contraction",
  AND(D774&gt;0,E774&lt;0),"Recovery",
  TRUE,"Undefined"
)</f>
        <v>Expansion</v>
      </c>
      <c r="Q774" t="str">
        <f t="shared" si="109"/>
        <v>Expansion</v>
      </c>
      <c r="R774">
        <f t="shared" ref="R774:R837" si="112">IF(D774&gt;-0.26, 1, -1)</f>
        <v>1</v>
      </c>
      <c r="S774">
        <f t="shared" ref="S774:S837" si="113">IF(R774=1, IF(D774 &lt; -$L$5, -1, 1), IF(D774 &gt; $L$5, 1, -1))</f>
        <v>1</v>
      </c>
      <c r="T774">
        <f t="shared" ref="T774:T837" si="114">IF(E774&gt;0, 1, -1)</f>
        <v>1</v>
      </c>
      <c r="U774">
        <f t="shared" ref="U774:U837" si="115">IF(T774=1, IF(E774 &lt; -$M$5, -1, 1), IF(E774 &gt; $M$5, 1, -1))</f>
        <v>1</v>
      </c>
      <c r="V774" t="str" cm="1">
        <f t="array" ref="V774">_xlfn.IFS(
  AND(S774&gt;0,U774&gt;0),"Expansion",
  AND(S774&lt;0,U774&gt;0),"Slowdown",
  AND(S774&lt;0,U774&lt;0),"Contraction",
  AND(S774&gt;0,U774&lt;0),"Recovery",
  TRUE,"Undefined"
)</f>
        <v>Expansion</v>
      </c>
      <c r="W774">
        <f t="shared" ref="W774:W837" si="116">IF(Q774="Contraction", 1, 0)</f>
        <v>0</v>
      </c>
      <c r="X774">
        <f t="shared" ref="X774:X837" si="117">IF(V774="Contraction", 1, 0)</f>
        <v>0</v>
      </c>
      <c r="Y774">
        <v>0</v>
      </c>
    </row>
    <row r="775" spans="1:25" x14ac:dyDescent="0.35">
      <c r="A775" s="1">
        <f>Data!A775</f>
        <v>40695</v>
      </c>
      <c r="B775" s="2">
        <f>IFERROR((Data!B775/Data!B774-1)*100,"")</f>
        <v>0</v>
      </c>
      <c r="C775" s="2">
        <f>IFERROR((Data!C775/Data!C774-1)*100,"")</f>
        <v>0.30248807089297003</v>
      </c>
      <c r="D775">
        <f t="shared" si="110"/>
        <v>3.3356319330009786E-2</v>
      </c>
      <c r="E775">
        <f t="shared" si="111"/>
        <v>0.26252712365356273</v>
      </c>
      <c r="P775" t="str" cm="1">
        <f t="array" ref="P775">_xlfn.IFS(
  AND(D775&gt;0,E775&gt;0),"Expansion",
  AND(D775&lt;0,E775&gt;0),"Slowdown",
  AND(D775&lt;0,E775&lt;0),"Contraction",
  AND(D775&gt;0,E775&lt;0),"Recovery",
  TRUE,"Undefined"
)</f>
        <v>Expansion</v>
      </c>
      <c r="Q775" t="str">
        <f t="shared" si="109"/>
        <v>Expansion</v>
      </c>
      <c r="R775">
        <f t="shared" si="112"/>
        <v>1</v>
      </c>
      <c r="S775">
        <f t="shared" si="113"/>
        <v>1</v>
      </c>
      <c r="T775">
        <f t="shared" si="114"/>
        <v>1</v>
      </c>
      <c r="U775">
        <f t="shared" si="115"/>
        <v>1</v>
      </c>
      <c r="V775" t="str" cm="1">
        <f t="array" ref="V775">_xlfn.IFS(
  AND(S775&gt;0,U775&gt;0),"Expansion",
  AND(S775&lt;0,U775&gt;0),"Slowdown",
  AND(S775&lt;0,U775&lt;0),"Contraction",
  AND(S775&gt;0,U775&lt;0),"Recovery",
  TRUE,"Undefined"
)</f>
        <v>Expansion</v>
      </c>
      <c r="W775">
        <f t="shared" si="116"/>
        <v>0</v>
      </c>
      <c r="X775">
        <f t="shared" si="117"/>
        <v>0</v>
      </c>
      <c r="Y775">
        <v>0</v>
      </c>
    </row>
    <row r="776" spans="1:25" x14ac:dyDescent="0.35">
      <c r="A776" s="1">
        <f>Data!A776</f>
        <v>40725</v>
      </c>
      <c r="B776" s="2">
        <f>IFERROR((Data!B776/Data!B775-1)*100,"")</f>
        <v>0.26200368317570444</v>
      </c>
      <c r="C776" s="2">
        <f>IFERROR((Data!C776/Data!C775-1)*100,"")</f>
        <v>0.49271545682367801</v>
      </c>
      <c r="D776">
        <f t="shared" si="110"/>
        <v>0.30527049808024564</v>
      </c>
      <c r="E776">
        <f t="shared" si="111"/>
        <v>0.19339171887549078</v>
      </c>
      <c r="P776" t="str" cm="1">
        <f t="array" ref="P776">_xlfn.IFS(
  AND(D776&gt;0,E776&gt;0),"Expansion",
  AND(D776&lt;0,E776&gt;0),"Slowdown",
  AND(D776&lt;0,E776&lt;0),"Contraction",
  AND(D776&gt;0,E776&lt;0),"Recovery",
  TRUE,"Undefined"
)</f>
        <v>Expansion</v>
      </c>
      <c r="Q776" t="str">
        <f t="shared" ref="Q776:Q839" si="118">IF(AND(P776=P775, P775=P774), P776, Q775)</f>
        <v>Expansion</v>
      </c>
      <c r="R776">
        <f t="shared" si="112"/>
        <v>1</v>
      </c>
      <c r="S776">
        <f t="shared" si="113"/>
        <v>1</v>
      </c>
      <c r="T776">
        <f t="shared" si="114"/>
        <v>1</v>
      </c>
      <c r="U776">
        <f t="shared" si="115"/>
        <v>1</v>
      </c>
      <c r="V776" t="str" cm="1">
        <f t="array" ref="V776">_xlfn.IFS(
  AND(S776&gt;0,U776&gt;0),"Expansion",
  AND(S776&lt;0,U776&gt;0),"Slowdown",
  AND(S776&lt;0,U776&lt;0),"Contraction",
  AND(S776&gt;0,U776&lt;0),"Recovery",
  TRUE,"Undefined"
)</f>
        <v>Expansion</v>
      </c>
      <c r="W776">
        <f t="shared" si="116"/>
        <v>0</v>
      </c>
      <c r="X776">
        <f t="shared" si="117"/>
        <v>0</v>
      </c>
      <c r="Y776">
        <v>0</v>
      </c>
    </row>
    <row r="777" spans="1:25" x14ac:dyDescent="0.35">
      <c r="A777" s="1">
        <f>Data!A777</f>
        <v>40756</v>
      </c>
      <c r="B777" s="2">
        <f>IFERROR((Data!B777/Data!B776-1)*100,"")</f>
        <v>0.31544621664187922</v>
      </c>
      <c r="C777" s="2">
        <f>IFERROR((Data!C777/Data!C776-1)*100,"")</f>
        <v>0.67511306479564048</v>
      </c>
      <c r="D777">
        <f t="shared" si="110"/>
        <v>0.49010553083742953</v>
      </c>
      <c r="E777">
        <f t="shared" si="111"/>
        <v>0.19248329993919455</v>
      </c>
      <c r="P777" t="str" cm="1">
        <f t="array" ref="P777">_xlfn.IFS(
  AND(D777&gt;0,E777&gt;0),"Expansion",
  AND(D777&lt;0,E777&gt;0),"Slowdown",
  AND(D777&lt;0,E777&lt;0),"Contraction",
  AND(D777&gt;0,E777&lt;0),"Recovery",
  TRUE,"Undefined"
)</f>
        <v>Expansion</v>
      </c>
      <c r="Q777" t="str">
        <f t="shared" si="118"/>
        <v>Expansion</v>
      </c>
      <c r="R777">
        <f t="shared" si="112"/>
        <v>1</v>
      </c>
      <c r="S777">
        <f t="shared" si="113"/>
        <v>1</v>
      </c>
      <c r="T777">
        <f t="shared" si="114"/>
        <v>1</v>
      </c>
      <c r="U777">
        <f t="shared" si="115"/>
        <v>1</v>
      </c>
      <c r="V777" t="str" cm="1">
        <f t="array" ref="V777">_xlfn.IFS(
  AND(S777&gt;0,U777&gt;0),"Expansion",
  AND(S777&lt;0,U777&gt;0),"Slowdown",
  AND(S777&lt;0,U777&lt;0),"Contraction",
  AND(S777&gt;0,U777&lt;0),"Recovery",
  TRUE,"Undefined"
)</f>
        <v>Expansion</v>
      </c>
      <c r="W777">
        <f t="shared" si="116"/>
        <v>0</v>
      </c>
      <c r="X777">
        <f t="shared" si="117"/>
        <v>0</v>
      </c>
      <c r="Y777">
        <v>0</v>
      </c>
    </row>
    <row r="778" spans="1:25" x14ac:dyDescent="0.35">
      <c r="A778" s="1">
        <f>Data!A778</f>
        <v>40787</v>
      </c>
      <c r="B778" s="2">
        <f>IFERROR((Data!B778/Data!B777-1)*100,"")</f>
        <v>0.21715478580843772</v>
      </c>
      <c r="C778" s="2">
        <f>IFERROR((Data!C778/Data!C777-1)*100,"")</f>
        <v>-8.2708037478917973E-2</v>
      </c>
      <c r="D778">
        <f t="shared" si="110"/>
        <v>0.36170682804680016</v>
      </c>
      <c r="E778">
        <f t="shared" si="111"/>
        <v>0.26486822854200714</v>
      </c>
      <c r="P778" t="str" cm="1">
        <f t="array" ref="P778">_xlfn.IFS(
  AND(D778&gt;0,E778&gt;0),"Expansion",
  AND(D778&lt;0,E778&gt;0),"Slowdown",
  AND(D778&lt;0,E778&lt;0),"Contraction",
  AND(D778&gt;0,E778&lt;0),"Recovery",
  TRUE,"Undefined"
)</f>
        <v>Expansion</v>
      </c>
      <c r="Q778" t="str">
        <f t="shared" si="118"/>
        <v>Expansion</v>
      </c>
      <c r="R778">
        <f t="shared" si="112"/>
        <v>1</v>
      </c>
      <c r="S778">
        <f t="shared" si="113"/>
        <v>1</v>
      </c>
      <c r="T778">
        <f t="shared" si="114"/>
        <v>1</v>
      </c>
      <c r="U778">
        <f t="shared" si="115"/>
        <v>1</v>
      </c>
      <c r="V778" t="str" cm="1">
        <f t="array" ref="V778">_xlfn.IFS(
  AND(S778&gt;0,U778&gt;0),"Expansion",
  AND(S778&lt;0,U778&gt;0),"Slowdown",
  AND(S778&lt;0,U778&lt;0),"Contraction",
  AND(S778&gt;0,U778&lt;0),"Recovery",
  TRUE,"Undefined"
)</f>
        <v>Expansion</v>
      </c>
      <c r="W778">
        <f t="shared" si="116"/>
        <v>0</v>
      </c>
      <c r="X778">
        <f t="shared" si="117"/>
        <v>0</v>
      </c>
      <c r="Y778">
        <v>0</v>
      </c>
    </row>
    <row r="779" spans="1:25" x14ac:dyDescent="0.35">
      <c r="A779" s="1">
        <f>Data!A779</f>
        <v>40817</v>
      </c>
      <c r="B779" s="2">
        <f>IFERROR((Data!B779/Data!B778-1)*100,"")</f>
        <v>6.7520752701932807E-2</v>
      </c>
      <c r="C779" s="2">
        <f>IFERROR((Data!C779/Data!C778-1)*100,"")</f>
        <v>0.6940410373954542</v>
      </c>
      <c r="D779">
        <f t="shared" si="110"/>
        <v>0.42881535490405892</v>
      </c>
      <c r="E779">
        <f t="shared" si="111"/>
        <v>0.20004058505074993</v>
      </c>
      <c r="P779" t="str" cm="1">
        <f t="array" ref="P779">_xlfn.IFS(
  AND(D779&gt;0,E779&gt;0),"Expansion",
  AND(D779&lt;0,E779&gt;0),"Slowdown",
  AND(D779&lt;0,E779&lt;0),"Contraction",
  AND(D779&gt;0,E779&lt;0),"Recovery",
  TRUE,"Undefined"
)</f>
        <v>Expansion</v>
      </c>
      <c r="Q779" t="str">
        <f t="shared" si="118"/>
        <v>Expansion</v>
      </c>
      <c r="R779">
        <f t="shared" si="112"/>
        <v>1</v>
      </c>
      <c r="S779">
        <f t="shared" si="113"/>
        <v>1</v>
      </c>
      <c r="T779">
        <f t="shared" si="114"/>
        <v>1</v>
      </c>
      <c r="U779">
        <f t="shared" si="115"/>
        <v>1</v>
      </c>
      <c r="V779" t="str" cm="1">
        <f t="array" ref="V779">_xlfn.IFS(
  AND(S779&gt;0,U779&gt;0),"Expansion",
  AND(S779&lt;0,U779&gt;0),"Slowdown",
  AND(S779&lt;0,U779&lt;0),"Contraction",
  AND(S779&gt;0,U779&lt;0),"Recovery",
  TRUE,"Undefined"
)</f>
        <v>Expansion</v>
      </c>
      <c r="W779">
        <f t="shared" si="116"/>
        <v>0</v>
      </c>
      <c r="X779">
        <f t="shared" si="117"/>
        <v>0</v>
      </c>
      <c r="Y779">
        <v>0</v>
      </c>
    </row>
    <row r="780" spans="1:25" x14ac:dyDescent="0.35">
      <c r="A780" s="1">
        <f>Data!A780</f>
        <v>40848</v>
      </c>
      <c r="B780" s="2">
        <f>IFERROR((Data!B780/Data!B779-1)*100,"")</f>
        <v>0.18478500551268873</v>
      </c>
      <c r="C780" s="2">
        <f>IFERROR((Data!C780/Data!C779-1)*100,"")</f>
        <v>-8.6587493010492622E-3</v>
      </c>
      <c r="D780">
        <f t="shared" si="110"/>
        <v>0.20089141687182899</v>
      </c>
      <c r="E780">
        <f t="shared" si="111"/>
        <v>0.15648684800768642</v>
      </c>
      <c r="P780" t="str" cm="1">
        <f t="array" ref="P780">_xlfn.IFS(
  AND(D780&gt;0,E780&gt;0),"Expansion",
  AND(D780&lt;0,E780&gt;0),"Slowdown",
  AND(D780&lt;0,E780&lt;0),"Contraction",
  AND(D780&gt;0,E780&lt;0),"Recovery",
  TRUE,"Undefined"
)</f>
        <v>Expansion</v>
      </c>
      <c r="Q780" t="str">
        <f t="shared" si="118"/>
        <v>Expansion</v>
      </c>
      <c r="R780">
        <f t="shared" si="112"/>
        <v>1</v>
      </c>
      <c r="S780">
        <f t="shared" si="113"/>
        <v>1</v>
      </c>
      <c r="T780">
        <f t="shared" si="114"/>
        <v>1</v>
      </c>
      <c r="U780">
        <f t="shared" si="115"/>
        <v>1</v>
      </c>
      <c r="V780" t="str" cm="1">
        <f t="array" ref="V780">_xlfn.IFS(
  AND(S780&gt;0,U780&gt;0),"Expansion",
  AND(S780&lt;0,U780&gt;0),"Slowdown",
  AND(S780&lt;0,U780&lt;0),"Contraction",
  AND(S780&gt;0,U780&lt;0),"Recovery",
  TRUE,"Undefined"
)</f>
        <v>Expansion</v>
      </c>
      <c r="W780">
        <f t="shared" si="116"/>
        <v>0</v>
      </c>
      <c r="X780">
        <f t="shared" si="117"/>
        <v>0</v>
      </c>
      <c r="Y780">
        <v>0</v>
      </c>
    </row>
    <row r="781" spans="1:25" x14ac:dyDescent="0.35">
      <c r="A781" s="1">
        <f>Data!A781</f>
        <v>40878</v>
      </c>
      <c r="B781" s="2">
        <f>IFERROR((Data!B781/Data!B780-1)*100,"")</f>
        <v>2.3770849015480877E-2</v>
      </c>
      <c r="C781" s="2">
        <f>IFERROR((Data!C781/Data!C780-1)*100,"")</f>
        <v>0.53062906566090362</v>
      </c>
      <c r="D781">
        <f t="shared" si="110"/>
        <v>0.40533711791843618</v>
      </c>
      <c r="E781">
        <f t="shared" si="111"/>
        <v>9.202553574336747E-2</v>
      </c>
      <c r="P781" t="str" cm="1">
        <f t="array" ref="P781">_xlfn.IFS(
  AND(D781&gt;0,E781&gt;0),"Expansion",
  AND(D781&lt;0,E781&gt;0),"Slowdown",
  AND(D781&lt;0,E781&lt;0),"Contraction",
  AND(D781&gt;0,E781&lt;0),"Recovery",
  TRUE,"Undefined"
)</f>
        <v>Expansion</v>
      </c>
      <c r="Q781" t="str">
        <f t="shared" si="118"/>
        <v>Expansion</v>
      </c>
      <c r="R781">
        <f t="shared" si="112"/>
        <v>1</v>
      </c>
      <c r="S781">
        <f t="shared" si="113"/>
        <v>1</v>
      </c>
      <c r="T781">
        <f t="shared" si="114"/>
        <v>1</v>
      </c>
      <c r="U781">
        <f t="shared" si="115"/>
        <v>1</v>
      </c>
      <c r="V781" t="str" cm="1">
        <f t="array" ref="V781">_xlfn.IFS(
  AND(S781&gt;0,U781&gt;0),"Expansion",
  AND(S781&lt;0,U781&gt;0),"Slowdown",
  AND(S781&lt;0,U781&lt;0),"Contraction",
  AND(S781&gt;0,U781&lt;0),"Recovery",
  TRUE,"Undefined"
)</f>
        <v>Expansion</v>
      </c>
      <c r="W781">
        <f t="shared" si="116"/>
        <v>0</v>
      </c>
      <c r="X781">
        <f t="shared" si="117"/>
        <v>0</v>
      </c>
      <c r="Y781">
        <v>0</v>
      </c>
    </row>
    <row r="782" spans="1:25" x14ac:dyDescent="0.35">
      <c r="A782" s="1">
        <f>Data!A782</f>
        <v>40909</v>
      </c>
      <c r="B782" s="2">
        <f>IFERROR((Data!B782/Data!B781-1)*100,"")</f>
        <v>0.27241960540966836</v>
      </c>
      <c r="C782" s="2">
        <f>IFERROR((Data!C782/Data!C781-1)*100,"")</f>
        <v>0.59642724822559501</v>
      </c>
      <c r="D782">
        <f t="shared" si="110"/>
        <v>0.37279918819514979</v>
      </c>
      <c r="E782">
        <f t="shared" si="111"/>
        <v>0.16032515331261266</v>
      </c>
      <c r="P782" t="str" cm="1">
        <f t="array" ref="P782">_xlfn.IFS(
  AND(D782&gt;0,E782&gt;0),"Expansion",
  AND(D782&lt;0,E782&gt;0),"Slowdown",
  AND(D782&lt;0,E782&lt;0),"Contraction",
  AND(D782&gt;0,E782&lt;0),"Recovery",
  TRUE,"Undefined"
)</f>
        <v>Expansion</v>
      </c>
      <c r="Q782" t="str">
        <f t="shared" si="118"/>
        <v>Expansion</v>
      </c>
      <c r="R782">
        <f t="shared" si="112"/>
        <v>1</v>
      </c>
      <c r="S782">
        <f t="shared" si="113"/>
        <v>1</v>
      </c>
      <c r="T782">
        <f t="shared" si="114"/>
        <v>1</v>
      </c>
      <c r="U782">
        <f t="shared" si="115"/>
        <v>1</v>
      </c>
      <c r="V782" t="str" cm="1">
        <f t="array" ref="V782">_xlfn.IFS(
  AND(S782&gt;0,U782&gt;0),"Expansion",
  AND(S782&lt;0,U782&gt;0),"Slowdown",
  AND(S782&lt;0,U782&lt;0),"Contraction",
  AND(S782&gt;0,U782&lt;0),"Recovery",
  TRUE,"Undefined"
)</f>
        <v>Expansion</v>
      </c>
      <c r="W782">
        <f t="shared" si="116"/>
        <v>0</v>
      </c>
      <c r="X782">
        <f t="shared" si="117"/>
        <v>0</v>
      </c>
      <c r="Y782">
        <v>0</v>
      </c>
    </row>
    <row r="783" spans="1:25" x14ac:dyDescent="0.35">
      <c r="A783" s="1">
        <f>Data!A783</f>
        <v>40940</v>
      </c>
      <c r="B783" s="2">
        <f>IFERROR((Data!B783/Data!B782-1)*100,"")</f>
        <v>0.21374461249461518</v>
      </c>
      <c r="C783" s="2">
        <f>IFERROR((Data!C783/Data!C782-1)*100,"")</f>
        <v>0.32156629712849494</v>
      </c>
      <c r="D783">
        <f t="shared" si="110"/>
        <v>0.4828742036716645</v>
      </c>
      <c r="E783">
        <f t="shared" si="111"/>
        <v>0.16997835563992147</v>
      </c>
      <c r="P783" t="str" cm="1">
        <f t="array" ref="P783">_xlfn.IFS(
  AND(D783&gt;0,E783&gt;0),"Expansion",
  AND(D783&lt;0,E783&gt;0),"Slowdown",
  AND(D783&lt;0,E783&lt;0),"Contraction",
  AND(D783&gt;0,E783&lt;0),"Recovery",
  TRUE,"Undefined"
)</f>
        <v>Expansion</v>
      </c>
      <c r="Q783" t="str">
        <f t="shared" si="118"/>
        <v>Expansion</v>
      </c>
      <c r="R783">
        <f t="shared" si="112"/>
        <v>1</v>
      </c>
      <c r="S783">
        <f t="shared" si="113"/>
        <v>1</v>
      </c>
      <c r="T783">
        <f t="shared" si="114"/>
        <v>1</v>
      </c>
      <c r="U783">
        <f t="shared" si="115"/>
        <v>1</v>
      </c>
      <c r="V783" t="str" cm="1">
        <f t="array" ref="V783">_xlfn.IFS(
  AND(S783&gt;0,U783&gt;0),"Expansion",
  AND(S783&lt;0,U783&gt;0),"Slowdown",
  AND(S783&lt;0,U783&lt;0),"Contraction",
  AND(S783&gt;0,U783&lt;0),"Recovery",
  TRUE,"Undefined"
)</f>
        <v>Expansion</v>
      </c>
      <c r="W783">
        <f t="shared" si="116"/>
        <v>0</v>
      </c>
      <c r="X783">
        <f t="shared" si="117"/>
        <v>0</v>
      </c>
      <c r="Y783">
        <v>0</v>
      </c>
    </row>
    <row r="784" spans="1:25" x14ac:dyDescent="0.35">
      <c r="A784" s="1">
        <f>Data!A784</f>
        <v>40969</v>
      </c>
      <c r="B784" s="2">
        <f>IFERROR((Data!B784/Data!B783-1)*100,"")</f>
        <v>0.20934703870292282</v>
      </c>
      <c r="C784" s="2">
        <f>IFERROR((Data!C784/Data!C783-1)*100,"")</f>
        <v>-0.51777239609845926</v>
      </c>
      <c r="D784">
        <f t="shared" si="110"/>
        <v>0.13340704975187689</v>
      </c>
      <c r="E784">
        <f t="shared" si="111"/>
        <v>0.23183708553573545</v>
      </c>
      <c r="P784" t="str" cm="1">
        <f t="array" ref="P784">_xlfn.IFS(
  AND(D784&gt;0,E784&gt;0),"Expansion",
  AND(D784&lt;0,E784&gt;0),"Slowdown",
  AND(D784&lt;0,E784&lt;0),"Contraction",
  AND(D784&gt;0,E784&lt;0),"Recovery",
  TRUE,"Undefined"
)</f>
        <v>Expansion</v>
      </c>
      <c r="Q784" t="str">
        <f t="shared" si="118"/>
        <v>Expansion</v>
      </c>
      <c r="R784">
        <f t="shared" si="112"/>
        <v>1</v>
      </c>
      <c r="S784">
        <f t="shared" si="113"/>
        <v>1</v>
      </c>
      <c r="T784">
        <f t="shared" si="114"/>
        <v>1</v>
      </c>
      <c r="U784">
        <f t="shared" si="115"/>
        <v>1</v>
      </c>
      <c r="V784" t="str" cm="1">
        <f t="array" ref="V784">_xlfn.IFS(
  AND(S784&gt;0,U784&gt;0),"Expansion",
  AND(S784&lt;0,U784&gt;0),"Slowdown",
  AND(S784&lt;0,U784&lt;0),"Contraction",
  AND(S784&gt;0,U784&lt;0),"Recovery",
  TRUE,"Undefined"
)</f>
        <v>Expansion</v>
      </c>
      <c r="W784">
        <f t="shared" si="116"/>
        <v>0</v>
      </c>
      <c r="X784">
        <f t="shared" si="117"/>
        <v>0</v>
      </c>
      <c r="Y784">
        <v>0</v>
      </c>
    </row>
    <row r="785" spans="1:25" x14ac:dyDescent="0.35">
      <c r="A785" s="1">
        <f>Data!A785</f>
        <v>41000</v>
      </c>
      <c r="B785" s="2">
        <f>IFERROR((Data!B785/Data!B784-1)*100,"")</f>
        <v>0.16607883500068255</v>
      </c>
      <c r="C785" s="2">
        <f>IFERROR((Data!C785/Data!C784-1)*100,"")</f>
        <v>0.71935083729586236</v>
      </c>
      <c r="D785">
        <f t="shared" si="110"/>
        <v>0.174381579441966</v>
      </c>
      <c r="E785">
        <f t="shared" si="111"/>
        <v>0.19639016206607351</v>
      </c>
      <c r="P785" t="str" cm="1">
        <f t="array" ref="P785">_xlfn.IFS(
  AND(D785&gt;0,E785&gt;0),"Expansion",
  AND(D785&lt;0,E785&gt;0),"Slowdown",
  AND(D785&lt;0,E785&lt;0),"Contraction",
  AND(D785&gt;0,E785&lt;0),"Recovery",
  TRUE,"Undefined"
)</f>
        <v>Expansion</v>
      </c>
      <c r="Q785" t="str">
        <f t="shared" si="118"/>
        <v>Expansion</v>
      </c>
      <c r="R785">
        <f t="shared" si="112"/>
        <v>1</v>
      </c>
      <c r="S785">
        <f t="shared" si="113"/>
        <v>1</v>
      </c>
      <c r="T785">
        <f t="shared" si="114"/>
        <v>1</v>
      </c>
      <c r="U785">
        <f t="shared" si="115"/>
        <v>1</v>
      </c>
      <c r="V785" t="str" cm="1">
        <f t="array" ref="V785">_xlfn.IFS(
  AND(S785&gt;0,U785&gt;0),"Expansion",
  AND(S785&lt;0,U785&gt;0),"Slowdown",
  AND(S785&lt;0,U785&lt;0),"Contraction",
  AND(S785&gt;0,U785&lt;0),"Recovery",
  TRUE,"Undefined"
)</f>
        <v>Expansion</v>
      </c>
      <c r="W785">
        <f t="shared" si="116"/>
        <v>0</v>
      </c>
      <c r="X785">
        <f t="shared" si="117"/>
        <v>0</v>
      </c>
      <c r="Y785">
        <v>0</v>
      </c>
    </row>
    <row r="786" spans="1:25" x14ac:dyDescent="0.35">
      <c r="A786" s="1">
        <f>Data!A786</f>
        <v>41030</v>
      </c>
      <c r="B786" s="2">
        <f>IFERROR((Data!B786/Data!B785-1)*100,"")</f>
        <v>-0.20681801323810811</v>
      </c>
      <c r="C786" s="2">
        <f>IFERROR((Data!C786/Data!C785-1)*100,"")</f>
        <v>0.23092104655471068</v>
      </c>
      <c r="D786">
        <f t="shared" si="110"/>
        <v>0.14416649591737127</v>
      </c>
      <c r="E786">
        <f t="shared" si="111"/>
        <v>5.620262015516575E-2</v>
      </c>
      <c r="P786" t="str" cm="1">
        <f t="array" ref="P786">_xlfn.IFS(
  AND(D786&gt;0,E786&gt;0),"Expansion",
  AND(D786&lt;0,E786&gt;0),"Slowdown",
  AND(D786&lt;0,E786&lt;0),"Contraction",
  AND(D786&gt;0,E786&lt;0),"Recovery",
  TRUE,"Undefined"
)</f>
        <v>Expansion</v>
      </c>
      <c r="Q786" t="str">
        <f t="shared" si="118"/>
        <v>Expansion</v>
      </c>
      <c r="R786">
        <f t="shared" si="112"/>
        <v>1</v>
      </c>
      <c r="S786">
        <f t="shared" si="113"/>
        <v>1</v>
      </c>
      <c r="T786">
        <f t="shared" si="114"/>
        <v>1</v>
      </c>
      <c r="U786">
        <f t="shared" si="115"/>
        <v>1</v>
      </c>
      <c r="V786" t="str" cm="1">
        <f t="array" ref="V786">_xlfn.IFS(
  AND(S786&gt;0,U786&gt;0),"Expansion",
  AND(S786&lt;0,U786&gt;0),"Slowdown",
  AND(S786&lt;0,U786&lt;0),"Contraction",
  AND(S786&gt;0,U786&lt;0),"Recovery",
  TRUE,"Undefined"
)</f>
        <v>Expansion</v>
      </c>
      <c r="W786">
        <f t="shared" si="116"/>
        <v>0</v>
      </c>
      <c r="X786">
        <f t="shared" si="117"/>
        <v>0</v>
      </c>
      <c r="Y786">
        <v>0</v>
      </c>
    </row>
    <row r="787" spans="1:25" x14ac:dyDescent="0.35">
      <c r="A787" s="1">
        <f>Data!A787</f>
        <v>41061</v>
      </c>
      <c r="B787" s="2">
        <f>IFERROR((Data!B787/Data!B786-1)*100,"")</f>
        <v>-8.2636317131068449E-2</v>
      </c>
      <c r="C787" s="2">
        <f>IFERROR((Data!C787/Data!C786-1)*100,"")</f>
        <v>5.5293367151154627E-3</v>
      </c>
      <c r="D787">
        <f t="shared" si="110"/>
        <v>0.3186004068552295</v>
      </c>
      <c r="E787">
        <f t="shared" si="111"/>
        <v>-4.1125165122831341E-2</v>
      </c>
      <c r="P787" t="str" cm="1">
        <f t="array" ref="P787">_xlfn.IFS(
  AND(D787&gt;0,E787&gt;0),"Expansion",
  AND(D787&lt;0,E787&gt;0),"Slowdown",
  AND(D787&lt;0,E787&lt;0),"Contraction",
  AND(D787&gt;0,E787&lt;0),"Recovery",
  TRUE,"Undefined"
)</f>
        <v>Recovery</v>
      </c>
      <c r="Q787" t="str">
        <f t="shared" si="118"/>
        <v>Expansion</v>
      </c>
      <c r="R787">
        <f t="shared" si="112"/>
        <v>1</v>
      </c>
      <c r="S787">
        <f t="shared" si="113"/>
        <v>1</v>
      </c>
      <c r="T787">
        <f t="shared" si="114"/>
        <v>-1</v>
      </c>
      <c r="U787">
        <f t="shared" si="115"/>
        <v>-1</v>
      </c>
      <c r="V787" t="str" cm="1">
        <f t="array" ref="V787">_xlfn.IFS(
  AND(S787&gt;0,U787&gt;0),"Expansion",
  AND(S787&lt;0,U787&gt;0),"Slowdown",
  AND(S787&lt;0,U787&lt;0),"Contraction",
  AND(S787&gt;0,U787&lt;0),"Recovery",
  TRUE,"Undefined"
)</f>
        <v>Recovery</v>
      </c>
      <c r="W787">
        <f t="shared" si="116"/>
        <v>0</v>
      </c>
      <c r="X787">
        <f t="shared" si="117"/>
        <v>0</v>
      </c>
      <c r="Y787">
        <v>0</v>
      </c>
    </row>
    <row r="788" spans="1:25" x14ac:dyDescent="0.35">
      <c r="A788" s="1">
        <f>Data!A788</f>
        <v>41091</v>
      </c>
      <c r="B788" s="2">
        <f>IFERROR((Data!B788/Data!B787-1)*100,"")</f>
        <v>2.8880992806001871E-2</v>
      </c>
      <c r="C788" s="2">
        <f>IFERROR((Data!C788/Data!C787-1)*100,"")</f>
        <v>0.2098983989359704</v>
      </c>
      <c r="D788">
        <f t="shared" si="110"/>
        <v>0.14878292740193219</v>
      </c>
      <c r="E788">
        <f t="shared" si="111"/>
        <v>-8.6857779187724901E-2</v>
      </c>
      <c r="P788" t="str" cm="1">
        <f t="array" ref="P788">_xlfn.IFS(
  AND(D788&gt;0,E788&gt;0),"Expansion",
  AND(D788&lt;0,E788&gt;0),"Slowdown",
  AND(D788&lt;0,E788&lt;0),"Contraction",
  AND(D788&gt;0,E788&lt;0),"Recovery",
  TRUE,"Undefined"
)</f>
        <v>Recovery</v>
      </c>
      <c r="Q788" t="str">
        <f t="shared" si="118"/>
        <v>Expansion</v>
      </c>
      <c r="R788">
        <f t="shared" si="112"/>
        <v>1</v>
      </c>
      <c r="S788">
        <f t="shared" si="113"/>
        <v>1</v>
      </c>
      <c r="T788">
        <f t="shared" si="114"/>
        <v>-1</v>
      </c>
      <c r="U788">
        <f t="shared" si="115"/>
        <v>-1</v>
      </c>
      <c r="V788" t="str" cm="1">
        <f t="array" ref="V788">_xlfn.IFS(
  AND(S788&gt;0,U788&gt;0),"Expansion",
  AND(S788&lt;0,U788&gt;0),"Slowdown",
  AND(S788&lt;0,U788&lt;0),"Contraction",
  AND(S788&gt;0,U788&lt;0),"Recovery",
  TRUE,"Undefined"
)</f>
        <v>Recovery</v>
      </c>
      <c r="W788">
        <f t="shared" si="116"/>
        <v>0</v>
      </c>
      <c r="X788">
        <f t="shared" si="117"/>
        <v>0</v>
      </c>
      <c r="Y788">
        <v>0</v>
      </c>
    </row>
    <row r="789" spans="1:25" x14ac:dyDescent="0.35">
      <c r="A789" s="1">
        <f>Data!A789</f>
        <v>41122</v>
      </c>
      <c r="B789" s="2">
        <f>IFERROR((Data!B789/Data!B788-1)*100,"")</f>
        <v>0.58095279758518803</v>
      </c>
      <c r="C789" s="2">
        <f>IFERROR((Data!C789/Data!C788-1)*100,"")</f>
        <v>-0.42790889668371523</v>
      </c>
      <c r="D789">
        <f t="shared" si="110"/>
        <v>-7.082705367754312E-2</v>
      </c>
      <c r="E789">
        <f t="shared" si="111"/>
        <v>0.17573249108670716</v>
      </c>
      <c r="P789" t="str" cm="1">
        <f t="array" ref="P789">_xlfn.IFS(
  AND(D789&gt;0,E789&gt;0),"Expansion",
  AND(D789&lt;0,E789&gt;0),"Slowdown",
  AND(D789&lt;0,E789&lt;0),"Contraction",
  AND(D789&gt;0,E789&lt;0),"Recovery",
  TRUE,"Undefined"
)</f>
        <v>Slowdown</v>
      </c>
      <c r="Q789" t="str">
        <f t="shared" si="118"/>
        <v>Expansion</v>
      </c>
      <c r="R789">
        <f t="shared" si="112"/>
        <v>1</v>
      </c>
      <c r="S789">
        <f t="shared" si="113"/>
        <v>1</v>
      </c>
      <c r="T789">
        <f t="shared" si="114"/>
        <v>1</v>
      </c>
      <c r="U789">
        <f t="shared" si="115"/>
        <v>1</v>
      </c>
      <c r="V789" t="str" cm="1">
        <f t="array" ref="V789">_xlfn.IFS(
  AND(S789&gt;0,U789&gt;0),"Expansion",
  AND(S789&lt;0,U789&gt;0),"Slowdown",
  AND(S789&lt;0,U789&lt;0),"Contraction",
  AND(S789&gt;0,U789&lt;0),"Recovery",
  TRUE,"Undefined"
)</f>
        <v>Expansion</v>
      </c>
      <c r="W789">
        <f t="shared" si="116"/>
        <v>0</v>
      </c>
      <c r="X789">
        <f t="shared" si="117"/>
        <v>0</v>
      </c>
      <c r="Y789">
        <v>0</v>
      </c>
    </row>
    <row r="790" spans="1:25" x14ac:dyDescent="0.35">
      <c r="A790" s="1">
        <f>Data!A790</f>
        <v>41153</v>
      </c>
      <c r="B790" s="2">
        <f>IFERROR((Data!B790/Data!B789-1)*100,"")</f>
        <v>0.47712662775423187</v>
      </c>
      <c r="C790" s="2">
        <f>IFERROR((Data!C790/Data!C789-1)*100,"")</f>
        <v>-7.3369077242757541E-2</v>
      </c>
      <c r="D790">
        <f t="shared" si="110"/>
        <v>-9.7126524996834121E-2</v>
      </c>
      <c r="E790">
        <f t="shared" si="111"/>
        <v>0.36232013938180724</v>
      </c>
      <c r="P790" t="str" cm="1">
        <f t="array" ref="P790">_xlfn.IFS(
  AND(D790&gt;0,E790&gt;0),"Expansion",
  AND(D790&lt;0,E790&gt;0),"Slowdown",
  AND(D790&lt;0,E790&lt;0),"Contraction",
  AND(D790&gt;0,E790&lt;0),"Recovery",
  TRUE,"Undefined"
)</f>
        <v>Slowdown</v>
      </c>
      <c r="Q790" t="str">
        <f t="shared" si="118"/>
        <v>Expansion</v>
      </c>
      <c r="R790">
        <f t="shared" si="112"/>
        <v>1</v>
      </c>
      <c r="S790">
        <f t="shared" si="113"/>
        <v>1</v>
      </c>
      <c r="T790">
        <f t="shared" si="114"/>
        <v>1</v>
      </c>
      <c r="U790">
        <f t="shared" si="115"/>
        <v>1</v>
      </c>
      <c r="V790" t="str" cm="1">
        <f t="array" ref="V790">_xlfn.IFS(
  AND(S790&gt;0,U790&gt;0),"Expansion",
  AND(S790&lt;0,U790&gt;0),"Slowdown",
  AND(S790&lt;0,U790&lt;0),"Contraction",
  AND(S790&gt;0,U790&lt;0),"Recovery",
  TRUE,"Undefined"
)</f>
        <v>Expansion</v>
      </c>
      <c r="W790">
        <f t="shared" si="116"/>
        <v>0</v>
      </c>
      <c r="X790">
        <f t="shared" si="117"/>
        <v>0</v>
      </c>
      <c r="Y790">
        <v>0</v>
      </c>
    </row>
    <row r="791" spans="1:25" x14ac:dyDescent="0.35">
      <c r="A791" s="1">
        <f>Data!A791</f>
        <v>41183</v>
      </c>
      <c r="B791" s="2">
        <f>IFERROR((Data!B791/Data!B790-1)*100,"")</f>
        <v>0.26967945804385884</v>
      </c>
      <c r="C791" s="2">
        <f>IFERROR((Data!C791/Data!C790-1)*100,"")</f>
        <v>0.34739836313038008</v>
      </c>
      <c r="D791">
        <f t="shared" si="110"/>
        <v>-5.1293203598697566E-2</v>
      </c>
      <c r="E791">
        <f t="shared" si="111"/>
        <v>0.44258629446109293</v>
      </c>
      <c r="P791" t="str" cm="1">
        <f t="array" ref="P791">_xlfn.IFS(
  AND(D791&gt;0,E791&gt;0),"Expansion",
  AND(D791&lt;0,E791&gt;0),"Slowdown",
  AND(D791&lt;0,E791&lt;0),"Contraction",
  AND(D791&gt;0,E791&lt;0),"Recovery",
  TRUE,"Undefined"
)</f>
        <v>Slowdown</v>
      </c>
      <c r="Q791" t="str">
        <f t="shared" si="118"/>
        <v>Slowdown</v>
      </c>
      <c r="R791">
        <f t="shared" si="112"/>
        <v>1</v>
      </c>
      <c r="S791">
        <f t="shared" si="113"/>
        <v>1</v>
      </c>
      <c r="T791">
        <f t="shared" si="114"/>
        <v>1</v>
      </c>
      <c r="U791">
        <f t="shared" si="115"/>
        <v>1</v>
      </c>
      <c r="V791" t="str" cm="1">
        <f t="array" ref="V791">_xlfn.IFS(
  AND(S791&gt;0,U791&gt;0),"Expansion",
  AND(S791&lt;0,U791&gt;0),"Slowdown",
  AND(S791&lt;0,U791&lt;0),"Contraction",
  AND(S791&gt;0,U791&lt;0),"Recovery",
  TRUE,"Undefined"
)</f>
        <v>Expansion</v>
      </c>
      <c r="W791">
        <f t="shared" si="116"/>
        <v>0</v>
      </c>
      <c r="X791">
        <f t="shared" si="117"/>
        <v>0</v>
      </c>
      <c r="Y791">
        <v>0</v>
      </c>
    </row>
    <row r="792" spans="1:25" x14ac:dyDescent="0.35">
      <c r="A792" s="1">
        <f>Data!A792</f>
        <v>41214</v>
      </c>
      <c r="B792" s="2">
        <f>IFERROR((Data!B792/Data!B791-1)*100,"")</f>
        <v>-0.16793444944266378</v>
      </c>
      <c r="C792" s="2">
        <f>IFERROR((Data!C792/Data!C791-1)*100,"")</f>
        <v>0.36676480490547281</v>
      </c>
      <c r="D792">
        <f t="shared" si="110"/>
        <v>0.21359803026436511</v>
      </c>
      <c r="E792">
        <f t="shared" si="111"/>
        <v>0.19295721211847564</v>
      </c>
      <c r="P792" t="str" cm="1">
        <f t="array" ref="P792">_xlfn.IFS(
  AND(D792&gt;0,E792&gt;0),"Expansion",
  AND(D792&lt;0,E792&gt;0),"Slowdown",
  AND(D792&lt;0,E792&lt;0),"Contraction",
  AND(D792&gt;0,E792&lt;0),"Recovery",
  TRUE,"Undefined"
)</f>
        <v>Expansion</v>
      </c>
      <c r="Q792" t="str">
        <f t="shared" si="118"/>
        <v>Slowdown</v>
      </c>
      <c r="R792">
        <f t="shared" si="112"/>
        <v>1</v>
      </c>
      <c r="S792">
        <f t="shared" si="113"/>
        <v>1</v>
      </c>
      <c r="T792">
        <f t="shared" si="114"/>
        <v>1</v>
      </c>
      <c r="U792">
        <f t="shared" si="115"/>
        <v>1</v>
      </c>
      <c r="V792" t="str" cm="1">
        <f t="array" ref="V792">_xlfn.IFS(
  AND(S792&gt;0,U792&gt;0),"Expansion",
  AND(S792&lt;0,U792&gt;0),"Slowdown",
  AND(S792&lt;0,U792&lt;0),"Contraction",
  AND(S792&gt;0,U792&lt;0),"Recovery",
  TRUE,"Undefined"
)</f>
        <v>Expansion</v>
      </c>
      <c r="W792">
        <f t="shared" si="116"/>
        <v>0</v>
      </c>
      <c r="X792">
        <f t="shared" si="117"/>
        <v>0</v>
      </c>
      <c r="Y792">
        <v>0</v>
      </c>
    </row>
    <row r="793" spans="1:25" x14ac:dyDescent="0.35">
      <c r="A793" s="1">
        <f>Data!A793</f>
        <v>41244</v>
      </c>
      <c r="B793" s="2">
        <f>IFERROR((Data!B793/Data!B792-1)*100,"")</f>
        <v>-1.2108160467716456E-2</v>
      </c>
      <c r="C793" s="2">
        <f>IFERROR((Data!C793/Data!C792-1)*100,"")</f>
        <v>0.23695498568994111</v>
      </c>
      <c r="D793">
        <f t="shared" si="110"/>
        <v>0.31703938457526465</v>
      </c>
      <c r="E793">
        <f t="shared" si="111"/>
        <v>2.9878949377826203E-2</v>
      </c>
      <c r="P793" t="str" cm="1">
        <f t="array" ref="P793">_xlfn.IFS(
  AND(D793&gt;0,E793&gt;0),"Expansion",
  AND(D793&lt;0,E793&gt;0),"Slowdown",
  AND(D793&lt;0,E793&lt;0),"Contraction",
  AND(D793&gt;0,E793&lt;0),"Recovery",
  TRUE,"Undefined"
)</f>
        <v>Expansion</v>
      </c>
      <c r="Q793" t="str">
        <f t="shared" si="118"/>
        <v>Slowdown</v>
      </c>
      <c r="R793">
        <f t="shared" si="112"/>
        <v>1</v>
      </c>
      <c r="S793">
        <f t="shared" si="113"/>
        <v>1</v>
      </c>
      <c r="T793">
        <f t="shared" si="114"/>
        <v>1</v>
      </c>
      <c r="U793">
        <f t="shared" si="115"/>
        <v>1</v>
      </c>
      <c r="V793" t="str" cm="1">
        <f t="array" ref="V793">_xlfn.IFS(
  AND(S793&gt;0,U793&gt;0),"Expansion",
  AND(S793&lt;0,U793&gt;0),"Slowdown",
  AND(S793&lt;0,U793&lt;0),"Contraction",
  AND(S793&gt;0,U793&lt;0),"Recovery",
  TRUE,"Undefined"
)</f>
        <v>Expansion</v>
      </c>
      <c r="W793">
        <f t="shared" si="116"/>
        <v>0</v>
      </c>
      <c r="X793">
        <f t="shared" si="117"/>
        <v>0</v>
      </c>
      <c r="Y793">
        <v>0</v>
      </c>
    </row>
    <row r="794" spans="1:25" x14ac:dyDescent="0.35">
      <c r="A794" s="1">
        <f>Data!A794</f>
        <v>41275</v>
      </c>
      <c r="B794" s="2">
        <f>IFERROR((Data!B794/Data!B793-1)*100,"")</f>
        <v>0.19807889421807889</v>
      </c>
      <c r="C794" s="2">
        <f>IFERROR((Data!C794/Data!C793-1)*100,"")</f>
        <v>2.4514266591113554E-2</v>
      </c>
      <c r="D794">
        <f t="shared" si="110"/>
        <v>0.20941135239550915</v>
      </c>
      <c r="E794">
        <f t="shared" si="111"/>
        <v>6.0120947692328857E-3</v>
      </c>
      <c r="P794" t="str" cm="1">
        <f t="array" ref="P794">_xlfn.IFS(
  AND(D794&gt;0,E794&gt;0),"Expansion",
  AND(D794&lt;0,E794&gt;0),"Slowdown",
  AND(D794&lt;0,E794&lt;0),"Contraction",
  AND(D794&gt;0,E794&lt;0),"Recovery",
  TRUE,"Undefined"
)</f>
        <v>Expansion</v>
      </c>
      <c r="Q794" t="str">
        <f t="shared" si="118"/>
        <v>Expansion</v>
      </c>
      <c r="R794">
        <f t="shared" si="112"/>
        <v>1</v>
      </c>
      <c r="S794">
        <f t="shared" si="113"/>
        <v>1</v>
      </c>
      <c r="T794">
        <f t="shared" si="114"/>
        <v>1</v>
      </c>
      <c r="U794">
        <f t="shared" si="115"/>
        <v>1</v>
      </c>
      <c r="V794" t="str" cm="1">
        <f t="array" ref="V794">_xlfn.IFS(
  AND(S794&gt;0,U794&gt;0),"Expansion",
  AND(S794&lt;0,U794&gt;0),"Slowdown",
  AND(S794&lt;0,U794&lt;0),"Contraction",
  AND(S794&gt;0,U794&lt;0),"Recovery",
  TRUE,"Undefined"
)</f>
        <v>Expansion</v>
      </c>
      <c r="W794">
        <f t="shared" si="116"/>
        <v>0</v>
      </c>
      <c r="X794">
        <f t="shared" si="117"/>
        <v>0</v>
      </c>
      <c r="Y794">
        <v>0</v>
      </c>
    </row>
    <row r="795" spans="1:25" x14ac:dyDescent="0.35">
      <c r="A795" s="1">
        <f>Data!A795</f>
        <v>41306</v>
      </c>
      <c r="B795" s="2">
        <f>IFERROR((Data!B795/Data!B794-1)*100,"")</f>
        <v>0.54299267521009664</v>
      </c>
      <c r="C795" s="2">
        <f>IFERROR((Data!C795/Data!C794-1)*100,"")</f>
        <v>0.46769079323369933</v>
      </c>
      <c r="D795">
        <f t="shared" si="110"/>
        <v>0.243053348504918</v>
      </c>
      <c r="E795">
        <f t="shared" si="111"/>
        <v>0.24298780298681968</v>
      </c>
      <c r="P795" t="str" cm="1">
        <f t="array" ref="P795">_xlfn.IFS(
  AND(D795&gt;0,E795&gt;0),"Expansion",
  AND(D795&lt;0,E795&gt;0),"Slowdown",
  AND(D795&lt;0,E795&lt;0),"Contraction",
  AND(D795&gt;0,E795&lt;0),"Recovery",
  TRUE,"Undefined"
)</f>
        <v>Expansion</v>
      </c>
      <c r="Q795" t="str">
        <f t="shared" si="118"/>
        <v>Expansion</v>
      </c>
      <c r="R795">
        <f t="shared" si="112"/>
        <v>1</v>
      </c>
      <c r="S795">
        <f t="shared" si="113"/>
        <v>1</v>
      </c>
      <c r="T795">
        <f t="shared" si="114"/>
        <v>1</v>
      </c>
      <c r="U795">
        <f t="shared" si="115"/>
        <v>1</v>
      </c>
      <c r="V795" t="str" cm="1">
        <f t="array" ref="V795">_xlfn.IFS(
  AND(S795&gt;0,U795&gt;0),"Expansion",
  AND(S795&lt;0,U795&gt;0),"Slowdown",
  AND(S795&lt;0,U795&lt;0),"Contraction",
  AND(S795&gt;0,U795&lt;0),"Recovery",
  TRUE,"Undefined"
)</f>
        <v>Expansion</v>
      </c>
      <c r="W795">
        <f t="shared" si="116"/>
        <v>0</v>
      </c>
      <c r="X795">
        <f t="shared" si="117"/>
        <v>0</v>
      </c>
      <c r="Y795">
        <v>0</v>
      </c>
    </row>
    <row r="796" spans="1:25" x14ac:dyDescent="0.35">
      <c r="A796" s="1">
        <f>Data!A796</f>
        <v>41334</v>
      </c>
      <c r="B796" s="2">
        <f>IFERROR((Data!B796/Data!B795-1)*100,"")</f>
        <v>-0.28119191025899326</v>
      </c>
      <c r="C796" s="2">
        <f>IFERROR((Data!C796/Data!C795-1)*100,"")</f>
        <v>0.40285806541078273</v>
      </c>
      <c r="D796">
        <f t="shared" si="110"/>
        <v>0.29835437507853185</v>
      </c>
      <c r="E796">
        <f t="shared" si="111"/>
        <v>0.15329321972306076</v>
      </c>
      <c r="P796" t="str" cm="1">
        <f t="array" ref="P796">_xlfn.IFS(
  AND(D796&gt;0,E796&gt;0),"Expansion",
  AND(D796&lt;0,E796&gt;0),"Slowdown",
  AND(D796&lt;0,E796&lt;0),"Contraction",
  AND(D796&gt;0,E796&lt;0),"Recovery",
  TRUE,"Undefined"
)</f>
        <v>Expansion</v>
      </c>
      <c r="Q796" t="str">
        <f t="shared" si="118"/>
        <v>Expansion</v>
      </c>
      <c r="R796">
        <f t="shared" si="112"/>
        <v>1</v>
      </c>
      <c r="S796">
        <f t="shared" si="113"/>
        <v>1</v>
      </c>
      <c r="T796">
        <f t="shared" si="114"/>
        <v>1</v>
      </c>
      <c r="U796">
        <f t="shared" si="115"/>
        <v>1</v>
      </c>
      <c r="V796" t="str" cm="1">
        <f t="array" ref="V796">_xlfn.IFS(
  AND(S796&gt;0,U796&gt;0),"Expansion",
  AND(S796&lt;0,U796&gt;0),"Slowdown",
  AND(S796&lt;0,U796&lt;0),"Contraction",
  AND(S796&gt;0,U796&lt;0),"Recovery",
  TRUE,"Undefined"
)</f>
        <v>Expansion</v>
      </c>
      <c r="W796">
        <f t="shared" si="116"/>
        <v>0</v>
      </c>
      <c r="X796">
        <f t="shared" si="117"/>
        <v>0</v>
      </c>
      <c r="Y796">
        <v>0</v>
      </c>
    </row>
    <row r="797" spans="1:25" x14ac:dyDescent="0.35">
      <c r="A797" s="1">
        <f>Data!A797</f>
        <v>41365</v>
      </c>
      <c r="B797" s="2">
        <f>IFERROR((Data!B797/Data!B796-1)*100,"")</f>
        <v>-0.20879792665812191</v>
      </c>
      <c r="C797" s="2">
        <f>IFERROR((Data!C797/Data!C796-1)*100,"")</f>
        <v>-8.6297195038720353E-2</v>
      </c>
      <c r="D797">
        <f t="shared" si="110"/>
        <v>0.26141722120192057</v>
      </c>
      <c r="E797">
        <f t="shared" si="111"/>
        <v>1.7667612764327156E-2</v>
      </c>
      <c r="P797" t="str" cm="1">
        <f t="array" ref="P797">_xlfn.IFS(
  AND(D797&gt;0,E797&gt;0),"Expansion",
  AND(D797&lt;0,E797&gt;0),"Slowdown",
  AND(D797&lt;0,E797&lt;0),"Contraction",
  AND(D797&gt;0,E797&lt;0),"Recovery",
  TRUE,"Undefined"
)</f>
        <v>Expansion</v>
      </c>
      <c r="Q797" t="str">
        <f t="shared" si="118"/>
        <v>Expansion</v>
      </c>
      <c r="R797">
        <f t="shared" si="112"/>
        <v>1</v>
      </c>
      <c r="S797">
        <f t="shared" si="113"/>
        <v>1</v>
      </c>
      <c r="T797">
        <f t="shared" si="114"/>
        <v>1</v>
      </c>
      <c r="U797">
        <f t="shared" si="115"/>
        <v>1</v>
      </c>
      <c r="V797" t="str" cm="1">
        <f t="array" ref="V797">_xlfn.IFS(
  AND(S797&gt;0,U797&gt;0),"Expansion",
  AND(S797&lt;0,U797&gt;0),"Slowdown",
  AND(S797&lt;0,U797&lt;0),"Contraction",
  AND(S797&gt;0,U797&lt;0),"Recovery",
  TRUE,"Undefined"
)</f>
        <v>Expansion</v>
      </c>
      <c r="W797">
        <f t="shared" si="116"/>
        <v>0</v>
      </c>
      <c r="X797">
        <f t="shared" si="117"/>
        <v>0</v>
      </c>
      <c r="Y797">
        <v>0</v>
      </c>
    </row>
    <row r="798" spans="1:25" x14ac:dyDescent="0.35">
      <c r="A798" s="1">
        <f>Data!A798</f>
        <v>41395</v>
      </c>
      <c r="B798" s="2">
        <f>IFERROR((Data!B798/Data!B797-1)*100,"")</f>
        <v>4.1415548950163306E-2</v>
      </c>
      <c r="C798" s="2">
        <f>IFERROR((Data!C798/Data!C797-1)*100,"")</f>
        <v>7.8097803877641425E-2</v>
      </c>
      <c r="D798">
        <f t="shared" si="110"/>
        <v>0.13155289141656792</v>
      </c>
      <c r="E798">
        <f t="shared" si="111"/>
        <v>-0.14952476265565062</v>
      </c>
      <c r="P798" t="str" cm="1">
        <f t="array" ref="P798">_xlfn.IFS(
  AND(D798&gt;0,E798&gt;0),"Expansion",
  AND(D798&lt;0,E798&gt;0),"Slowdown",
  AND(D798&lt;0,E798&lt;0),"Contraction",
  AND(D798&gt;0,E798&lt;0),"Recovery",
  TRUE,"Undefined"
)</f>
        <v>Recovery</v>
      </c>
      <c r="Q798" t="str">
        <f t="shared" si="118"/>
        <v>Expansion</v>
      </c>
      <c r="R798">
        <f t="shared" si="112"/>
        <v>1</v>
      </c>
      <c r="S798">
        <f t="shared" si="113"/>
        <v>1</v>
      </c>
      <c r="T798">
        <f t="shared" si="114"/>
        <v>-1</v>
      </c>
      <c r="U798">
        <f t="shared" si="115"/>
        <v>-1</v>
      </c>
      <c r="V798" t="str" cm="1">
        <f t="array" ref="V798">_xlfn.IFS(
  AND(S798&gt;0,U798&gt;0),"Expansion",
  AND(S798&lt;0,U798&gt;0),"Slowdown",
  AND(S798&lt;0,U798&lt;0),"Contraction",
  AND(S798&gt;0,U798&lt;0),"Recovery",
  TRUE,"Undefined"
)</f>
        <v>Recovery</v>
      </c>
      <c r="W798">
        <f t="shared" si="116"/>
        <v>0</v>
      </c>
      <c r="X798">
        <f t="shared" si="117"/>
        <v>0</v>
      </c>
      <c r="Y798">
        <v>0</v>
      </c>
    </row>
    <row r="799" spans="1:25" x14ac:dyDescent="0.35">
      <c r="A799" s="1">
        <f>Data!A799</f>
        <v>41426</v>
      </c>
      <c r="B799" s="2">
        <f>IFERROR((Data!B799/Data!B798-1)*100,"")</f>
        <v>0.23804082055085551</v>
      </c>
      <c r="C799" s="2">
        <f>IFERROR((Data!C799/Data!C798-1)*100,"")</f>
        <v>0.20749335325593865</v>
      </c>
      <c r="D799">
        <f t="shared" si="110"/>
        <v>6.6431320698286569E-2</v>
      </c>
      <c r="E799">
        <f t="shared" si="111"/>
        <v>2.3552814280965634E-2</v>
      </c>
      <c r="P799" t="str" cm="1">
        <f t="array" ref="P799">_xlfn.IFS(
  AND(D799&gt;0,E799&gt;0),"Expansion",
  AND(D799&lt;0,E799&gt;0),"Slowdown",
  AND(D799&lt;0,E799&lt;0),"Contraction",
  AND(D799&gt;0,E799&lt;0),"Recovery",
  TRUE,"Undefined"
)</f>
        <v>Expansion</v>
      </c>
      <c r="Q799" t="str">
        <f t="shared" si="118"/>
        <v>Expansion</v>
      </c>
      <c r="R799">
        <f t="shared" si="112"/>
        <v>1</v>
      </c>
      <c r="S799">
        <f t="shared" si="113"/>
        <v>1</v>
      </c>
      <c r="T799">
        <f t="shared" si="114"/>
        <v>1</v>
      </c>
      <c r="U799">
        <f t="shared" si="115"/>
        <v>1</v>
      </c>
      <c r="V799" t="str" cm="1">
        <f t="array" ref="V799">_xlfn.IFS(
  AND(S799&gt;0,U799&gt;0),"Expansion",
  AND(S799&lt;0,U799&gt;0),"Slowdown",
  AND(S799&lt;0,U799&lt;0),"Contraction",
  AND(S799&gt;0,U799&lt;0),"Recovery",
  TRUE,"Undefined"
)</f>
        <v>Expansion</v>
      </c>
      <c r="W799">
        <f t="shared" si="116"/>
        <v>0</v>
      </c>
      <c r="X799">
        <f t="shared" si="117"/>
        <v>0</v>
      </c>
      <c r="Y799">
        <v>0</v>
      </c>
    </row>
    <row r="800" spans="1:25" x14ac:dyDescent="0.35">
      <c r="A800" s="1">
        <f>Data!A800</f>
        <v>41456</v>
      </c>
      <c r="B800" s="2">
        <f>IFERROR((Data!B800/Data!B799-1)*100,"")</f>
        <v>0.19574523005443378</v>
      </c>
      <c r="C800" s="2">
        <f>IFERROR((Data!C800/Data!C799-1)*100,"")</f>
        <v>-0.31019310854143445</v>
      </c>
      <c r="D800">
        <f t="shared" si="110"/>
        <v>-8.2006504692847901E-3</v>
      </c>
      <c r="E800">
        <f t="shared" si="111"/>
        <v>0.15840053318515088</v>
      </c>
      <c r="P800" t="str" cm="1">
        <f t="array" ref="P800">_xlfn.IFS(
  AND(D800&gt;0,E800&gt;0),"Expansion",
  AND(D800&lt;0,E800&gt;0),"Slowdown",
  AND(D800&lt;0,E800&lt;0),"Contraction",
  AND(D800&gt;0,E800&lt;0),"Recovery",
  TRUE,"Undefined"
)</f>
        <v>Slowdown</v>
      </c>
      <c r="Q800" t="str">
        <f t="shared" si="118"/>
        <v>Expansion</v>
      </c>
      <c r="R800">
        <f t="shared" si="112"/>
        <v>1</v>
      </c>
      <c r="S800">
        <f t="shared" si="113"/>
        <v>1</v>
      </c>
      <c r="T800">
        <f t="shared" si="114"/>
        <v>1</v>
      </c>
      <c r="U800">
        <f t="shared" si="115"/>
        <v>1</v>
      </c>
      <c r="V800" t="str" cm="1">
        <f t="array" ref="V800">_xlfn.IFS(
  AND(S800&gt;0,U800&gt;0),"Expansion",
  AND(S800&lt;0,U800&gt;0),"Slowdown",
  AND(S800&lt;0,U800&lt;0),"Contraction",
  AND(S800&gt;0,U800&lt;0),"Recovery",
  TRUE,"Undefined"
)</f>
        <v>Expansion</v>
      </c>
      <c r="W800">
        <f t="shared" si="116"/>
        <v>0</v>
      </c>
      <c r="X800">
        <f t="shared" si="117"/>
        <v>0</v>
      </c>
      <c r="Y800">
        <v>0</v>
      </c>
    </row>
    <row r="801" spans="1:25" x14ac:dyDescent="0.35">
      <c r="A801" s="1">
        <f>Data!A801</f>
        <v>41487</v>
      </c>
      <c r="B801" s="2">
        <f>IFERROR((Data!B801/Data!B800-1)*100,"")</f>
        <v>0.23872906826962748</v>
      </c>
      <c r="C801" s="2">
        <f>IFERROR((Data!C801/Data!C800-1)*100,"")</f>
        <v>0.57821145038321475</v>
      </c>
      <c r="D801">
        <f t="shared" si="110"/>
        <v>0.15850389836590631</v>
      </c>
      <c r="E801">
        <f t="shared" si="111"/>
        <v>0.22417170629163893</v>
      </c>
      <c r="P801" t="str" cm="1">
        <f t="array" ref="P801">_xlfn.IFS(
  AND(D801&gt;0,E801&gt;0),"Expansion",
  AND(D801&lt;0,E801&gt;0),"Slowdown",
  AND(D801&lt;0,E801&lt;0),"Contraction",
  AND(D801&gt;0,E801&lt;0),"Recovery",
  TRUE,"Undefined"
)</f>
        <v>Expansion</v>
      </c>
      <c r="Q801" t="str">
        <f t="shared" si="118"/>
        <v>Expansion</v>
      </c>
      <c r="R801">
        <f t="shared" si="112"/>
        <v>1</v>
      </c>
      <c r="S801">
        <f t="shared" si="113"/>
        <v>1</v>
      </c>
      <c r="T801">
        <f t="shared" si="114"/>
        <v>1</v>
      </c>
      <c r="U801">
        <f t="shared" si="115"/>
        <v>1</v>
      </c>
      <c r="V801" t="str" cm="1">
        <f t="array" ref="V801">_xlfn.IFS(
  AND(S801&gt;0,U801&gt;0),"Expansion",
  AND(S801&lt;0,U801&gt;0),"Slowdown",
  AND(S801&lt;0,U801&lt;0),"Contraction",
  AND(S801&gt;0,U801&lt;0),"Recovery",
  TRUE,"Undefined"
)</f>
        <v>Expansion</v>
      </c>
      <c r="W801">
        <f t="shared" si="116"/>
        <v>0</v>
      </c>
      <c r="X801">
        <f t="shared" si="117"/>
        <v>0</v>
      </c>
      <c r="Y801">
        <v>0</v>
      </c>
    </row>
    <row r="802" spans="1:25" x14ac:dyDescent="0.35">
      <c r="A802" s="1">
        <f>Data!A802</f>
        <v>41518</v>
      </c>
      <c r="B802" s="2">
        <f>IFERROR((Data!B802/Data!B801-1)*100,"")</f>
        <v>3.7694469193350066E-2</v>
      </c>
      <c r="C802" s="2">
        <f>IFERROR((Data!C802/Data!C801-1)*100,"")</f>
        <v>0.50845773840164643</v>
      </c>
      <c r="D802">
        <f t="shared" si="110"/>
        <v>0.25882536008114226</v>
      </c>
      <c r="E802">
        <f t="shared" si="111"/>
        <v>0.15738958917247045</v>
      </c>
      <c r="P802" t="str" cm="1">
        <f t="array" ref="P802">_xlfn.IFS(
  AND(D802&gt;0,E802&gt;0),"Expansion",
  AND(D802&lt;0,E802&gt;0),"Slowdown",
  AND(D802&lt;0,E802&lt;0),"Contraction",
  AND(D802&gt;0,E802&lt;0),"Recovery",
  TRUE,"Undefined"
)</f>
        <v>Expansion</v>
      </c>
      <c r="Q802" t="str">
        <f t="shared" si="118"/>
        <v>Expansion</v>
      </c>
      <c r="R802">
        <f t="shared" si="112"/>
        <v>1</v>
      </c>
      <c r="S802">
        <f t="shared" si="113"/>
        <v>1</v>
      </c>
      <c r="T802">
        <f t="shared" si="114"/>
        <v>1</v>
      </c>
      <c r="U802">
        <f t="shared" si="115"/>
        <v>1</v>
      </c>
      <c r="V802" t="str" cm="1">
        <f t="array" ref="V802">_xlfn.IFS(
  AND(S802&gt;0,U802&gt;0),"Expansion",
  AND(S802&lt;0,U802&gt;0),"Slowdown",
  AND(S802&lt;0,U802&lt;0),"Contraction",
  AND(S802&gt;0,U802&lt;0),"Recovery",
  TRUE,"Undefined"
)</f>
        <v>Expansion</v>
      </c>
      <c r="W802">
        <f t="shared" si="116"/>
        <v>0</v>
      </c>
      <c r="X802">
        <f t="shared" si="117"/>
        <v>0</v>
      </c>
      <c r="Y802">
        <v>0</v>
      </c>
    </row>
    <row r="803" spans="1:25" x14ac:dyDescent="0.35">
      <c r="A803" s="1">
        <f>Data!A803</f>
        <v>41548</v>
      </c>
      <c r="B803" s="2">
        <f>IFERROR((Data!B803/Data!B802-1)*100,"")</f>
        <v>5.3523104853914205E-2</v>
      </c>
      <c r="C803" s="2">
        <f>IFERROR((Data!C803/Data!C802-1)*100,"")</f>
        <v>-7.8873014446745326E-2</v>
      </c>
      <c r="D803">
        <f t="shared" si="110"/>
        <v>0.33593205811270527</v>
      </c>
      <c r="E803">
        <f t="shared" si="111"/>
        <v>0.10998221410563058</v>
      </c>
      <c r="P803" t="str" cm="1">
        <f t="array" ref="P803">_xlfn.IFS(
  AND(D803&gt;0,E803&gt;0),"Expansion",
  AND(D803&lt;0,E803&gt;0),"Slowdown",
  AND(D803&lt;0,E803&lt;0),"Contraction",
  AND(D803&gt;0,E803&lt;0),"Recovery",
  TRUE,"Undefined"
)</f>
        <v>Expansion</v>
      </c>
      <c r="Q803" t="str">
        <f t="shared" si="118"/>
        <v>Expansion</v>
      </c>
      <c r="R803">
        <f t="shared" si="112"/>
        <v>1</v>
      </c>
      <c r="S803">
        <f t="shared" si="113"/>
        <v>1</v>
      </c>
      <c r="T803">
        <f t="shared" si="114"/>
        <v>1</v>
      </c>
      <c r="U803">
        <f t="shared" si="115"/>
        <v>1</v>
      </c>
      <c r="V803" t="str" cm="1">
        <f t="array" ref="V803">_xlfn.IFS(
  AND(S803&gt;0,U803&gt;0),"Expansion",
  AND(S803&lt;0,U803&gt;0),"Slowdown",
  AND(S803&lt;0,U803&lt;0),"Contraction",
  AND(S803&gt;0,U803&lt;0),"Recovery",
  TRUE,"Undefined"
)</f>
        <v>Expansion</v>
      </c>
      <c r="W803">
        <f t="shared" si="116"/>
        <v>0</v>
      </c>
      <c r="X803">
        <f t="shared" si="117"/>
        <v>0</v>
      </c>
      <c r="Y803">
        <v>0</v>
      </c>
    </row>
    <row r="804" spans="1:25" x14ac:dyDescent="0.35">
      <c r="A804" s="1">
        <f>Data!A804</f>
        <v>41579</v>
      </c>
      <c r="B804" s="2">
        <f>IFERROR((Data!B804/Data!B803-1)*100,"")</f>
        <v>0.18444894273523804</v>
      </c>
      <c r="C804" s="2">
        <f>IFERROR((Data!C804/Data!C803-1)*100,"")</f>
        <v>0.23360844107831458</v>
      </c>
      <c r="D804">
        <f t="shared" si="110"/>
        <v>0.22106438834440523</v>
      </c>
      <c r="E804">
        <f t="shared" si="111"/>
        <v>9.1888838927500771E-2</v>
      </c>
      <c r="P804" t="str" cm="1">
        <f t="array" ref="P804">_xlfn.IFS(
  AND(D804&gt;0,E804&gt;0),"Expansion",
  AND(D804&lt;0,E804&gt;0),"Slowdown",
  AND(D804&lt;0,E804&lt;0),"Contraction",
  AND(D804&gt;0,E804&lt;0),"Recovery",
  TRUE,"Undefined"
)</f>
        <v>Expansion</v>
      </c>
      <c r="Q804" t="str">
        <f t="shared" si="118"/>
        <v>Expansion</v>
      </c>
      <c r="R804">
        <f t="shared" si="112"/>
        <v>1</v>
      </c>
      <c r="S804">
        <f t="shared" si="113"/>
        <v>1</v>
      </c>
      <c r="T804">
        <f t="shared" si="114"/>
        <v>1</v>
      </c>
      <c r="U804">
        <f t="shared" si="115"/>
        <v>1</v>
      </c>
      <c r="V804" t="str" cm="1">
        <f t="array" ref="V804">_xlfn.IFS(
  AND(S804&gt;0,U804&gt;0),"Expansion",
  AND(S804&lt;0,U804&gt;0),"Slowdown",
  AND(S804&lt;0,U804&lt;0),"Contraction",
  AND(S804&gt;0,U804&lt;0),"Recovery",
  TRUE,"Undefined"
)</f>
        <v>Expansion</v>
      </c>
      <c r="W804">
        <f t="shared" si="116"/>
        <v>0</v>
      </c>
      <c r="X804">
        <f t="shared" si="117"/>
        <v>0</v>
      </c>
      <c r="Y804">
        <v>0</v>
      </c>
    </row>
    <row r="805" spans="1:25" x14ac:dyDescent="0.35">
      <c r="A805" s="1">
        <f>Data!A805</f>
        <v>41609</v>
      </c>
      <c r="B805" s="2">
        <f>IFERROR((Data!B805/Data!B804-1)*100,"")</f>
        <v>0.26441691584793148</v>
      </c>
      <c r="C805" s="2">
        <f>IFERROR((Data!C805/Data!C804-1)*100,"")</f>
        <v>0.20106503661436737</v>
      </c>
      <c r="D805">
        <f t="shared" si="110"/>
        <v>0.1186001544153122</v>
      </c>
      <c r="E805">
        <f t="shared" si="111"/>
        <v>0.16746298781236124</v>
      </c>
      <c r="P805" t="str" cm="1">
        <f t="array" ref="P805">_xlfn.IFS(
  AND(D805&gt;0,E805&gt;0),"Expansion",
  AND(D805&lt;0,E805&gt;0),"Slowdown",
  AND(D805&lt;0,E805&lt;0),"Contraction",
  AND(D805&gt;0,E805&lt;0),"Recovery",
  TRUE,"Undefined"
)</f>
        <v>Expansion</v>
      </c>
      <c r="Q805" t="str">
        <f t="shared" si="118"/>
        <v>Expansion</v>
      </c>
      <c r="R805">
        <f t="shared" si="112"/>
        <v>1</v>
      </c>
      <c r="S805">
        <f t="shared" si="113"/>
        <v>1</v>
      </c>
      <c r="T805">
        <f t="shared" si="114"/>
        <v>1</v>
      </c>
      <c r="U805">
        <f t="shared" si="115"/>
        <v>1</v>
      </c>
      <c r="V805" t="str" cm="1">
        <f t="array" ref="V805">_xlfn.IFS(
  AND(S805&gt;0,U805&gt;0),"Expansion",
  AND(S805&lt;0,U805&gt;0),"Slowdown",
  AND(S805&lt;0,U805&lt;0),"Contraction",
  AND(S805&gt;0,U805&lt;0),"Recovery",
  TRUE,"Undefined"
)</f>
        <v>Expansion</v>
      </c>
      <c r="W805">
        <f t="shared" si="116"/>
        <v>0</v>
      </c>
      <c r="X805">
        <f t="shared" si="117"/>
        <v>0</v>
      </c>
      <c r="Y805">
        <v>0</v>
      </c>
    </row>
    <row r="806" spans="1:25" x14ac:dyDescent="0.35">
      <c r="A806" s="1">
        <f>Data!A806</f>
        <v>41640</v>
      </c>
      <c r="B806" s="2">
        <f>IFERROR((Data!B806/Data!B805-1)*100,"")</f>
        <v>0.24241752904536895</v>
      </c>
      <c r="C806" s="2">
        <f>IFERROR((Data!C806/Data!C805-1)*100,"")</f>
        <v>-0.35575894744697134</v>
      </c>
      <c r="D806">
        <f t="shared" si="110"/>
        <v>2.6304843415236867E-2</v>
      </c>
      <c r="E806">
        <f t="shared" si="111"/>
        <v>0.23042779587617948</v>
      </c>
      <c r="P806" t="str" cm="1">
        <f t="array" ref="P806">_xlfn.IFS(
  AND(D806&gt;0,E806&gt;0),"Expansion",
  AND(D806&lt;0,E806&gt;0),"Slowdown",
  AND(D806&lt;0,E806&lt;0),"Contraction",
  AND(D806&gt;0,E806&lt;0),"Recovery",
  TRUE,"Undefined"
)</f>
        <v>Expansion</v>
      </c>
      <c r="Q806" t="str">
        <f t="shared" si="118"/>
        <v>Expansion</v>
      </c>
      <c r="R806">
        <f t="shared" si="112"/>
        <v>1</v>
      </c>
      <c r="S806">
        <f t="shared" si="113"/>
        <v>1</v>
      </c>
      <c r="T806">
        <f t="shared" si="114"/>
        <v>1</v>
      </c>
      <c r="U806">
        <f t="shared" si="115"/>
        <v>1</v>
      </c>
      <c r="V806" t="str" cm="1">
        <f t="array" ref="V806">_xlfn.IFS(
  AND(S806&gt;0,U806&gt;0),"Expansion",
  AND(S806&lt;0,U806&gt;0),"Slowdown",
  AND(S806&lt;0,U806&lt;0),"Contraction",
  AND(S806&gt;0,U806&lt;0),"Recovery",
  TRUE,"Undefined"
)</f>
        <v>Expansion</v>
      </c>
      <c r="W806">
        <f t="shared" si="116"/>
        <v>0</v>
      </c>
      <c r="X806">
        <f t="shared" si="117"/>
        <v>0</v>
      </c>
      <c r="Y806">
        <v>0</v>
      </c>
    </row>
    <row r="807" spans="1:25" x14ac:dyDescent="0.35">
      <c r="A807" s="1">
        <f>Data!A807</f>
        <v>41671</v>
      </c>
      <c r="B807" s="2">
        <f>IFERROR((Data!B807/Data!B806-1)*100,"")</f>
        <v>0.11007786202441583</v>
      </c>
      <c r="C807" s="2">
        <f>IFERROR((Data!C807/Data!C806-1)*100,"")</f>
        <v>0.75569164905315844</v>
      </c>
      <c r="D807">
        <f t="shared" si="110"/>
        <v>0.20033257940685148</v>
      </c>
      <c r="E807">
        <f t="shared" si="111"/>
        <v>0.20563743563923875</v>
      </c>
      <c r="P807" t="str" cm="1">
        <f t="array" ref="P807">_xlfn.IFS(
  AND(D807&gt;0,E807&gt;0),"Expansion",
  AND(D807&lt;0,E807&gt;0),"Slowdown",
  AND(D807&lt;0,E807&lt;0),"Contraction",
  AND(D807&gt;0,E807&lt;0),"Recovery",
  TRUE,"Undefined"
)</f>
        <v>Expansion</v>
      </c>
      <c r="Q807" t="str">
        <f t="shared" si="118"/>
        <v>Expansion</v>
      </c>
      <c r="R807">
        <f t="shared" si="112"/>
        <v>1</v>
      </c>
      <c r="S807">
        <f t="shared" si="113"/>
        <v>1</v>
      </c>
      <c r="T807">
        <f t="shared" si="114"/>
        <v>1</v>
      </c>
      <c r="U807">
        <f t="shared" si="115"/>
        <v>1</v>
      </c>
      <c r="V807" t="str" cm="1">
        <f t="array" ref="V807">_xlfn.IFS(
  AND(S807&gt;0,U807&gt;0),"Expansion",
  AND(S807&lt;0,U807&gt;0),"Slowdown",
  AND(S807&lt;0,U807&lt;0),"Contraction",
  AND(S807&gt;0,U807&lt;0),"Recovery",
  TRUE,"Undefined"
)</f>
        <v>Expansion</v>
      </c>
      <c r="W807">
        <f t="shared" si="116"/>
        <v>0</v>
      </c>
      <c r="X807">
        <f t="shared" si="117"/>
        <v>0</v>
      </c>
      <c r="Y807">
        <v>0</v>
      </c>
    </row>
    <row r="808" spans="1:25" x14ac:dyDescent="0.35">
      <c r="A808" s="1">
        <f>Data!A808</f>
        <v>41699</v>
      </c>
      <c r="B808" s="2">
        <f>IFERROR((Data!B808/Data!B807-1)*100,"")</f>
        <v>0.20420553010651599</v>
      </c>
      <c r="C808" s="2">
        <f>IFERROR((Data!C808/Data!C807-1)*100,"")</f>
        <v>0.96852060311067856</v>
      </c>
      <c r="D808">
        <f t="shared" si="110"/>
        <v>0.45615110157228855</v>
      </c>
      <c r="E808">
        <f t="shared" si="111"/>
        <v>0.1855669737254336</v>
      </c>
      <c r="P808" t="str" cm="1">
        <f t="array" ref="P808">_xlfn.IFS(
  AND(D808&gt;0,E808&gt;0),"Expansion",
  AND(D808&lt;0,E808&gt;0),"Slowdown",
  AND(D808&lt;0,E808&lt;0),"Contraction",
  AND(D808&gt;0,E808&lt;0),"Recovery",
  TRUE,"Undefined"
)</f>
        <v>Expansion</v>
      </c>
      <c r="Q808" t="str">
        <f t="shared" si="118"/>
        <v>Expansion</v>
      </c>
      <c r="R808">
        <f t="shared" si="112"/>
        <v>1</v>
      </c>
      <c r="S808">
        <f t="shared" si="113"/>
        <v>1</v>
      </c>
      <c r="T808">
        <f t="shared" si="114"/>
        <v>1</v>
      </c>
      <c r="U808">
        <f t="shared" si="115"/>
        <v>1</v>
      </c>
      <c r="V808" t="str" cm="1">
        <f t="array" ref="V808">_xlfn.IFS(
  AND(S808&gt;0,U808&gt;0),"Expansion",
  AND(S808&lt;0,U808&gt;0),"Slowdown",
  AND(S808&lt;0,U808&lt;0),"Contraction",
  AND(S808&gt;0,U808&lt;0),"Recovery",
  TRUE,"Undefined"
)</f>
        <v>Expansion</v>
      </c>
      <c r="W808">
        <f t="shared" si="116"/>
        <v>0</v>
      </c>
      <c r="X808">
        <f t="shared" si="117"/>
        <v>0</v>
      </c>
      <c r="Y808">
        <v>0</v>
      </c>
    </row>
    <row r="809" spans="1:25" x14ac:dyDescent="0.35">
      <c r="A809" s="1">
        <f>Data!A809</f>
        <v>41730</v>
      </c>
      <c r="B809" s="2">
        <f>IFERROR((Data!B809/Data!B808-1)*100,"")</f>
        <v>0.18641856050976013</v>
      </c>
      <c r="C809" s="2">
        <f>IFERROR((Data!C809/Data!C808-1)*100,"")</f>
        <v>9.6767038751965906E-2</v>
      </c>
      <c r="D809">
        <f t="shared" si="110"/>
        <v>0.60699309697193427</v>
      </c>
      <c r="E809">
        <f t="shared" si="111"/>
        <v>0.16690065088023065</v>
      </c>
      <c r="P809" t="str" cm="1">
        <f t="array" ref="P809">_xlfn.IFS(
  AND(D809&gt;0,E809&gt;0),"Expansion",
  AND(D809&lt;0,E809&gt;0),"Slowdown",
  AND(D809&lt;0,E809&lt;0),"Contraction",
  AND(D809&gt;0,E809&lt;0),"Recovery",
  TRUE,"Undefined"
)</f>
        <v>Expansion</v>
      </c>
      <c r="Q809" t="str">
        <f t="shared" si="118"/>
        <v>Expansion</v>
      </c>
      <c r="R809">
        <f t="shared" si="112"/>
        <v>1</v>
      </c>
      <c r="S809">
        <f t="shared" si="113"/>
        <v>1</v>
      </c>
      <c r="T809">
        <f t="shared" si="114"/>
        <v>1</v>
      </c>
      <c r="U809">
        <f t="shared" si="115"/>
        <v>1</v>
      </c>
      <c r="V809" t="str" cm="1">
        <f t="array" ref="V809">_xlfn.IFS(
  AND(S809&gt;0,U809&gt;0),"Expansion",
  AND(S809&lt;0,U809&gt;0),"Slowdown",
  AND(S809&lt;0,U809&lt;0),"Contraction",
  AND(S809&gt;0,U809&lt;0),"Recovery",
  TRUE,"Undefined"
)</f>
        <v>Expansion</v>
      </c>
      <c r="W809">
        <f t="shared" si="116"/>
        <v>0</v>
      </c>
      <c r="X809">
        <f t="shared" si="117"/>
        <v>0</v>
      </c>
      <c r="Y809">
        <v>0</v>
      </c>
    </row>
    <row r="810" spans="1:25" x14ac:dyDescent="0.35">
      <c r="A810" s="1">
        <f>Data!A810</f>
        <v>41760</v>
      </c>
      <c r="B810" s="2">
        <f>IFERROR((Data!B810/Data!B809-1)*100,"")</f>
        <v>0.19030059035471947</v>
      </c>
      <c r="C810" s="2">
        <f>IFERROR((Data!C810/Data!C809-1)*100,"")</f>
        <v>0.38316430179385907</v>
      </c>
      <c r="D810">
        <f t="shared" si="110"/>
        <v>0.48281731455216786</v>
      </c>
      <c r="E810">
        <f t="shared" si="111"/>
        <v>0.1936415603236652</v>
      </c>
      <c r="P810" t="str" cm="1">
        <f t="array" ref="P810">_xlfn.IFS(
  AND(D810&gt;0,E810&gt;0),"Expansion",
  AND(D810&lt;0,E810&gt;0),"Slowdown",
  AND(D810&lt;0,E810&lt;0),"Contraction",
  AND(D810&gt;0,E810&lt;0),"Recovery",
  TRUE,"Undefined"
)</f>
        <v>Expansion</v>
      </c>
      <c r="Q810" t="str">
        <f t="shared" si="118"/>
        <v>Expansion</v>
      </c>
      <c r="R810">
        <f t="shared" si="112"/>
        <v>1</v>
      </c>
      <c r="S810">
        <f t="shared" si="113"/>
        <v>1</v>
      </c>
      <c r="T810">
        <f t="shared" si="114"/>
        <v>1</v>
      </c>
      <c r="U810">
        <f t="shared" si="115"/>
        <v>1</v>
      </c>
      <c r="V810" t="str" cm="1">
        <f t="array" ref="V810">_xlfn.IFS(
  AND(S810&gt;0,U810&gt;0),"Expansion",
  AND(S810&lt;0,U810&gt;0),"Slowdown",
  AND(S810&lt;0,U810&lt;0),"Contraction",
  AND(S810&gt;0,U810&lt;0),"Recovery",
  TRUE,"Undefined"
)</f>
        <v>Expansion</v>
      </c>
      <c r="W810">
        <f t="shared" si="116"/>
        <v>0</v>
      </c>
      <c r="X810">
        <f t="shared" si="117"/>
        <v>0</v>
      </c>
      <c r="Y810">
        <v>0</v>
      </c>
    </row>
    <row r="811" spans="1:25" x14ac:dyDescent="0.35">
      <c r="A811" s="1">
        <f>Data!A811</f>
        <v>41791</v>
      </c>
      <c r="B811" s="2">
        <f>IFERROR((Data!B811/Data!B810-1)*100,"")</f>
        <v>0.1321132206079767</v>
      </c>
      <c r="C811" s="2">
        <f>IFERROR((Data!C811/Data!C810-1)*100,"")</f>
        <v>0.34321903117295882</v>
      </c>
      <c r="D811">
        <f t="shared" si="110"/>
        <v>0.27438345723959462</v>
      </c>
      <c r="E811">
        <f t="shared" si="111"/>
        <v>0.16961079049081876</v>
      </c>
      <c r="P811" t="str" cm="1">
        <f t="array" ref="P811">_xlfn.IFS(
  AND(D811&gt;0,E811&gt;0),"Expansion",
  AND(D811&lt;0,E811&gt;0),"Slowdown",
  AND(D811&lt;0,E811&lt;0),"Contraction",
  AND(D811&gt;0,E811&lt;0),"Recovery",
  TRUE,"Undefined"
)</f>
        <v>Expansion</v>
      </c>
      <c r="Q811" t="str">
        <f t="shared" si="118"/>
        <v>Expansion</v>
      </c>
      <c r="R811">
        <f t="shared" si="112"/>
        <v>1</v>
      </c>
      <c r="S811">
        <f t="shared" si="113"/>
        <v>1</v>
      </c>
      <c r="T811">
        <f t="shared" si="114"/>
        <v>1</v>
      </c>
      <c r="U811">
        <f t="shared" si="115"/>
        <v>1</v>
      </c>
      <c r="V811" t="str" cm="1">
        <f t="array" ref="V811">_xlfn.IFS(
  AND(S811&gt;0,U811&gt;0),"Expansion",
  AND(S811&lt;0,U811&gt;0),"Slowdown",
  AND(S811&lt;0,U811&lt;0),"Contraction",
  AND(S811&gt;0,U811&lt;0),"Recovery",
  TRUE,"Undefined"
)</f>
        <v>Expansion</v>
      </c>
      <c r="W811">
        <f t="shared" si="116"/>
        <v>0</v>
      </c>
      <c r="X811">
        <f t="shared" si="117"/>
        <v>0</v>
      </c>
      <c r="Y811">
        <v>0</v>
      </c>
    </row>
    <row r="812" spans="1:25" x14ac:dyDescent="0.35">
      <c r="A812" s="1">
        <f>Data!A812</f>
        <v>41821</v>
      </c>
      <c r="B812" s="2">
        <f>IFERROR((Data!B812/Data!B811-1)*100,"")</f>
        <v>0.11254852864928111</v>
      </c>
      <c r="C812" s="2">
        <f>IFERROR((Data!C812/Data!C811-1)*100,"")</f>
        <v>0.22212488441135658</v>
      </c>
      <c r="D812">
        <f t="shared" si="110"/>
        <v>0.31616940579272484</v>
      </c>
      <c r="E812">
        <f t="shared" si="111"/>
        <v>0.14498744653732576</v>
      </c>
      <c r="P812" t="str" cm="1">
        <f t="array" ref="P812">_xlfn.IFS(
  AND(D812&gt;0,E812&gt;0),"Expansion",
  AND(D812&lt;0,E812&gt;0),"Slowdown",
  AND(D812&lt;0,E812&lt;0),"Contraction",
  AND(D812&gt;0,E812&lt;0),"Recovery",
  TRUE,"Undefined"
)</f>
        <v>Expansion</v>
      </c>
      <c r="Q812" t="str">
        <f t="shared" si="118"/>
        <v>Expansion</v>
      </c>
      <c r="R812">
        <f t="shared" si="112"/>
        <v>1</v>
      </c>
      <c r="S812">
        <f t="shared" si="113"/>
        <v>1</v>
      </c>
      <c r="T812">
        <f t="shared" si="114"/>
        <v>1</v>
      </c>
      <c r="U812">
        <f t="shared" si="115"/>
        <v>1</v>
      </c>
      <c r="V812" t="str" cm="1">
        <f t="array" ref="V812">_xlfn.IFS(
  AND(S812&gt;0,U812&gt;0),"Expansion",
  AND(S812&lt;0,U812&gt;0),"Slowdown",
  AND(S812&lt;0,U812&lt;0),"Contraction",
  AND(S812&gt;0,U812&lt;0),"Recovery",
  TRUE,"Undefined"
)</f>
        <v>Expansion</v>
      </c>
      <c r="W812">
        <f t="shared" si="116"/>
        <v>0</v>
      </c>
      <c r="X812">
        <f t="shared" si="117"/>
        <v>0</v>
      </c>
      <c r="Y812">
        <v>0</v>
      </c>
    </row>
    <row r="813" spans="1:25" x14ac:dyDescent="0.35">
      <c r="A813" s="1">
        <f>Data!A813</f>
        <v>41852</v>
      </c>
      <c r="B813" s="2">
        <f>IFERROR((Data!B813/Data!B812-1)*100,"")</f>
        <v>-1.6000134737970129E-2</v>
      </c>
      <c r="C813" s="2">
        <f>IFERROR((Data!C813/Data!C812-1)*100,"")</f>
        <v>-0.18880532073595191</v>
      </c>
      <c r="D813">
        <f t="shared" si="110"/>
        <v>0.12551286494945449</v>
      </c>
      <c r="E813">
        <f t="shared" si="111"/>
        <v>7.6220538173095889E-2</v>
      </c>
      <c r="P813" t="str" cm="1">
        <f t="array" ref="P813">_xlfn.IFS(
  AND(D813&gt;0,E813&gt;0),"Expansion",
  AND(D813&lt;0,E813&gt;0),"Slowdown",
  AND(D813&lt;0,E813&lt;0),"Contraction",
  AND(D813&gt;0,E813&lt;0),"Recovery",
  TRUE,"Undefined"
)</f>
        <v>Expansion</v>
      </c>
      <c r="Q813" t="str">
        <f t="shared" si="118"/>
        <v>Expansion</v>
      </c>
      <c r="R813">
        <f t="shared" si="112"/>
        <v>1</v>
      </c>
      <c r="S813">
        <f t="shared" si="113"/>
        <v>1</v>
      </c>
      <c r="T813">
        <f t="shared" si="114"/>
        <v>1</v>
      </c>
      <c r="U813">
        <f t="shared" si="115"/>
        <v>1</v>
      </c>
      <c r="V813" t="str" cm="1">
        <f t="array" ref="V813">_xlfn.IFS(
  AND(S813&gt;0,U813&gt;0),"Expansion",
  AND(S813&lt;0,U813&gt;0),"Slowdown",
  AND(S813&lt;0,U813&lt;0),"Contraction",
  AND(S813&gt;0,U813&lt;0),"Recovery",
  TRUE,"Undefined"
)</f>
        <v>Expansion</v>
      </c>
      <c r="W813">
        <f t="shared" si="116"/>
        <v>0</v>
      </c>
      <c r="X813">
        <f t="shared" si="117"/>
        <v>0</v>
      </c>
      <c r="Y813">
        <v>0</v>
      </c>
    </row>
    <row r="814" spans="1:25" x14ac:dyDescent="0.35">
      <c r="A814" s="1">
        <f>Data!A814</f>
        <v>41883</v>
      </c>
      <c r="B814" s="2">
        <f>IFERROR((Data!B814/Data!B813-1)*100,"")</f>
        <v>7.1591004800808378E-3</v>
      </c>
      <c r="C814" s="2">
        <f>IFERROR((Data!C814/Data!C813-1)*100,"")</f>
        <v>0.28734401880725624</v>
      </c>
      <c r="D814">
        <f t="shared" si="110"/>
        <v>0.10688786082755364</v>
      </c>
      <c r="E814">
        <f t="shared" si="111"/>
        <v>3.4569164797130604E-2</v>
      </c>
      <c r="P814" t="str" cm="1">
        <f t="array" ref="P814">_xlfn.IFS(
  AND(D814&gt;0,E814&gt;0),"Expansion",
  AND(D814&lt;0,E814&gt;0),"Slowdown",
  AND(D814&lt;0,E814&lt;0),"Contraction",
  AND(D814&gt;0,E814&lt;0),"Recovery",
  TRUE,"Undefined"
)</f>
        <v>Expansion</v>
      </c>
      <c r="Q814" t="str">
        <f t="shared" si="118"/>
        <v>Expansion</v>
      </c>
      <c r="R814">
        <f t="shared" si="112"/>
        <v>1</v>
      </c>
      <c r="S814">
        <f t="shared" si="113"/>
        <v>1</v>
      </c>
      <c r="T814">
        <f t="shared" si="114"/>
        <v>1</v>
      </c>
      <c r="U814">
        <f t="shared" si="115"/>
        <v>1</v>
      </c>
      <c r="V814" t="str" cm="1">
        <f t="array" ref="V814">_xlfn.IFS(
  AND(S814&gt;0,U814&gt;0),"Expansion",
  AND(S814&lt;0,U814&gt;0),"Slowdown",
  AND(S814&lt;0,U814&lt;0),"Contraction",
  AND(S814&gt;0,U814&lt;0),"Recovery",
  TRUE,"Undefined"
)</f>
        <v>Expansion</v>
      </c>
      <c r="W814">
        <f t="shared" si="116"/>
        <v>0</v>
      </c>
      <c r="X814">
        <f t="shared" si="117"/>
        <v>0</v>
      </c>
      <c r="Y814">
        <v>0</v>
      </c>
    </row>
    <row r="815" spans="1:25" x14ac:dyDescent="0.35">
      <c r="A815" s="1">
        <f>Data!A815</f>
        <v>41913</v>
      </c>
      <c r="B815" s="2">
        <f>IFERROR((Data!B815/Data!B814-1)*100,"")</f>
        <v>-1.9791390324119806E-2</v>
      </c>
      <c r="C815" s="2">
        <f>IFERROR((Data!C815/Data!C814-1)*100,"")</f>
        <v>1.1934320486006733E-2</v>
      </c>
      <c r="D815">
        <f t="shared" si="110"/>
        <v>3.6824339519103688E-2</v>
      </c>
      <c r="E815">
        <f t="shared" si="111"/>
        <v>-9.5441415273363663E-3</v>
      </c>
      <c r="P815" t="str" cm="1">
        <f t="array" ref="P815">_xlfn.IFS(
  AND(D815&gt;0,E815&gt;0),"Expansion",
  AND(D815&lt;0,E815&gt;0),"Slowdown",
  AND(D815&lt;0,E815&lt;0),"Contraction",
  AND(D815&gt;0,E815&lt;0),"Recovery",
  TRUE,"Undefined"
)</f>
        <v>Recovery</v>
      </c>
      <c r="Q815" t="str">
        <f t="shared" si="118"/>
        <v>Expansion</v>
      </c>
      <c r="R815">
        <f t="shared" si="112"/>
        <v>1</v>
      </c>
      <c r="S815">
        <f t="shared" si="113"/>
        <v>1</v>
      </c>
      <c r="T815">
        <f t="shared" si="114"/>
        <v>-1</v>
      </c>
      <c r="U815">
        <f t="shared" si="115"/>
        <v>-1</v>
      </c>
      <c r="V815" t="str" cm="1">
        <f t="array" ref="V815">_xlfn.IFS(
  AND(S815&gt;0,U815&gt;0),"Expansion",
  AND(S815&lt;0,U815&gt;0),"Slowdown",
  AND(S815&lt;0,U815&lt;0),"Contraction",
  AND(S815&gt;0,U815&lt;0),"Recovery",
  TRUE,"Undefined"
)</f>
        <v>Recovery</v>
      </c>
      <c r="W815">
        <f t="shared" si="116"/>
        <v>0</v>
      </c>
      <c r="X815">
        <f t="shared" si="117"/>
        <v>0</v>
      </c>
      <c r="Y815">
        <v>0</v>
      </c>
    </row>
    <row r="816" spans="1:25" x14ac:dyDescent="0.35">
      <c r="A816" s="1">
        <f>Data!A816</f>
        <v>41944</v>
      </c>
      <c r="B816" s="2">
        <f>IFERROR((Data!B816/Data!B815-1)*100,"")</f>
        <v>-0.18826601524659647</v>
      </c>
      <c r="C816" s="2">
        <f>IFERROR((Data!C816/Data!C815-1)*100,"")</f>
        <v>0.6172120873449094</v>
      </c>
      <c r="D816">
        <f t="shared" si="110"/>
        <v>0.30549680887939079</v>
      </c>
      <c r="E816">
        <f t="shared" si="111"/>
        <v>-6.6966101696878486E-2</v>
      </c>
      <c r="P816" t="str" cm="1">
        <f t="array" ref="P816">_xlfn.IFS(
  AND(D816&gt;0,E816&gt;0),"Expansion",
  AND(D816&lt;0,E816&gt;0),"Slowdown",
  AND(D816&lt;0,E816&lt;0),"Contraction",
  AND(D816&gt;0,E816&lt;0),"Recovery",
  TRUE,"Undefined"
)</f>
        <v>Recovery</v>
      </c>
      <c r="Q816" t="str">
        <f t="shared" si="118"/>
        <v>Expansion</v>
      </c>
      <c r="R816">
        <f t="shared" si="112"/>
        <v>1</v>
      </c>
      <c r="S816">
        <f t="shared" si="113"/>
        <v>1</v>
      </c>
      <c r="T816">
        <f t="shared" si="114"/>
        <v>-1</v>
      </c>
      <c r="U816">
        <f t="shared" si="115"/>
        <v>-1</v>
      </c>
      <c r="V816" t="str" cm="1">
        <f t="array" ref="V816">_xlfn.IFS(
  AND(S816&gt;0,U816&gt;0),"Expansion",
  AND(S816&lt;0,U816&gt;0),"Slowdown",
  AND(S816&lt;0,U816&lt;0),"Contraction",
  AND(S816&gt;0,U816&lt;0),"Recovery",
  TRUE,"Undefined"
)</f>
        <v>Recovery</v>
      </c>
      <c r="W816">
        <f t="shared" si="116"/>
        <v>0</v>
      </c>
      <c r="X816">
        <f t="shared" si="117"/>
        <v>0</v>
      </c>
      <c r="Y816">
        <v>0</v>
      </c>
    </row>
    <row r="817" spans="1:25" x14ac:dyDescent="0.35">
      <c r="A817" s="1">
        <f>Data!A817</f>
        <v>41974</v>
      </c>
      <c r="B817" s="2">
        <f>IFERROR((Data!B817/Data!B816-1)*100,"")</f>
        <v>-0.30846094445592387</v>
      </c>
      <c r="C817" s="2">
        <f>IFERROR((Data!C817/Data!C816-1)*100,"")</f>
        <v>-7.90646459541966E-3</v>
      </c>
      <c r="D817">
        <f t="shared" si="110"/>
        <v>0.20707998107849881</v>
      </c>
      <c r="E817">
        <f t="shared" si="111"/>
        <v>-0.17217278334221339</v>
      </c>
      <c r="P817" t="str" cm="1">
        <f t="array" ref="P817">_xlfn.IFS(
  AND(D817&gt;0,E817&gt;0),"Expansion",
  AND(D817&lt;0,E817&gt;0),"Slowdown",
  AND(D817&lt;0,E817&lt;0),"Contraction",
  AND(D817&gt;0,E817&lt;0),"Recovery",
  TRUE,"Undefined"
)</f>
        <v>Recovery</v>
      </c>
      <c r="Q817" t="str">
        <f t="shared" si="118"/>
        <v>Recovery</v>
      </c>
      <c r="R817">
        <f t="shared" si="112"/>
        <v>1</v>
      </c>
      <c r="S817">
        <f t="shared" si="113"/>
        <v>1</v>
      </c>
      <c r="T817">
        <f t="shared" si="114"/>
        <v>-1</v>
      </c>
      <c r="U817">
        <f t="shared" si="115"/>
        <v>-1</v>
      </c>
      <c r="V817" t="str" cm="1">
        <f t="array" ref="V817">_xlfn.IFS(
  AND(S817&gt;0,U817&gt;0),"Expansion",
  AND(S817&lt;0,U817&gt;0),"Slowdown",
  AND(S817&lt;0,U817&lt;0),"Contraction",
  AND(S817&gt;0,U817&lt;0),"Recovery",
  TRUE,"Undefined"
)</f>
        <v>Recovery</v>
      </c>
      <c r="W817">
        <f t="shared" si="116"/>
        <v>0</v>
      </c>
      <c r="X817">
        <f t="shared" si="117"/>
        <v>0</v>
      </c>
      <c r="Y817">
        <v>0</v>
      </c>
    </row>
    <row r="818" spans="1:25" x14ac:dyDescent="0.35">
      <c r="A818" s="1">
        <f>Data!A818</f>
        <v>42005</v>
      </c>
      <c r="B818" s="2">
        <f>IFERROR((Data!B818/Data!B817-1)*100,"")</f>
        <v>-0.63703164417655556</v>
      </c>
      <c r="C818" s="2">
        <f>IFERROR((Data!C818/Data!C817-1)*100,"")</f>
        <v>-0.78482687330527767</v>
      </c>
      <c r="D818">
        <f t="shared" si="110"/>
        <v>-5.850708351859598E-2</v>
      </c>
      <c r="E818">
        <f t="shared" si="111"/>
        <v>-0.37791953462635863</v>
      </c>
      <c r="P818" t="str" cm="1">
        <f t="array" ref="P818">_xlfn.IFS(
  AND(D818&gt;0,E818&gt;0),"Expansion",
  AND(D818&lt;0,E818&gt;0),"Slowdown",
  AND(D818&lt;0,E818&lt;0),"Contraction",
  AND(D818&gt;0,E818&lt;0),"Recovery",
  TRUE,"Undefined"
)</f>
        <v>Contraction</v>
      </c>
      <c r="Q818" t="str">
        <f t="shared" si="118"/>
        <v>Recovery</v>
      </c>
      <c r="R818">
        <f t="shared" si="112"/>
        <v>1</v>
      </c>
      <c r="S818">
        <f t="shared" si="113"/>
        <v>1</v>
      </c>
      <c r="T818">
        <f t="shared" si="114"/>
        <v>-1</v>
      </c>
      <c r="U818">
        <f t="shared" si="115"/>
        <v>-1</v>
      </c>
      <c r="V818" t="str" cm="1">
        <f t="array" ref="V818">_xlfn.IFS(
  AND(S818&gt;0,U818&gt;0),"Expansion",
  AND(S818&lt;0,U818&gt;0),"Slowdown",
  AND(S818&lt;0,U818&lt;0),"Contraction",
  AND(S818&gt;0,U818&lt;0),"Recovery",
  TRUE,"Undefined"
)</f>
        <v>Recovery</v>
      </c>
      <c r="W818">
        <f t="shared" si="116"/>
        <v>0</v>
      </c>
      <c r="X818">
        <f t="shared" si="117"/>
        <v>0</v>
      </c>
      <c r="Y818">
        <v>0</v>
      </c>
    </row>
    <row r="819" spans="1:25" x14ac:dyDescent="0.35">
      <c r="A819" s="1">
        <f>Data!A819</f>
        <v>42036</v>
      </c>
      <c r="B819" s="2">
        <f>IFERROR((Data!B819/Data!B818-1)*100,"")</f>
        <v>0.25346436802173855</v>
      </c>
      <c r="C819" s="2">
        <f>IFERROR((Data!C819/Data!C818-1)*100,"")</f>
        <v>-0.63854291698455246</v>
      </c>
      <c r="D819">
        <f t="shared" si="110"/>
        <v>-0.47709208496174993</v>
      </c>
      <c r="E819">
        <f t="shared" si="111"/>
        <v>-0.23067607353691363</v>
      </c>
      <c r="P819" t="str" cm="1">
        <f t="array" ref="P819">_xlfn.IFS(
  AND(D819&gt;0,E819&gt;0),"Expansion",
  AND(D819&lt;0,E819&gt;0),"Slowdown",
  AND(D819&lt;0,E819&lt;0),"Contraction",
  AND(D819&gt;0,E819&lt;0),"Recovery",
  TRUE,"Undefined"
)</f>
        <v>Contraction</v>
      </c>
      <c r="Q819" t="str">
        <f t="shared" si="118"/>
        <v>Recovery</v>
      </c>
      <c r="R819">
        <f t="shared" si="112"/>
        <v>-1</v>
      </c>
      <c r="S819">
        <f t="shared" si="113"/>
        <v>-1</v>
      </c>
      <c r="T819">
        <f t="shared" si="114"/>
        <v>-1</v>
      </c>
      <c r="U819">
        <f t="shared" si="115"/>
        <v>-1</v>
      </c>
      <c r="V819" t="str" cm="1">
        <f t="array" ref="V819">_xlfn.IFS(
  AND(S819&gt;0,U819&gt;0),"Expansion",
  AND(S819&lt;0,U819&gt;0),"Slowdown",
  AND(S819&lt;0,U819&lt;0),"Contraction",
  AND(S819&gt;0,U819&lt;0),"Recovery",
  TRUE,"Undefined"
)</f>
        <v>Contraction</v>
      </c>
      <c r="W819">
        <f t="shared" si="116"/>
        <v>0</v>
      </c>
      <c r="X819">
        <f t="shared" si="117"/>
        <v>1</v>
      </c>
      <c r="Y819">
        <v>0</v>
      </c>
    </row>
    <row r="820" spans="1:25" x14ac:dyDescent="0.35">
      <c r="A820" s="1">
        <f>Data!A820</f>
        <v>42064</v>
      </c>
      <c r="B820" s="2">
        <f>IFERROR((Data!B820/Data!B819-1)*100,"")</f>
        <v>0.26939517808124425</v>
      </c>
      <c r="C820" s="2">
        <f>IFERROR((Data!C820/Data!C819-1)*100,"")</f>
        <v>-0.33462612548724735</v>
      </c>
      <c r="D820">
        <f t="shared" si="110"/>
        <v>-0.58599863859235912</v>
      </c>
      <c r="E820">
        <f t="shared" si="111"/>
        <v>-3.8057366024524253E-2</v>
      </c>
      <c r="P820" t="str" cm="1">
        <f t="array" ref="P820">_xlfn.IFS(
  AND(D820&gt;0,E820&gt;0),"Expansion",
  AND(D820&lt;0,E820&gt;0),"Slowdown",
  AND(D820&lt;0,E820&lt;0),"Contraction",
  AND(D820&gt;0,E820&lt;0),"Recovery",
  TRUE,"Undefined"
)</f>
        <v>Contraction</v>
      </c>
      <c r="Q820" t="str">
        <f t="shared" si="118"/>
        <v>Contraction</v>
      </c>
      <c r="R820">
        <f t="shared" si="112"/>
        <v>-1</v>
      </c>
      <c r="S820">
        <f t="shared" si="113"/>
        <v>-1</v>
      </c>
      <c r="T820">
        <f t="shared" si="114"/>
        <v>-1</v>
      </c>
      <c r="U820">
        <f t="shared" si="115"/>
        <v>-1</v>
      </c>
      <c r="V820" t="str" cm="1">
        <f t="array" ref="V820">_xlfn.IFS(
  AND(S820&gt;0,U820&gt;0),"Expansion",
  AND(S820&lt;0,U820&gt;0),"Slowdown",
  AND(S820&lt;0,U820&lt;0),"Contraction",
  AND(S820&gt;0,U820&lt;0),"Recovery",
  TRUE,"Undefined"
)</f>
        <v>Contraction</v>
      </c>
      <c r="W820">
        <f t="shared" si="116"/>
        <v>1</v>
      </c>
      <c r="X820">
        <f t="shared" si="117"/>
        <v>1</v>
      </c>
      <c r="Y820">
        <v>0</v>
      </c>
    </row>
    <row r="821" spans="1:25" x14ac:dyDescent="0.35">
      <c r="A821" s="1">
        <f>Data!A821</f>
        <v>42095</v>
      </c>
      <c r="B821" s="2">
        <f>IFERROR((Data!B821/Data!B820-1)*100,"")</f>
        <v>0.10424788961589382</v>
      </c>
      <c r="C821" s="2">
        <f>IFERROR((Data!C821/Data!C820-1)*100,"")</f>
        <v>-0.54558088317562259</v>
      </c>
      <c r="D821">
        <f t="shared" si="110"/>
        <v>-0.5062499752158075</v>
      </c>
      <c r="E821">
        <f t="shared" si="111"/>
        <v>0.2090358119062922</v>
      </c>
      <c r="P821" t="str" cm="1">
        <f t="array" ref="P821">_xlfn.IFS(
  AND(D821&gt;0,E821&gt;0),"Expansion",
  AND(D821&lt;0,E821&gt;0),"Slowdown",
  AND(D821&lt;0,E821&lt;0),"Contraction",
  AND(D821&gt;0,E821&lt;0),"Recovery",
  TRUE,"Undefined"
)</f>
        <v>Slowdown</v>
      </c>
      <c r="Q821" t="str">
        <f t="shared" si="118"/>
        <v>Contraction</v>
      </c>
      <c r="R821">
        <f t="shared" si="112"/>
        <v>-1</v>
      </c>
      <c r="S821">
        <f t="shared" si="113"/>
        <v>-1</v>
      </c>
      <c r="T821">
        <f t="shared" si="114"/>
        <v>1</v>
      </c>
      <c r="U821">
        <f t="shared" si="115"/>
        <v>1</v>
      </c>
      <c r="V821" t="str" cm="1">
        <f t="array" ref="V821">_xlfn.IFS(
  AND(S821&gt;0,U821&gt;0),"Expansion",
  AND(S821&lt;0,U821&gt;0),"Slowdown",
  AND(S821&lt;0,U821&lt;0),"Contraction",
  AND(S821&gt;0,U821&lt;0),"Recovery",
  TRUE,"Undefined"
)</f>
        <v>Slowdown</v>
      </c>
      <c r="W821">
        <f t="shared" si="116"/>
        <v>1</v>
      </c>
      <c r="X821">
        <f t="shared" si="117"/>
        <v>0</v>
      </c>
      <c r="Y821">
        <v>0</v>
      </c>
    </row>
    <row r="822" spans="1:25" x14ac:dyDescent="0.35">
      <c r="A822" s="1">
        <f>Data!A822</f>
        <v>42125</v>
      </c>
      <c r="B822" s="2">
        <f>IFERROR((Data!B822/Data!B821-1)*100,"")</f>
        <v>0.32977453412468272</v>
      </c>
      <c r="C822" s="2">
        <f>IFERROR((Data!C822/Data!C821-1)*100,"")</f>
        <v>-0.44130635364704185</v>
      </c>
      <c r="D822">
        <f t="shared" si="110"/>
        <v>-0.44050445410330391</v>
      </c>
      <c r="E822">
        <f t="shared" si="111"/>
        <v>0.23447253394060694</v>
      </c>
      <c r="P822" t="str" cm="1">
        <f t="array" ref="P822">_xlfn.IFS(
  AND(D822&gt;0,E822&gt;0),"Expansion",
  AND(D822&lt;0,E822&gt;0),"Slowdown",
  AND(D822&lt;0,E822&lt;0),"Contraction",
  AND(D822&gt;0,E822&lt;0),"Recovery",
  TRUE,"Undefined"
)</f>
        <v>Slowdown</v>
      </c>
      <c r="Q822" t="str">
        <f t="shared" si="118"/>
        <v>Contraction</v>
      </c>
      <c r="R822">
        <f t="shared" si="112"/>
        <v>-1</v>
      </c>
      <c r="S822">
        <f t="shared" si="113"/>
        <v>-1</v>
      </c>
      <c r="T822">
        <f t="shared" si="114"/>
        <v>1</v>
      </c>
      <c r="U822">
        <f t="shared" si="115"/>
        <v>1</v>
      </c>
      <c r="V822" t="str" cm="1">
        <f t="array" ref="V822">_xlfn.IFS(
  AND(S822&gt;0,U822&gt;0),"Expansion",
  AND(S822&lt;0,U822&gt;0),"Slowdown",
  AND(S822&lt;0,U822&lt;0),"Contraction",
  AND(S822&gt;0,U822&lt;0),"Recovery",
  TRUE,"Undefined"
)</f>
        <v>Slowdown</v>
      </c>
      <c r="W822">
        <f t="shared" si="116"/>
        <v>1</v>
      </c>
      <c r="X822">
        <f t="shared" si="117"/>
        <v>0</v>
      </c>
      <c r="Y822">
        <v>0</v>
      </c>
    </row>
    <row r="823" spans="1:25" x14ac:dyDescent="0.35">
      <c r="A823" s="1">
        <f>Data!A823</f>
        <v>42156</v>
      </c>
      <c r="B823" s="2">
        <f>IFERROR((Data!B823/Data!B822-1)*100,"")</f>
        <v>0.27679208104607333</v>
      </c>
      <c r="C823" s="2">
        <f>IFERROR((Data!C823/Data!C822-1)*100,"")</f>
        <v>-0.3145062410606636</v>
      </c>
      <c r="D823">
        <f t="shared" si="110"/>
        <v>-0.43379782596110933</v>
      </c>
      <c r="E823">
        <f t="shared" si="111"/>
        <v>0.23693816826221661</v>
      </c>
      <c r="P823" t="str" cm="1">
        <f t="array" ref="P823">_xlfn.IFS(
  AND(D823&gt;0,E823&gt;0),"Expansion",
  AND(D823&lt;0,E823&gt;0),"Slowdown",
  AND(D823&lt;0,E823&lt;0),"Contraction",
  AND(D823&gt;0,E823&lt;0),"Recovery",
  TRUE,"Undefined"
)</f>
        <v>Slowdown</v>
      </c>
      <c r="Q823" t="str">
        <f t="shared" si="118"/>
        <v>Slowdown</v>
      </c>
      <c r="R823">
        <f t="shared" si="112"/>
        <v>-1</v>
      </c>
      <c r="S823">
        <f t="shared" si="113"/>
        <v>-1</v>
      </c>
      <c r="T823">
        <f t="shared" si="114"/>
        <v>1</v>
      </c>
      <c r="U823">
        <f t="shared" si="115"/>
        <v>1</v>
      </c>
      <c r="V823" t="str" cm="1">
        <f t="array" ref="V823">_xlfn.IFS(
  AND(S823&gt;0,U823&gt;0),"Expansion",
  AND(S823&lt;0,U823&gt;0),"Slowdown",
  AND(S823&lt;0,U823&lt;0),"Contraction",
  AND(S823&gt;0,U823&lt;0),"Recovery",
  TRUE,"Undefined"
)</f>
        <v>Slowdown</v>
      </c>
      <c r="W823">
        <f t="shared" si="116"/>
        <v>0</v>
      </c>
      <c r="X823">
        <f t="shared" si="117"/>
        <v>0</v>
      </c>
      <c r="Y823">
        <v>0</v>
      </c>
    </row>
    <row r="824" spans="1:25" x14ac:dyDescent="0.35">
      <c r="A824" s="1">
        <f>Data!A824</f>
        <v>42186</v>
      </c>
      <c r="B824" s="2">
        <f>IFERROR((Data!B824/Data!B823-1)*100,"")</f>
        <v>0.15863197801873063</v>
      </c>
      <c r="C824" s="2">
        <f>IFERROR((Data!C824/Data!C823-1)*100,"")</f>
        <v>0.64809935269611874</v>
      </c>
      <c r="D824">
        <f t="shared" si="110"/>
        <v>-3.5904414003862239E-2</v>
      </c>
      <c r="E824">
        <f t="shared" si="111"/>
        <v>0.25506619772982891</v>
      </c>
      <c r="P824" t="str" cm="1">
        <f t="array" ref="P824">_xlfn.IFS(
  AND(D824&gt;0,E824&gt;0),"Expansion",
  AND(D824&lt;0,E824&gt;0),"Slowdown",
  AND(D824&lt;0,E824&lt;0),"Contraction",
  AND(D824&gt;0,E824&lt;0),"Recovery",
  TRUE,"Undefined"
)</f>
        <v>Slowdown</v>
      </c>
      <c r="Q824" t="str">
        <f t="shared" si="118"/>
        <v>Slowdown</v>
      </c>
      <c r="R824">
        <f t="shared" si="112"/>
        <v>1</v>
      </c>
      <c r="S824">
        <f t="shared" si="113"/>
        <v>1</v>
      </c>
      <c r="T824">
        <f t="shared" si="114"/>
        <v>1</v>
      </c>
      <c r="U824">
        <f t="shared" si="115"/>
        <v>1</v>
      </c>
      <c r="V824" t="str" cm="1">
        <f t="array" ref="V824">_xlfn.IFS(
  AND(S824&gt;0,U824&gt;0),"Expansion",
  AND(S824&lt;0,U824&gt;0),"Slowdown",
  AND(S824&lt;0,U824&lt;0),"Contraction",
  AND(S824&gt;0,U824&lt;0),"Recovery",
  TRUE,"Undefined"
)</f>
        <v>Expansion</v>
      </c>
      <c r="W824">
        <f t="shared" si="116"/>
        <v>0</v>
      </c>
      <c r="X824">
        <f t="shared" si="117"/>
        <v>0</v>
      </c>
      <c r="Y824">
        <v>0</v>
      </c>
    </row>
    <row r="825" spans="1:25" x14ac:dyDescent="0.35">
      <c r="A825" s="1">
        <f>Data!A825</f>
        <v>42217</v>
      </c>
      <c r="B825" s="2">
        <f>IFERROR((Data!B825/Data!B824-1)*100,"")</f>
        <v>-4.2010805179071298E-4</v>
      </c>
      <c r="C825" s="2">
        <f>IFERROR((Data!C825/Data!C824-1)*100,"")</f>
        <v>-0.18385185946250271</v>
      </c>
      <c r="D825">
        <f t="shared" si="110"/>
        <v>4.9913750724317474E-2</v>
      </c>
      <c r="E825">
        <f t="shared" si="111"/>
        <v>0.14500131700433774</v>
      </c>
      <c r="P825" t="str" cm="1">
        <f t="array" ref="P825">_xlfn.IFS(
  AND(D825&gt;0,E825&gt;0),"Expansion",
  AND(D825&lt;0,E825&gt;0),"Slowdown",
  AND(D825&lt;0,E825&lt;0),"Contraction",
  AND(D825&gt;0,E825&lt;0),"Recovery",
  TRUE,"Undefined"
)</f>
        <v>Expansion</v>
      </c>
      <c r="Q825" t="str">
        <f t="shared" si="118"/>
        <v>Slowdown</v>
      </c>
      <c r="R825">
        <f t="shared" si="112"/>
        <v>1</v>
      </c>
      <c r="S825">
        <f t="shared" si="113"/>
        <v>1</v>
      </c>
      <c r="T825">
        <f t="shared" si="114"/>
        <v>1</v>
      </c>
      <c r="U825">
        <f t="shared" si="115"/>
        <v>1</v>
      </c>
      <c r="V825" t="str" cm="1">
        <f t="array" ref="V825">_xlfn.IFS(
  AND(S825&gt;0,U825&gt;0),"Expansion",
  AND(S825&lt;0,U825&gt;0),"Slowdown",
  AND(S825&lt;0,U825&lt;0),"Contraction",
  AND(S825&gt;0,U825&lt;0),"Recovery",
  TRUE,"Undefined"
)</f>
        <v>Expansion</v>
      </c>
      <c r="W825">
        <f t="shared" si="116"/>
        <v>0</v>
      </c>
      <c r="X825">
        <f t="shared" si="117"/>
        <v>0</v>
      </c>
      <c r="Y825">
        <v>0</v>
      </c>
    </row>
    <row r="826" spans="1:25" x14ac:dyDescent="0.35">
      <c r="A826" s="1">
        <f>Data!A826</f>
        <v>42248</v>
      </c>
      <c r="B826" s="2">
        <f>IFERROR((Data!B826/Data!B825-1)*100,"")</f>
        <v>-0.22475875193775918</v>
      </c>
      <c r="C826" s="2">
        <f>IFERROR((Data!C826/Data!C825-1)*100,"")</f>
        <v>-0.27910650288459626</v>
      </c>
      <c r="D826">
        <f t="shared" si="110"/>
        <v>6.1713663449673252E-2</v>
      </c>
      <c r="E826">
        <f t="shared" si="111"/>
        <v>-2.2182293990273088E-2</v>
      </c>
      <c r="P826" t="str" cm="1">
        <f t="array" ref="P826">_xlfn.IFS(
  AND(D826&gt;0,E826&gt;0),"Expansion",
  AND(D826&lt;0,E826&gt;0),"Slowdown",
  AND(D826&lt;0,E826&lt;0),"Contraction",
  AND(D826&gt;0,E826&lt;0),"Recovery",
  TRUE,"Undefined"
)</f>
        <v>Recovery</v>
      </c>
      <c r="Q826" t="str">
        <f t="shared" si="118"/>
        <v>Slowdown</v>
      </c>
      <c r="R826">
        <f t="shared" si="112"/>
        <v>1</v>
      </c>
      <c r="S826">
        <f t="shared" si="113"/>
        <v>1</v>
      </c>
      <c r="T826">
        <f t="shared" si="114"/>
        <v>-1</v>
      </c>
      <c r="U826">
        <f t="shared" si="115"/>
        <v>-1</v>
      </c>
      <c r="V826" t="str" cm="1">
        <f t="array" ref="V826">_xlfn.IFS(
  AND(S826&gt;0,U826&gt;0),"Expansion",
  AND(S826&lt;0,U826&gt;0),"Slowdown",
  AND(S826&lt;0,U826&lt;0),"Contraction",
  AND(S826&gt;0,U826&lt;0),"Recovery",
  TRUE,"Undefined"
)</f>
        <v>Recovery</v>
      </c>
      <c r="W826">
        <f t="shared" si="116"/>
        <v>0</v>
      </c>
      <c r="X826">
        <f t="shared" si="117"/>
        <v>0</v>
      </c>
      <c r="Y826">
        <v>0</v>
      </c>
    </row>
    <row r="827" spans="1:25" x14ac:dyDescent="0.35">
      <c r="A827" s="1">
        <f>Data!A827</f>
        <v>42278</v>
      </c>
      <c r="B827" s="2">
        <f>IFERROR((Data!B827/Data!B826-1)*100,"")</f>
        <v>9.8948201669069036E-2</v>
      </c>
      <c r="C827" s="2">
        <f>IFERROR((Data!C827/Data!C826-1)*100,"")</f>
        <v>-0.48355064329504982</v>
      </c>
      <c r="D827">
        <f t="shared" si="110"/>
        <v>-0.31550300188071628</v>
      </c>
      <c r="E827">
        <f t="shared" si="111"/>
        <v>-4.2076886106826951E-2</v>
      </c>
      <c r="P827" t="str" cm="1">
        <f t="array" ref="P827">_xlfn.IFS(
  AND(D827&gt;0,E827&gt;0),"Expansion",
  AND(D827&lt;0,E827&gt;0),"Slowdown",
  AND(D827&lt;0,E827&lt;0),"Contraction",
  AND(D827&gt;0,E827&lt;0),"Recovery",
  TRUE,"Undefined"
)</f>
        <v>Contraction</v>
      </c>
      <c r="Q827" t="str">
        <f t="shared" si="118"/>
        <v>Slowdown</v>
      </c>
      <c r="R827">
        <f t="shared" si="112"/>
        <v>-1</v>
      </c>
      <c r="S827">
        <f t="shared" si="113"/>
        <v>-1</v>
      </c>
      <c r="T827">
        <f t="shared" si="114"/>
        <v>-1</v>
      </c>
      <c r="U827">
        <f t="shared" si="115"/>
        <v>-1</v>
      </c>
      <c r="V827" t="str" cm="1">
        <f t="array" ref="V827">_xlfn.IFS(
  AND(S827&gt;0,U827&gt;0),"Expansion",
  AND(S827&lt;0,U827&gt;0),"Slowdown",
  AND(S827&lt;0,U827&lt;0),"Contraction",
  AND(S827&gt;0,U827&lt;0),"Recovery",
  TRUE,"Undefined"
)</f>
        <v>Contraction</v>
      </c>
      <c r="W827">
        <f t="shared" si="116"/>
        <v>0</v>
      </c>
      <c r="X827">
        <f t="shared" si="117"/>
        <v>1</v>
      </c>
      <c r="Y827">
        <v>0</v>
      </c>
    </row>
    <row r="828" spans="1:25" x14ac:dyDescent="0.35">
      <c r="A828" s="1">
        <f>Data!A828</f>
        <v>42309</v>
      </c>
      <c r="B828" s="2">
        <f>IFERROR((Data!B828/Data!B827-1)*100,"")</f>
        <v>0.11946174910508756</v>
      </c>
      <c r="C828" s="2">
        <f>IFERROR((Data!C828/Data!C827-1)*100,"")</f>
        <v>-0.73573191712170694</v>
      </c>
      <c r="D828">
        <f t="shared" si="110"/>
        <v>-0.49946302110045099</v>
      </c>
      <c r="E828">
        <f t="shared" si="111"/>
        <v>-2.1162670545341968E-3</v>
      </c>
      <c r="P828" t="str" cm="1">
        <f t="array" ref="P828">_xlfn.IFS(
  AND(D828&gt;0,E828&gt;0),"Expansion",
  AND(D828&lt;0,E828&gt;0),"Slowdown",
  AND(D828&lt;0,E828&lt;0),"Contraction",
  AND(D828&gt;0,E828&lt;0),"Recovery",
  TRUE,"Undefined"
)</f>
        <v>Contraction</v>
      </c>
      <c r="Q828" t="str">
        <f t="shared" si="118"/>
        <v>Slowdown</v>
      </c>
      <c r="R828">
        <f t="shared" si="112"/>
        <v>-1</v>
      </c>
      <c r="S828">
        <f t="shared" si="113"/>
        <v>-1</v>
      </c>
      <c r="T828">
        <f t="shared" si="114"/>
        <v>-1</v>
      </c>
      <c r="U828">
        <f t="shared" si="115"/>
        <v>-1</v>
      </c>
      <c r="V828" t="str" cm="1">
        <f t="array" ref="V828">_xlfn.IFS(
  AND(S828&gt;0,U828&gt;0),"Expansion",
  AND(S828&lt;0,U828&gt;0),"Slowdown",
  AND(S828&lt;0,U828&lt;0),"Contraction",
  AND(S828&gt;0,U828&lt;0),"Recovery",
  TRUE,"Undefined"
)</f>
        <v>Contraction</v>
      </c>
      <c r="W828">
        <f t="shared" si="116"/>
        <v>0</v>
      </c>
      <c r="X828">
        <f t="shared" si="117"/>
        <v>1</v>
      </c>
      <c r="Y828">
        <v>0</v>
      </c>
    </row>
    <row r="829" spans="1:25" x14ac:dyDescent="0.35">
      <c r="A829" s="1">
        <f>Data!A829</f>
        <v>42339</v>
      </c>
      <c r="B829" s="2">
        <f>IFERROR((Data!B829/Data!B828-1)*100,"")</f>
        <v>-0.10755534268560574</v>
      </c>
      <c r="C829" s="2">
        <f>IFERROR((Data!C829/Data!C828-1)*100,"")</f>
        <v>-0.49040588848765498</v>
      </c>
      <c r="D829">
        <f t="shared" si="110"/>
        <v>-0.56989614963480395</v>
      </c>
      <c r="E829">
        <f t="shared" si="111"/>
        <v>3.6951536029516951E-2</v>
      </c>
      <c r="P829" t="str" cm="1">
        <f t="array" ref="P829">_xlfn.IFS(
  AND(D829&gt;0,E829&gt;0),"Expansion",
  AND(D829&lt;0,E829&gt;0),"Slowdown",
  AND(D829&lt;0,E829&lt;0),"Contraction",
  AND(D829&gt;0,E829&lt;0),"Recovery",
  TRUE,"Undefined"
)</f>
        <v>Slowdown</v>
      </c>
      <c r="Q829" t="str">
        <f t="shared" si="118"/>
        <v>Slowdown</v>
      </c>
      <c r="R829">
        <f t="shared" si="112"/>
        <v>-1</v>
      </c>
      <c r="S829">
        <f t="shared" si="113"/>
        <v>-1</v>
      </c>
      <c r="T829">
        <f t="shared" si="114"/>
        <v>1</v>
      </c>
      <c r="U829">
        <f t="shared" si="115"/>
        <v>1</v>
      </c>
      <c r="V829" t="str" cm="1">
        <f t="array" ref="V829">_xlfn.IFS(
  AND(S829&gt;0,U829&gt;0),"Expansion",
  AND(S829&lt;0,U829&gt;0),"Slowdown",
  AND(S829&lt;0,U829&lt;0),"Contraction",
  AND(S829&gt;0,U829&lt;0),"Recovery",
  TRUE,"Undefined"
)</f>
        <v>Slowdown</v>
      </c>
      <c r="W829">
        <f t="shared" si="116"/>
        <v>0</v>
      </c>
      <c r="X829">
        <f t="shared" si="117"/>
        <v>0</v>
      </c>
      <c r="Y829">
        <v>0</v>
      </c>
    </row>
    <row r="830" spans="1:25" x14ac:dyDescent="0.35">
      <c r="A830" s="1">
        <f>Data!A830</f>
        <v>42370</v>
      </c>
      <c r="B830" s="2">
        <f>IFERROR((Data!B830/Data!B829-1)*100,"")</f>
        <v>-4.5844356307389589E-2</v>
      </c>
      <c r="C830" s="2">
        <f>IFERROR((Data!C830/Data!C829-1)*100,"")</f>
        <v>0.52402169995062753</v>
      </c>
      <c r="D830">
        <f t="shared" si="110"/>
        <v>-0.23403870188624479</v>
      </c>
      <c r="E830">
        <f t="shared" si="111"/>
        <v>-1.1312649962635923E-2</v>
      </c>
      <c r="P830" t="str" cm="1">
        <f t="array" ref="P830">_xlfn.IFS(
  AND(D830&gt;0,E830&gt;0),"Expansion",
  AND(D830&lt;0,E830&gt;0),"Slowdown",
  AND(D830&lt;0,E830&lt;0),"Contraction",
  AND(D830&gt;0,E830&lt;0),"Recovery",
  TRUE,"Undefined"
)</f>
        <v>Contraction</v>
      </c>
      <c r="Q830" t="str">
        <f t="shared" si="118"/>
        <v>Slowdown</v>
      </c>
      <c r="R830">
        <f t="shared" si="112"/>
        <v>1</v>
      </c>
      <c r="S830">
        <f t="shared" si="113"/>
        <v>1</v>
      </c>
      <c r="T830">
        <f t="shared" si="114"/>
        <v>-1</v>
      </c>
      <c r="U830">
        <f t="shared" si="115"/>
        <v>-1</v>
      </c>
      <c r="V830" t="str" cm="1">
        <f t="array" ref="V830">_xlfn.IFS(
  AND(S830&gt;0,U830&gt;0),"Expansion",
  AND(S830&lt;0,U830&gt;0),"Slowdown",
  AND(S830&lt;0,U830&lt;0),"Contraction",
  AND(S830&gt;0,U830&lt;0),"Recovery",
  TRUE,"Undefined"
)</f>
        <v>Recovery</v>
      </c>
      <c r="W830">
        <f t="shared" si="116"/>
        <v>0</v>
      </c>
      <c r="X830">
        <f t="shared" si="117"/>
        <v>0</v>
      </c>
      <c r="Y830">
        <v>0</v>
      </c>
    </row>
    <row r="831" spans="1:25" x14ac:dyDescent="0.35">
      <c r="A831" s="1">
        <f>Data!A831</f>
        <v>42401</v>
      </c>
      <c r="B831" s="2">
        <f>IFERROR((Data!B831/Data!B830-1)*100,"")</f>
        <v>-0.13296753235823022</v>
      </c>
      <c r="C831" s="2">
        <f>IFERROR((Data!C831/Data!C830-1)*100,"")</f>
        <v>-0.51847767241491871</v>
      </c>
      <c r="D831">
        <f t="shared" si="110"/>
        <v>-0.16162062031731539</v>
      </c>
      <c r="E831">
        <f t="shared" si="111"/>
        <v>-9.5455743783741845E-2</v>
      </c>
      <c r="P831" t="str" cm="1">
        <f t="array" ref="P831">_xlfn.IFS(
  AND(D831&gt;0,E831&gt;0),"Expansion",
  AND(D831&lt;0,E831&gt;0),"Slowdown",
  AND(D831&lt;0,E831&lt;0),"Contraction",
  AND(D831&gt;0,E831&lt;0),"Recovery",
  TRUE,"Undefined"
)</f>
        <v>Contraction</v>
      </c>
      <c r="Q831" t="str">
        <f t="shared" si="118"/>
        <v>Slowdown</v>
      </c>
      <c r="R831">
        <f t="shared" si="112"/>
        <v>1</v>
      </c>
      <c r="S831">
        <f t="shared" si="113"/>
        <v>1</v>
      </c>
      <c r="T831">
        <f t="shared" si="114"/>
        <v>-1</v>
      </c>
      <c r="U831">
        <f t="shared" si="115"/>
        <v>-1</v>
      </c>
      <c r="V831" t="str" cm="1">
        <f t="array" ref="V831">_xlfn.IFS(
  AND(S831&gt;0,U831&gt;0),"Expansion",
  AND(S831&lt;0,U831&gt;0),"Slowdown",
  AND(S831&lt;0,U831&lt;0),"Contraction",
  AND(S831&gt;0,U831&lt;0),"Recovery",
  TRUE,"Undefined"
)</f>
        <v>Recovery</v>
      </c>
      <c r="W831">
        <f t="shared" si="116"/>
        <v>0</v>
      </c>
      <c r="X831">
        <f t="shared" si="117"/>
        <v>0</v>
      </c>
      <c r="Y831">
        <v>0</v>
      </c>
    </row>
    <row r="832" spans="1:25" x14ac:dyDescent="0.35">
      <c r="A832" s="1">
        <f>Data!A832</f>
        <v>42430</v>
      </c>
      <c r="B832" s="2">
        <f>IFERROR((Data!B832/Data!B831-1)*100,"")</f>
        <v>0.31347962382444194</v>
      </c>
      <c r="C832" s="2">
        <f>IFERROR((Data!C832/Data!C831-1)*100,"")</f>
        <v>-0.74198971169524564</v>
      </c>
      <c r="D832">
        <f t="shared" si="110"/>
        <v>-0.24548189471984561</v>
      </c>
      <c r="E832">
        <f t="shared" si="111"/>
        <v>4.4889245052940709E-2</v>
      </c>
      <c r="P832" t="str" cm="1">
        <f t="array" ref="P832">_xlfn.IFS(
  AND(D832&gt;0,E832&gt;0),"Expansion",
  AND(D832&lt;0,E832&gt;0),"Slowdown",
  AND(D832&lt;0,E832&lt;0),"Contraction",
  AND(D832&gt;0,E832&lt;0),"Recovery",
  TRUE,"Undefined"
)</f>
        <v>Slowdown</v>
      </c>
      <c r="Q832" t="str">
        <f t="shared" si="118"/>
        <v>Slowdown</v>
      </c>
      <c r="R832">
        <f t="shared" si="112"/>
        <v>1</v>
      </c>
      <c r="S832">
        <f t="shared" si="113"/>
        <v>1</v>
      </c>
      <c r="T832">
        <f t="shared" si="114"/>
        <v>1</v>
      </c>
      <c r="U832">
        <f t="shared" si="115"/>
        <v>1</v>
      </c>
      <c r="V832" t="str" cm="1">
        <f t="array" ref="V832">_xlfn.IFS(
  AND(S832&gt;0,U832&gt;0),"Expansion",
  AND(S832&lt;0,U832&gt;0),"Slowdown",
  AND(S832&lt;0,U832&lt;0),"Contraction",
  AND(S832&gt;0,U832&lt;0),"Recovery",
  TRUE,"Undefined"
)</f>
        <v>Expansion</v>
      </c>
      <c r="W832">
        <f t="shared" si="116"/>
        <v>0</v>
      </c>
      <c r="X832">
        <f t="shared" si="117"/>
        <v>0</v>
      </c>
      <c r="Y832">
        <v>0</v>
      </c>
    </row>
    <row r="833" spans="1:25" x14ac:dyDescent="0.35">
      <c r="A833" s="1">
        <f>Data!A833</f>
        <v>42461</v>
      </c>
      <c r="B833" s="2">
        <f>IFERROR((Data!B833/Data!B832-1)*100,"")</f>
        <v>0.38306451612901693</v>
      </c>
      <c r="C833" s="2">
        <f>IFERROR((Data!C833/Data!C832-1)*100,"")</f>
        <v>0.33821722395370735</v>
      </c>
      <c r="D833">
        <f t="shared" si="110"/>
        <v>-0.30741672005215231</v>
      </c>
      <c r="E833">
        <f t="shared" si="111"/>
        <v>0.18785886919840955</v>
      </c>
      <c r="P833" t="str" cm="1">
        <f t="array" ref="P833">_xlfn.IFS(
  AND(D833&gt;0,E833&gt;0),"Expansion",
  AND(D833&lt;0,E833&gt;0),"Slowdown",
  AND(D833&lt;0,E833&lt;0),"Contraction",
  AND(D833&gt;0,E833&lt;0),"Recovery",
  TRUE,"Undefined"
)</f>
        <v>Slowdown</v>
      </c>
      <c r="Q833" t="str">
        <f t="shared" si="118"/>
        <v>Slowdown</v>
      </c>
      <c r="R833">
        <f t="shared" si="112"/>
        <v>-1</v>
      </c>
      <c r="S833">
        <f t="shared" si="113"/>
        <v>-1</v>
      </c>
      <c r="T833">
        <f t="shared" si="114"/>
        <v>1</v>
      </c>
      <c r="U833">
        <f t="shared" si="115"/>
        <v>1</v>
      </c>
      <c r="V833" t="str" cm="1">
        <f t="array" ref="V833">_xlfn.IFS(
  AND(S833&gt;0,U833&gt;0),"Expansion",
  AND(S833&lt;0,U833&gt;0),"Slowdown",
  AND(S833&lt;0,U833&lt;0),"Contraction",
  AND(S833&gt;0,U833&lt;0),"Recovery",
  TRUE,"Undefined"
)</f>
        <v>Slowdown</v>
      </c>
      <c r="W833">
        <f t="shared" si="116"/>
        <v>0</v>
      </c>
      <c r="X833">
        <f t="shared" si="117"/>
        <v>0</v>
      </c>
      <c r="Y833">
        <v>0</v>
      </c>
    </row>
    <row r="834" spans="1:25" x14ac:dyDescent="0.35">
      <c r="A834" s="1">
        <f>Data!A834</f>
        <v>42491</v>
      </c>
      <c r="B834" s="2">
        <f>IFERROR((Data!B834/Data!B833-1)*100,"")</f>
        <v>0.23640958693178504</v>
      </c>
      <c r="C834" s="2">
        <f>IFERROR((Data!C834/Data!C833-1)*100,"")</f>
        <v>-0.22677943798843359</v>
      </c>
      <c r="D834">
        <f t="shared" si="110"/>
        <v>-0.21018397524332397</v>
      </c>
      <c r="E834">
        <f t="shared" si="111"/>
        <v>0.31098457562841464</v>
      </c>
      <c r="P834" t="str" cm="1">
        <f t="array" ref="P834">_xlfn.IFS(
  AND(D834&gt;0,E834&gt;0),"Expansion",
  AND(D834&lt;0,E834&gt;0),"Slowdown",
  AND(D834&lt;0,E834&lt;0),"Contraction",
  AND(D834&gt;0,E834&lt;0),"Recovery",
  TRUE,"Undefined"
)</f>
        <v>Slowdown</v>
      </c>
      <c r="Q834" t="str">
        <f t="shared" si="118"/>
        <v>Slowdown</v>
      </c>
      <c r="R834">
        <f t="shared" si="112"/>
        <v>1</v>
      </c>
      <c r="S834">
        <f t="shared" si="113"/>
        <v>1</v>
      </c>
      <c r="T834">
        <f t="shared" si="114"/>
        <v>1</v>
      </c>
      <c r="U834">
        <f t="shared" si="115"/>
        <v>1</v>
      </c>
      <c r="V834" t="str" cm="1">
        <f t="array" ref="V834">_xlfn.IFS(
  AND(S834&gt;0,U834&gt;0),"Expansion",
  AND(S834&lt;0,U834&gt;0),"Slowdown",
  AND(S834&lt;0,U834&lt;0),"Contraction",
  AND(S834&gt;0,U834&lt;0),"Recovery",
  TRUE,"Undefined"
)</f>
        <v>Expansion</v>
      </c>
      <c r="W834">
        <f t="shared" si="116"/>
        <v>0</v>
      </c>
      <c r="X834">
        <f t="shared" si="117"/>
        <v>0</v>
      </c>
      <c r="Y834">
        <v>0</v>
      </c>
    </row>
    <row r="835" spans="1:25" x14ac:dyDescent="0.35">
      <c r="A835" s="1">
        <f>Data!A835</f>
        <v>42522</v>
      </c>
      <c r="B835" s="2">
        <f>IFERROR((Data!B835/Data!B834-1)*100,"")</f>
        <v>0.27759572878272021</v>
      </c>
      <c r="C835" s="2">
        <f>IFERROR((Data!C835/Data!C834-1)*100,"")</f>
        <v>0.47237102005315279</v>
      </c>
      <c r="D835">
        <f t="shared" si="110"/>
        <v>0.19460293533947551</v>
      </c>
      <c r="E835">
        <f t="shared" si="111"/>
        <v>0.29902327728117406</v>
      </c>
      <c r="P835" t="str" cm="1">
        <f t="array" ref="P835">_xlfn.IFS(
  AND(D835&gt;0,E835&gt;0),"Expansion",
  AND(D835&lt;0,E835&gt;0),"Slowdown",
  AND(D835&lt;0,E835&lt;0),"Contraction",
  AND(D835&gt;0,E835&lt;0),"Recovery",
  TRUE,"Undefined"
)</f>
        <v>Expansion</v>
      </c>
      <c r="Q835" t="str">
        <f t="shared" si="118"/>
        <v>Slowdown</v>
      </c>
      <c r="R835">
        <f t="shared" si="112"/>
        <v>1</v>
      </c>
      <c r="S835">
        <f t="shared" si="113"/>
        <v>1</v>
      </c>
      <c r="T835">
        <f t="shared" si="114"/>
        <v>1</v>
      </c>
      <c r="U835">
        <f t="shared" si="115"/>
        <v>1</v>
      </c>
      <c r="V835" t="str" cm="1">
        <f t="array" ref="V835">_xlfn.IFS(
  AND(S835&gt;0,U835&gt;0),"Expansion",
  AND(S835&lt;0,U835&gt;0),"Slowdown",
  AND(S835&lt;0,U835&lt;0),"Contraction",
  AND(S835&gt;0,U835&lt;0),"Recovery",
  TRUE,"Undefined"
)</f>
        <v>Expansion</v>
      </c>
      <c r="W835">
        <f t="shared" si="116"/>
        <v>0</v>
      </c>
      <c r="X835">
        <f t="shared" si="117"/>
        <v>0</v>
      </c>
      <c r="Y835">
        <v>0</v>
      </c>
    </row>
    <row r="836" spans="1:25" x14ac:dyDescent="0.35">
      <c r="A836" s="1">
        <f>Data!A836</f>
        <v>42552</v>
      </c>
      <c r="B836" s="2">
        <f>IFERROR((Data!B836/Data!B835-1)*100,"")</f>
        <v>-5.0370074347894089E-2</v>
      </c>
      <c r="C836" s="2">
        <f>IFERROR((Data!C836/Data!C835-1)*100,"")</f>
        <v>0.11720887146766668</v>
      </c>
      <c r="D836">
        <f t="shared" si="110"/>
        <v>0.12093348451079529</v>
      </c>
      <c r="E836">
        <f t="shared" si="111"/>
        <v>0.15454508045553705</v>
      </c>
      <c r="P836" t="str" cm="1">
        <f t="array" ref="P836">_xlfn.IFS(
  AND(D836&gt;0,E836&gt;0),"Expansion",
  AND(D836&lt;0,E836&gt;0),"Slowdown",
  AND(D836&lt;0,E836&lt;0),"Contraction",
  AND(D836&gt;0,E836&lt;0),"Recovery",
  TRUE,"Undefined"
)</f>
        <v>Expansion</v>
      </c>
      <c r="Q836" t="str">
        <f t="shared" si="118"/>
        <v>Slowdown</v>
      </c>
      <c r="R836">
        <f t="shared" si="112"/>
        <v>1</v>
      </c>
      <c r="S836">
        <f t="shared" si="113"/>
        <v>1</v>
      </c>
      <c r="T836">
        <f t="shared" si="114"/>
        <v>1</v>
      </c>
      <c r="U836">
        <f t="shared" si="115"/>
        <v>1</v>
      </c>
      <c r="V836" t="str" cm="1">
        <f t="array" ref="V836">_xlfn.IFS(
  AND(S836&gt;0,U836&gt;0),"Expansion",
  AND(S836&lt;0,U836&gt;0),"Slowdown",
  AND(S836&lt;0,U836&lt;0),"Contraction",
  AND(S836&gt;0,U836&lt;0),"Recovery",
  TRUE,"Undefined"
)</f>
        <v>Expansion</v>
      </c>
      <c r="W836">
        <f t="shared" si="116"/>
        <v>0</v>
      </c>
      <c r="X836">
        <f t="shared" si="117"/>
        <v>0</v>
      </c>
      <c r="Y836">
        <v>0</v>
      </c>
    </row>
    <row r="837" spans="1:25" x14ac:dyDescent="0.35">
      <c r="A837" s="1">
        <f>Data!A837</f>
        <v>42583</v>
      </c>
      <c r="B837" s="2">
        <f>IFERROR((Data!B837/Data!B836-1)*100,"")</f>
        <v>0.18492217858316895</v>
      </c>
      <c r="C837" s="2">
        <f>IFERROR((Data!C837/Data!C836-1)*100,"")</f>
        <v>-0.15070828855183738</v>
      </c>
      <c r="D837">
        <f t="shared" ref="D837:D900" si="119">SUM(C835:C837)/3</f>
        <v>0.14629053432299402</v>
      </c>
      <c r="E837">
        <f t="shared" ref="E837:E900" si="120">SUM(B835:B837)/3</f>
        <v>0.13738261100599836</v>
      </c>
      <c r="P837" t="str" cm="1">
        <f t="array" ref="P837">_xlfn.IFS(
  AND(D837&gt;0,E837&gt;0),"Expansion",
  AND(D837&lt;0,E837&gt;0),"Slowdown",
  AND(D837&lt;0,E837&lt;0),"Contraction",
  AND(D837&gt;0,E837&lt;0),"Recovery",
  TRUE,"Undefined"
)</f>
        <v>Expansion</v>
      </c>
      <c r="Q837" t="str">
        <f t="shared" si="118"/>
        <v>Expansion</v>
      </c>
      <c r="R837">
        <f t="shared" si="112"/>
        <v>1</v>
      </c>
      <c r="S837">
        <f t="shared" si="113"/>
        <v>1</v>
      </c>
      <c r="T837">
        <f t="shared" si="114"/>
        <v>1</v>
      </c>
      <c r="U837">
        <f t="shared" si="115"/>
        <v>1</v>
      </c>
      <c r="V837" t="str" cm="1">
        <f t="array" ref="V837">_xlfn.IFS(
  AND(S837&gt;0,U837&gt;0),"Expansion",
  AND(S837&lt;0,U837&gt;0),"Slowdown",
  AND(S837&lt;0,U837&lt;0),"Contraction",
  AND(S837&gt;0,U837&lt;0),"Recovery",
  TRUE,"Undefined"
)</f>
        <v>Expansion</v>
      </c>
      <c r="W837">
        <f t="shared" si="116"/>
        <v>0</v>
      </c>
      <c r="X837">
        <f t="shared" si="117"/>
        <v>0</v>
      </c>
      <c r="Y837">
        <v>0</v>
      </c>
    </row>
    <row r="838" spans="1:25" x14ac:dyDescent="0.35">
      <c r="A838" s="1">
        <f>Data!A838</f>
        <v>42614</v>
      </c>
      <c r="B838" s="2">
        <f>IFERROR((Data!B838/Data!B837-1)*100,"")</f>
        <v>0.26232097944252075</v>
      </c>
      <c r="C838" s="2">
        <f>IFERROR((Data!C838/Data!C837-1)*100,"")</f>
        <v>-0.10551340414769461</v>
      </c>
      <c r="D838">
        <f t="shared" si="119"/>
        <v>-4.6337607077288435E-2</v>
      </c>
      <c r="E838">
        <f t="shared" si="120"/>
        <v>0.13229102789259853</v>
      </c>
      <c r="P838" t="str" cm="1">
        <f t="array" ref="P838">_xlfn.IFS(
  AND(D838&gt;0,E838&gt;0),"Expansion",
  AND(D838&lt;0,E838&gt;0),"Slowdown",
  AND(D838&lt;0,E838&lt;0),"Contraction",
  AND(D838&gt;0,E838&lt;0),"Recovery",
  TRUE,"Undefined"
)</f>
        <v>Slowdown</v>
      </c>
      <c r="Q838" t="str">
        <f t="shared" si="118"/>
        <v>Expansion</v>
      </c>
      <c r="R838">
        <f t="shared" ref="R838:R901" si="121">IF(D838&gt;-0.26, 1, -1)</f>
        <v>1</v>
      </c>
      <c r="S838">
        <f t="shared" ref="S838:S901" si="122">IF(R838=1, IF(D838 &lt; -$L$5, -1, 1), IF(D838 &gt; $L$5, 1, -1))</f>
        <v>1</v>
      </c>
      <c r="T838">
        <f t="shared" ref="T838:T901" si="123">IF(E838&gt;0, 1, -1)</f>
        <v>1</v>
      </c>
      <c r="U838">
        <f t="shared" ref="U838:U901" si="124">IF(T838=1, IF(E838 &lt; -$M$5, -1, 1), IF(E838 &gt; $M$5, 1, -1))</f>
        <v>1</v>
      </c>
      <c r="V838" t="str" cm="1">
        <f t="array" ref="V838">_xlfn.IFS(
  AND(S838&gt;0,U838&gt;0),"Expansion",
  AND(S838&lt;0,U838&gt;0),"Slowdown",
  AND(S838&lt;0,U838&lt;0),"Contraction",
  AND(S838&gt;0,U838&lt;0),"Recovery",
  TRUE,"Undefined"
)</f>
        <v>Expansion</v>
      </c>
      <c r="W838">
        <f t="shared" ref="W838:W901" si="125">IF(Q838="Contraction", 1, 0)</f>
        <v>0</v>
      </c>
      <c r="X838">
        <f t="shared" ref="X838:X901" si="126">IF(V838="Contraction", 1, 0)</f>
        <v>0</v>
      </c>
      <c r="Y838">
        <v>0</v>
      </c>
    </row>
    <row r="839" spans="1:25" x14ac:dyDescent="0.35">
      <c r="A839" s="1">
        <f>Data!A839</f>
        <v>42644</v>
      </c>
      <c r="B839" s="2">
        <f>IFERROR((Data!B839/Data!B838-1)*100,"")</f>
        <v>0.23426874979268764</v>
      </c>
      <c r="C839" s="2">
        <f>IFERROR((Data!C839/Data!C838-1)*100,"")</f>
        <v>1.5595615809083085E-2</v>
      </c>
      <c r="D839">
        <f t="shared" si="119"/>
        <v>-8.0208692296816306E-2</v>
      </c>
      <c r="E839">
        <f t="shared" si="120"/>
        <v>0.2271706359394591</v>
      </c>
      <c r="P839" t="str" cm="1">
        <f t="array" ref="P839">_xlfn.IFS(
  AND(D839&gt;0,E839&gt;0),"Expansion",
  AND(D839&lt;0,E839&gt;0),"Slowdown",
  AND(D839&lt;0,E839&lt;0),"Contraction",
  AND(D839&gt;0,E839&lt;0),"Recovery",
  TRUE,"Undefined"
)</f>
        <v>Slowdown</v>
      </c>
      <c r="Q839" t="str">
        <f t="shared" si="118"/>
        <v>Expansion</v>
      </c>
      <c r="R839">
        <f t="shared" si="121"/>
        <v>1</v>
      </c>
      <c r="S839">
        <f t="shared" si="122"/>
        <v>1</v>
      </c>
      <c r="T839">
        <f t="shared" si="123"/>
        <v>1</v>
      </c>
      <c r="U839">
        <f t="shared" si="124"/>
        <v>1</v>
      </c>
      <c r="V839" t="str" cm="1">
        <f t="array" ref="V839">_xlfn.IFS(
  AND(S839&gt;0,U839&gt;0),"Expansion",
  AND(S839&lt;0,U839&gt;0),"Slowdown",
  AND(S839&lt;0,U839&lt;0),"Contraction",
  AND(S839&gt;0,U839&lt;0),"Recovery",
  TRUE,"Undefined"
)</f>
        <v>Expansion</v>
      </c>
      <c r="W839">
        <f t="shared" si="125"/>
        <v>0</v>
      </c>
      <c r="X839">
        <f t="shared" si="126"/>
        <v>0</v>
      </c>
      <c r="Y839">
        <v>0</v>
      </c>
    </row>
    <row r="840" spans="1:25" x14ac:dyDescent="0.35">
      <c r="A840" s="1">
        <f>Data!A840</f>
        <v>42675</v>
      </c>
      <c r="B840" s="2">
        <f>IFERROR((Data!B840/Data!B839-1)*100,"")</f>
        <v>0.11789477167711837</v>
      </c>
      <c r="C840" s="2">
        <f>IFERROR((Data!C840/Data!C839-1)*100,"")</f>
        <v>-0.41716829804446798</v>
      </c>
      <c r="D840">
        <f t="shared" si="119"/>
        <v>-0.1690286954610265</v>
      </c>
      <c r="E840">
        <f t="shared" si="120"/>
        <v>0.20482816697077558</v>
      </c>
      <c r="P840" t="str" cm="1">
        <f t="array" ref="P840">_xlfn.IFS(
  AND(D840&gt;0,E840&gt;0),"Expansion",
  AND(D840&lt;0,E840&gt;0),"Slowdown",
  AND(D840&lt;0,E840&lt;0),"Contraction",
  AND(D840&gt;0,E840&lt;0),"Recovery",
  TRUE,"Undefined"
)</f>
        <v>Slowdown</v>
      </c>
      <c r="Q840" t="str">
        <f t="shared" ref="Q840:Q903" si="127">IF(AND(P840=P839, P839=P838), P840, Q839)</f>
        <v>Slowdown</v>
      </c>
      <c r="R840">
        <f t="shared" si="121"/>
        <v>1</v>
      </c>
      <c r="S840">
        <f t="shared" si="122"/>
        <v>1</v>
      </c>
      <c r="T840">
        <f t="shared" si="123"/>
        <v>1</v>
      </c>
      <c r="U840">
        <f t="shared" si="124"/>
        <v>1</v>
      </c>
      <c r="V840" t="str" cm="1">
        <f t="array" ref="V840">_xlfn.IFS(
  AND(S840&gt;0,U840&gt;0),"Expansion",
  AND(S840&lt;0,U840&gt;0),"Slowdown",
  AND(S840&lt;0,U840&lt;0),"Contraction",
  AND(S840&gt;0,U840&lt;0),"Recovery",
  TRUE,"Undefined"
)</f>
        <v>Expansion</v>
      </c>
      <c r="W840">
        <f t="shared" si="125"/>
        <v>0</v>
      </c>
      <c r="X840">
        <f t="shared" si="126"/>
        <v>0</v>
      </c>
      <c r="Y840">
        <v>0</v>
      </c>
    </row>
    <row r="841" spans="1:25" x14ac:dyDescent="0.35">
      <c r="A841" s="1">
        <f>Data!A841</f>
        <v>42705</v>
      </c>
      <c r="B841" s="2">
        <f>IFERROR((Data!B841/Data!B840-1)*100,"")</f>
        <v>0.25245221587761879</v>
      </c>
      <c r="C841" s="2">
        <f>IFERROR((Data!C841/Data!C840-1)*100,"")</f>
        <v>0.68358530988081867</v>
      </c>
      <c r="D841">
        <f t="shared" si="119"/>
        <v>9.4004209215144588E-2</v>
      </c>
      <c r="E841">
        <f t="shared" si="120"/>
        <v>0.20153857911580828</v>
      </c>
      <c r="P841" t="str" cm="1">
        <f t="array" ref="P841">_xlfn.IFS(
  AND(D841&gt;0,E841&gt;0),"Expansion",
  AND(D841&lt;0,E841&gt;0),"Slowdown",
  AND(D841&lt;0,E841&lt;0),"Contraction",
  AND(D841&gt;0,E841&lt;0),"Recovery",
  TRUE,"Undefined"
)</f>
        <v>Expansion</v>
      </c>
      <c r="Q841" t="str">
        <f t="shared" si="127"/>
        <v>Slowdown</v>
      </c>
      <c r="R841">
        <f t="shared" si="121"/>
        <v>1</v>
      </c>
      <c r="S841">
        <f t="shared" si="122"/>
        <v>1</v>
      </c>
      <c r="T841">
        <f t="shared" si="123"/>
        <v>1</v>
      </c>
      <c r="U841">
        <f t="shared" si="124"/>
        <v>1</v>
      </c>
      <c r="V841" t="str" cm="1">
        <f t="array" ref="V841">_xlfn.IFS(
  AND(S841&gt;0,U841&gt;0),"Expansion",
  AND(S841&lt;0,U841&gt;0),"Slowdown",
  AND(S841&lt;0,U841&lt;0),"Contraction",
  AND(S841&gt;0,U841&lt;0),"Recovery",
  TRUE,"Undefined"
)</f>
        <v>Expansion</v>
      </c>
      <c r="W841">
        <f t="shared" si="125"/>
        <v>0</v>
      </c>
      <c r="X841">
        <f t="shared" si="126"/>
        <v>0</v>
      </c>
      <c r="Y841">
        <v>0</v>
      </c>
    </row>
    <row r="842" spans="1:25" x14ac:dyDescent="0.35">
      <c r="A842" s="1">
        <f>Data!A842</f>
        <v>42736</v>
      </c>
      <c r="B842" s="2">
        <f>IFERROR((Data!B842/Data!B841-1)*100,"")</f>
        <v>0.40430766948156283</v>
      </c>
      <c r="C842" s="2">
        <f>IFERROR((Data!C842/Data!C841-1)*100,"")</f>
        <v>-0.26287246999133762</v>
      </c>
      <c r="D842">
        <f t="shared" si="119"/>
        <v>1.1815139483376906E-3</v>
      </c>
      <c r="E842">
        <f t="shared" si="120"/>
        <v>0.25821821901210001</v>
      </c>
      <c r="P842" t="str" cm="1">
        <f t="array" ref="P842">_xlfn.IFS(
  AND(D842&gt;0,E842&gt;0),"Expansion",
  AND(D842&lt;0,E842&gt;0),"Slowdown",
  AND(D842&lt;0,E842&lt;0),"Contraction",
  AND(D842&gt;0,E842&lt;0),"Recovery",
  TRUE,"Undefined"
)</f>
        <v>Expansion</v>
      </c>
      <c r="Q842" t="str">
        <f t="shared" si="127"/>
        <v>Slowdown</v>
      </c>
      <c r="R842">
        <f t="shared" si="121"/>
        <v>1</v>
      </c>
      <c r="S842">
        <f t="shared" si="122"/>
        <v>1</v>
      </c>
      <c r="T842">
        <f t="shared" si="123"/>
        <v>1</v>
      </c>
      <c r="U842">
        <f t="shared" si="124"/>
        <v>1</v>
      </c>
      <c r="V842" t="str" cm="1">
        <f t="array" ref="V842">_xlfn.IFS(
  AND(S842&gt;0,U842&gt;0),"Expansion",
  AND(S842&lt;0,U842&gt;0),"Slowdown",
  AND(S842&lt;0,U842&lt;0),"Contraction",
  AND(S842&gt;0,U842&lt;0),"Recovery",
  TRUE,"Undefined"
)</f>
        <v>Expansion</v>
      </c>
      <c r="W842">
        <f t="shared" si="125"/>
        <v>0</v>
      </c>
      <c r="X842">
        <f t="shared" si="126"/>
        <v>0</v>
      </c>
      <c r="Y842">
        <v>0</v>
      </c>
    </row>
    <row r="843" spans="1:25" x14ac:dyDescent="0.35">
      <c r="A843" s="1">
        <f>Data!A843</f>
        <v>42767</v>
      </c>
      <c r="B843" s="2">
        <f>IFERROR((Data!B843/Data!B842-1)*100,"")</f>
        <v>0.15926573570097524</v>
      </c>
      <c r="C843" s="2">
        <f>IFERROR((Data!C843/Data!C842-1)*100,"")</f>
        <v>-0.4014738596471723</v>
      </c>
      <c r="D843">
        <f t="shared" si="119"/>
        <v>6.4129934141029148E-3</v>
      </c>
      <c r="E843">
        <f t="shared" si="120"/>
        <v>0.27200854035338562</v>
      </c>
      <c r="P843" t="str" cm="1">
        <f t="array" ref="P843">_xlfn.IFS(
  AND(D843&gt;0,E843&gt;0),"Expansion",
  AND(D843&lt;0,E843&gt;0),"Slowdown",
  AND(D843&lt;0,E843&lt;0),"Contraction",
  AND(D843&gt;0,E843&lt;0),"Recovery",
  TRUE,"Undefined"
)</f>
        <v>Expansion</v>
      </c>
      <c r="Q843" t="str">
        <f t="shared" si="127"/>
        <v>Expansion</v>
      </c>
      <c r="R843">
        <f t="shared" si="121"/>
        <v>1</v>
      </c>
      <c r="S843">
        <f t="shared" si="122"/>
        <v>1</v>
      </c>
      <c r="T843">
        <f t="shared" si="123"/>
        <v>1</v>
      </c>
      <c r="U843">
        <f t="shared" si="124"/>
        <v>1</v>
      </c>
      <c r="V843" t="str" cm="1">
        <f t="array" ref="V843">_xlfn.IFS(
  AND(S843&gt;0,U843&gt;0),"Expansion",
  AND(S843&lt;0,U843&gt;0),"Slowdown",
  AND(S843&lt;0,U843&lt;0),"Contraction",
  AND(S843&gt;0,U843&lt;0),"Recovery",
  TRUE,"Undefined"
)</f>
        <v>Expansion</v>
      </c>
      <c r="W843">
        <f t="shared" si="125"/>
        <v>0</v>
      </c>
      <c r="X843">
        <f t="shared" si="126"/>
        <v>0</v>
      </c>
      <c r="Y843">
        <v>0</v>
      </c>
    </row>
    <row r="844" spans="1:25" x14ac:dyDescent="0.35">
      <c r="A844" s="1">
        <f>Data!A844</f>
        <v>42795</v>
      </c>
      <c r="B844" s="2">
        <f>IFERROR((Data!B844/Data!B843-1)*100,"")</f>
        <v>-4.6720162618951733E-2</v>
      </c>
      <c r="C844" s="2">
        <f>IFERROR((Data!C844/Data!C843-1)*100,"")</f>
        <v>0.65989187166928254</v>
      </c>
      <c r="D844">
        <f t="shared" si="119"/>
        <v>-1.484819323075796E-3</v>
      </c>
      <c r="E844">
        <f t="shared" si="120"/>
        <v>0.17228441418786211</v>
      </c>
      <c r="P844" t="str" cm="1">
        <f t="array" ref="P844">_xlfn.IFS(
  AND(D844&gt;0,E844&gt;0),"Expansion",
  AND(D844&lt;0,E844&gt;0),"Slowdown",
  AND(D844&lt;0,E844&lt;0),"Contraction",
  AND(D844&gt;0,E844&lt;0),"Recovery",
  TRUE,"Undefined"
)</f>
        <v>Slowdown</v>
      </c>
      <c r="Q844" t="str">
        <f t="shared" si="127"/>
        <v>Expansion</v>
      </c>
      <c r="R844">
        <f t="shared" si="121"/>
        <v>1</v>
      </c>
      <c r="S844">
        <f t="shared" si="122"/>
        <v>1</v>
      </c>
      <c r="T844">
        <f t="shared" si="123"/>
        <v>1</v>
      </c>
      <c r="U844">
        <f t="shared" si="124"/>
        <v>1</v>
      </c>
      <c r="V844" t="str" cm="1">
        <f t="array" ref="V844">_xlfn.IFS(
  AND(S844&gt;0,U844&gt;0),"Expansion",
  AND(S844&lt;0,U844&gt;0),"Slowdown",
  AND(S844&lt;0,U844&lt;0),"Contraction",
  AND(S844&gt;0,U844&lt;0),"Recovery",
  TRUE,"Undefined"
)</f>
        <v>Expansion</v>
      </c>
      <c r="W844">
        <f t="shared" si="125"/>
        <v>0</v>
      </c>
      <c r="X844">
        <f t="shared" si="126"/>
        <v>0</v>
      </c>
      <c r="Y844">
        <v>0</v>
      </c>
    </row>
    <row r="845" spans="1:25" x14ac:dyDescent="0.35">
      <c r="A845" s="1">
        <f>Data!A845</f>
        <v>42826</v>
      </c>
      <c r="B845" s="2">
        <f>IFERROR((Data!B845/Data!B844-1)*100,"")</f>
        <v>0.12341528217407749</v>
      </c>
      <c r="C845" s="2">
        <f>IFERROR((Data!C845/Data!C844-1)*100,"")</f>
        <v>1.01874791064267</v>
      </c>
      <c r="D845">
        <f t="shared" si="119"/>
        <v>0.42572197422159341</v>
      </c>
      <c r="E845">
        <f t="shared" si="120"/>
        <v>7.8653618418700333E-2</v>
      </c>
      <c r="P845" t="str" cm="1">
        <f t="array" ref="P845">_xlfn.IFS(
  AND(D845&gt;0,E845&gt;0),"Expansion",
  AND(D845&lt;0,E845&gt;0),"Slowdown",
  AND(D845&lt;0,E845&lt;0),"Contraction",
  AND(D845&gt;0,E845&lt;0),"Recovery",
  TRUE,"Undefined"
)</f>
        <v>Expansion</v>
      </c>
      <c r="Q845" t="str">
        <f t="shared" si="127"/>
        <v>Expansion</v>
      </c>
      <c r="R845">
        <f t="shared" si="121"/>
        <v>1</v>
      </c>
      <c r="S845">
        <f t="shared" si="122"/>
        <v>1</v>
      </c>
      <c r="T845">
        <f t="shared" si="123"/>
        <v>1</v>
      </c>
      <c r="U845">
        <f t="shared" si="124"/>
        <v>1</v>
      </c>
      <c r="V845" t="str" cm="1">
        <f t="array" ref="V845">_xlfn.IFS(
  AND(S845&gt;0,U845&gt;0),"Expansion",
  AND(S845&lt;0,U845&gt;0),"Slowdown",
  AND(S845&lt;0,U845&lt;0),"Contraction",
  AND(S845&gt;0,U845&lt;0),"Recovery",
  TRUE,"Undefined"
)</f>
        <v>Expansion</v>
      </c>
      <c r="W845">
        <f t="shared" si="125"/>
        <v>0</v>
      </c>
      <c r="X845">
        <f t="shared" si="126"/>
        <v>0</v>
      </c>
      <c r="Y845">
        <v>0</v>
      </c>
    </row>
    <row r="846" spans="1:25" x14ac:dyDescent="0.35">
      <c r="A846" s="1">
        <f>Data!A846</f>
        <v>42856</v>
      </c>
      <c r="B846" s="2">
        <f>IFERROR((Data!B846/Data!B845-1)*100,"")</f>
        <v>-7.7397796005629349E-2</v>
      </c>
      <c r="C846" s="2">
        <f>IFERROR((Data!C846/Data!C845-1)*100,"")</f>
        <v>0.11837348433949568</v>
      </c>
      <c r="D846">
        <f t="shared" si="119"/>
        <v>0.59900442221714945</v>
      </c>
      <c r="E846">
        <f t="shared" si="120"/>
        <v>-2.3422548350119735E-4</v>
      </c>
      <c r="P846" t="str" cm="1">
        <f t="array" ref="P846">_xlfn.IFS(
  AND(D846&gt;0,E846&gt;0),"Expansion",
  AND(D846&lt;0,E846&gt;0),"Slowdown",
  AND(D846&lt;0,E846&lt;0),"Contraction",
  AND(D846&gt;0,E846&lt;0),"Recovery",
  TRUE,"Undefined"
)</f>
        <v>Recovery</v>
      </c>
      <c r="Q846" t="str">
        <f t="shared" si="127"/>
        <v>Expansion</v>
      </c>
      <c r="R846">
        <f t="shared" si="121"/>
        <v>1</v>
      </c>
      <c r="S846">
        <f t="shared" si="122"/>
        <v>1</v>
      </c>
      <c r="T846">
        <f t="shared" si="123"/>
        <v>-1</v>
      </c>
      <c r="U846">
        <f t="shared" si="124"/>
        <v>-1</v>
      </c>
      <c r="V846" t="str" cm="1">
        <f t="array" ref="V846">_xlfn.IFS(
  AND(S846&gt;0,U846&gt;0),"Expansion",
  AND(S846&lt;0,U846&gt;0),"Slowdown",
  AND(S846&lt;0,U846&lt;0),"Contraction",
  AND(S846&gt;0,U846&lt;0),"Recovery",
  TRUE,"Undefined"
)</f>
        <v>Recovery</v>
      </c>
      <c r="W846">
        <f t="shared" si="125"/>
        <v>0</v>
      </c>
      <c r="X846">
        <f t="shared" si="126"/>
        <v>0</v>
      </c>
      <c r="Y846">
        <v>0</v>
      </c>
    </row>
    <row r="847" spans="1:25" x14ac:dyDescent="0.35">
      <c r="A847" s="1">
        <f>Data!A847</f>
        <v>42887</v>
      </c>
      <c r="B847" s="2">
        <f>IFERROR((Data!B847/Data!B846-1)*100,"")</f>
        <v>6.5162866182522095E-2</v>
      </c>
      <c r="C847" s="2">
        <f>IFERROR((Data!C847/Data!C846-1)*100,"")</f>
        <v>0.20600993800727885</v>
      </c>
      <c r="D847">
        <f t="shared" si="119"/>
        <v>0.44771044432981483</v>
      </c>
      <c r="E847">
        <f t="shared" si="120"/>
        <v>3.7060117450323414E-2</v>
      </c>
      <c r="P847" t="str" cm="1">
        <f t="array" ref="P847">_xlfn.IFS(
  AND(D847&gt;0,E847&gt;0),"Expansion",
  AND(D847&lt;0,E847&gt;0),"Slowdown",
  AND(D847&lt;0,E847&lt;0),"Contraction",
  AND(D847&gt;0,E847&lt;0),"Recovery",
  TRUE,"Undefined"
)</f>
        <v>Expansion</v>
      </c>
      <c r="Q847" t="str">
        <f t="shared" si="127"/>
        <v>Expansion</v>
      </c>
      <c r="R847">
        <f t="shared" si="121"/>
        <v>1</v>
      </c>
      <c r="S847">
        <f t="shared" si="122"/>
        <v>1</v>
      </c>
      <c r="T847">
        <f t="shared" si="123"/>
        <v>1</v>
      </c>
      <c r="U847">
        <f t="shared" si="124"/>
        <v>1</v>
      </c>
      <c r="V847" t="str" cm="1">
        <f t="array" ref="V847">_xlfn.IFS(
  AND(S847&gt;0,U847&gt;0),"Expansion",
  AND(S847&lt;0,U847&gt;0),"Slowdown",
  AND(S847&lt;0,U847&lt;0),"Contraction",
  AND(S847&gt;0,U847&lt;0),"Recovery",
  TRUE,"Undefined"
)</f>
        <v>Expansion</v>
      </c>
      <c r="W847">
        <f t="shared" si="125"/>
        <v>0</v>
      </c>
      <c r="X847">
        <f t="shared" si="126"/>
        <v>0</v>
      </c>
      <c r="Y847">
        <v>0</v>
      </c>
    </row>
    <row r="848" spans="1:25" x14ac:dyDescent="0.35">
      <c r="A848" s="1">
        <f>Data!A848</f>
        <v>42917</v>
      </c>
      <c r="B848" s="2">
        <f>IFERROR((Data!B848/Data!B847-1)*100,"")</f>
        <v>3.2764997153544861E-2</v>
      </c>
      <c r="C848" s="2">
        <f>IFERROR((Data!C848/Data!C847-1)*100,"")</f>
        <v>-0.23946880378206137</v>
      </c>
      <c r="D848">
        <f t="shared" si="119"/>
        <v>2.8304872854904389E-2</v>
      </c>
      <c r="E848">
        <f t="shared" si="120"/>
        <v>6.8433557768125359E-3</v>
      </c>
      <c r="P848" t="str" cm="1">
        <f t="array" ref="P848">_xlfn.IFS(
  AND(D848&gt;0,E848&gt;0),"Expansion",
  AND(D848&lt;0,E848&gt;0),"Slowdown",
  AND(D848&lt;0,E848&lt;0),"Contraction",
  AND(D848&gt;0,E848&lt;0),"Recovery",
  TRUE,"Undefined"
)</f>
        <v>Expansion</v>
      </c>
      <c r="Q848" t="str">
        <f t="shared" si="127"/>
        <v>Expansion</v>
      </c>
      <c r="R848">
        <f t="shared" si="121"/>
        <v>1</v>
      </c>
      <c r="S848">
        <f t="shared" si="122"/>
        <v>1</v>
      </c>
      <c r="T848">
        <f t="shared" si="123"/>
        <v>1</v>
      </c>
      <c r="U848">
        <f t="shared" si="124"/>
        <v>1</v>
      </c>
      <c r="V848" t="str" cm="1">
        <f t="array" ref="V848">_xlfn.IFS(
  AND(S848&gt;0,U848&gt;0),"Expansion",
  AND(S848&lt;0,U848&gt;0),"Slowdown",
  AND(S848&lt;0,U848&lt;0),"Contraction",
  AND(S848&gt;0,U848&lt;0),"Recovery",
  TRUE,"Undefined"
)</f>
        <v>Expansion</v>
      </c>
      <c r="W848">
        <f t="shared" si="125"/>
        <v>0</v>
      </c>
      <c r="X848">
        <f t="shared" si="126"/>
        <v>0</v>
      </c>
      <c r="Y848">
        <v>0</v>
      </c>
    </row>
    <row r="849" spans="1:25" x14ac:dyDescent="0.35">
      <c r="A849" s="1">
        <f>Data!A849</f>
        <v>42948</v>
      </c>
      <c r="B849" s="2">
        <f>IFERROR((Data!B849/Data!B848-1)*100,"")</f>
        <v>0.38486261632881824</v>
      </c>
      <c r="C849" s="2">
        <f>IFERROR((Data!C849/Data!C848-1)*100,"")</f>
        <v>-0.41385799965637515</v>
      </c>
      <c r="D849">
        <f t="shared" si="119"/>
        <v>-0.14910562181038589</v>
      </c>
      <c r="E849">
        <f t="shared" si="120"/>
        <v>0.16093015988829507</v>
      </c>
      <c r="P849" t="str" cm="1">
        <f t="array" ref="P849">_xlfn.IFS(
  AND(D849&gt;0,E849&gt;0),"Expansion",
  AND(D849&lt;0,E849&gt;0),"Slowdown",
  AND(D849&lt;0,E849&lt;0),"Contraction",
  AND(D849&gt;0,E849&lt;0),"Recovery",
  TRUE,"Undefined"
)</f>
        <v>Slowdown</v>
      </c>
      <c r="Q849" t="str">
        <f t="shared" si="127"/>
        <v>Expansion</v>
      </c>
      <c r="R849">
        <f t="shared" si="121"/>
        <v>1</v>
      </c>
      <c r="S849">
        <f t="shared" si="122"/>
        <v>1</v>
      </c>
      <c r="T849">
        <f t="shared" si="123"/>
        <v>1</v>
      </c>
      <c r="U849">
        <f t="shared" si="124"/>
        <v>1</v>
      </c>
      <c r="V849" t="str" cm="1">
        <f t="array" ref="V849">_xlfn.IFS(
  AND(S849&gt;0,U849&gt;0),"Expansion",
  AND(S849&lt;0,U849&gt;0),"Slowdown",
  AND(S849&lt;0,U849&lt;0),"Contraction",
  AND(S849&gt;0,U849&lt;0),"Recovery",
  TRUE,"Undefined"
)</f>
        <v>Expansion</v>
      </c>
      <c r="W849">
        <f t="shared" si="125"/>
        <v>0</v>
      </c>
      <c r="X849">
        <f t="shared" si="126"/>
        <v>0</v>
      </c>
      <c r="Y849">
        <v>0</v>
      </c>
    </row>
    <row r="850" spans="1:25" x14ac:dyDescent="0.35">
      <c r="A850" s="1">
        <f>Data!A850</f>
        <v>42979</v>
      </c>
      <c r="B850" s="2">
        <f>IFERROR((Data!B850/Data!B849-1)*100,"")</f>
        <v>0.5106389920997767</v>
      </c>
      <c r="C850" s="2">
        <f>IFERROR((Data!C850/Data!C849-1)*100,"")</f>
        <v>0.10321739348497783</v>
      </c>
      <c r="D850">
        <f t="shared" si="119"/>
        <v>-0.18336980331781957</v>
      </c>
      <c r="E850">
        <f t="shared" si="120"/>
        <v>0.30942220186071329</v>
      </c>
      <c r="P850" t="str" cm="1">
        <f t="array" ref="P850">_xlfn.IFS(
  AND(D850&gt;0,E850&gt;0),"Expansion",
  AND(D850&lt;0,E850&gt;0),"Slowdown",
  AND(D850&lt;0,E850&lt;0),"Contraction",
  AND(D850&gt;0,E850&lt;0),"Recovery",
  TRUE,"Undefined"
)</f>
        <v>Slowdown</v>
      </c>
      <c r="Q850" t="str">
        <f t="shared" si="127"/>
        <v>Expansion</v>
      </c>
      <c r="R850">
        <f t="shared" si="121"/>
        <v>1</v>
      </c>
      <c r="S850">
        <f t="shared" si="122"/>
        <v>1</v>
      </c>
      <c r="T850">
        <f t="shared" si="123"/>
        <v>1</v>
      </c>
      <c r="U850">
        <f t="shared" si="124"/>
        <v>1</v>
      </c>
      <c r="V850" t="str" cm="1">
        <f t="array" ref="V850">_xlfn.IFS(
  AND(S850&gt;0,U850&gt;0),"Expansion",
  AND(S850&lt;0,U850&gt;0),"Slowdown",
  AND(S850&lt;0,U850&lt;0),"Contraction",
  AND(S850&gt;0,U850&lt;0),"Recovery",
  TRUE,"Undefined"
)</f>
        <v>Expansion</v>
      </c>
      <c r="W850">
        <f t="shared" si="125"/>
        <v>0</v>
      </c>
      <c r="X850">
        <f t="shared" si="126"/>
        <v>0</v>
      </c>
      <c r="Y850">
        <v>0</v>
      </c>
    </row>
    <row r="851" spans="1:25" x14ac:dyDescent="0.35">
      <c r="A851" s="1">
        <f>Data!A851</f>
        <v>43009</v>
      </c>
      <c r="B851" s="2">
        <f>IFERROR((Data!B851/Data!B850-1)*100,"")</f>
        <v>7.7505224501384085E-2</v>
      </c>
      <c r="C851" s="2">
        <f>IFERROR((Data!C851/Data!C850-1)*100,"")</f>
        <v>1.231820304342679</v>
      </c>
      <c r="D851">
        <f t="shared" si="119"/>
        <v>0.30705989939042722</v>
      </c>
      <c r="E851">
        <f t="shared" si="120"/>
        <v>0.32433561097665969</v>
      </c>
      <c r="P851" t="str" cm="1">
        <f t="array" ref="P851">_xlfn.IFS(
  AND(D851&gt;0,E851&gt;0),"Expansion",
  AND(D851&lt;0,E851&gt;0),"Slowdown",
  AND(D851&lt;0,E851&lt;0),"Contraction",
  AND(D851&gt;0,E851&lt;0),"Recovery",
  TRUE,"Undefined"
)</f>
        <v>Expansion</v>
      </c>
      <c r="Q851" t="str">
        <f t="shared" si="127"/>
        <v>Expansion</v>
      </c>
      <c r="R851">
        <f t="shared" si="121"/>
        <v>1</v>
      </c>
      <c r="S851">
        <f t="shared" si="122"/>
        <v>1</v>
      </c>
      <c r="T851">
        <f t="shared" si="123"/>
        <v>1</v>
      </c>
      <c r="U851">
        <f t="shared" si="124"/>
        <v>1</v>
      </c>
      <c r="V851" t="str" cm="1">
        <f t="array" ref="V851">_xlfn.IFS(
  AND(S851&gt;0,U851&gt;0),"Expansion",
  AND(S851&lt;0,U851&gt;0),"Slowdown",
  AND(S851&lt;0,U851&lt;0),"Contraction",
  AND(S851&gt;0,U851&lt;0),"Recovery",
  TRUE,"Undefined"
)</f>
        <v>Expansion</v>
      </c>
      <c r="W851">
        <f t="shared" si="125"/>
        <v>0</v>
      </c>
      <c r="X851">
        <f t="shared" si="126"/>
        <v>0</v>
      </c>
      <c r="Y851">
        <v>0</v>
      </c>
    </row>
    <row r="852" spans="1:25" x14ac:dyDescent="0.35">
      <c r="A852" s="1">
        <f>Data!A852</f>
        <v>43040</v>
      </c>
      <c r="B852" s="2">
        <f>IFERROR((Data!B852/Data!B851-1)*100,"")</f>
        <v>0.26680074282516841</v>
      </c>
      <c r="C852" s="2">
        <f>IFERROR((Data!C852/Data!C851-1)*100,"")</f>
        <v>0.23924842142566405</v>
      </c>
      <c r="D852">
        <f t="shared" si="119"/>
        <v>0.52476203975110691</v>
      </c>
      <c r="E852">
        <f t="shared" si="120"/>
        <v>0.28498165314210971</v>
      </c>
      <c r="P852" t="str" cm="1">
        <f t="array" ref="P852">_xlfn.IFS(
  AND(D852&gt;0,E852&gt;0),"Expansion",
  AND(D852&lt;0,E852&gt;0),"Slowdown",
  AND(D852&lt;0,E852&lt;0),"Contraction",
  AND(D852&gt;0,E852&lt;0),"Recovery",
  TRUE,"Undefined"
)</f>
        <v>Expansion</v>
      </c>
      <c r="Q852" t="str">
        <f t="shared" si="127"/>
        <v>Expansion</v>
      </c>
      <c r="R852">
        <f t="shared" si="121"/>
        <v>1</v>
      </c>
      <c r="S852">
        <f t="shared" si="122"/>
        <v>1</v>
      </c>
      <c r="T852">
        <f t="shared" si="123"/>
        <v>1</v>
      </c>
      <c r="U852">
        <f t="shared" si="124"/>
        <v>1</v>
      </c>
      <c r="V852" t="str" cm="1">
        <f t="array" ref="V852">_xlfn.IFS(
  AND(S852&gt;0,U852&gt;0),"Expansion",
  AND(S852&lt;0,U852&gt;0),"Slowdown",
  AND(S852&lt;0,U852&lt;0),"Contraction",
  AND(S852&gt;0,U852&lt;0),"Recovery",
  TRUE,"Undefined"
)</f>
        <v>Expansion</v>
      </c>
      <c r="W852">
        <f t="shared" si="125"/>
        <v>0</v>
      </c>
      <c r="X852">
        <f t="shared" si="126"/>
        <v>0</v>
      </c>
      <c r="Y852">
        <v>0</v>
      </c>
    </row>
    <row r="853" spans="1:25" x14ac:dyDescent="0.35">
      <c r="A853" s="1">
        <f>Data!A853</f>
        <v>43070</v>
      </c>
      <c r="B853" s="2">
        <f>IFERROR((Data!B853/Data!B852-1)*100,"")</f>
        <v>0.21068892447551058</v>
      </c>
      <c r="C853" s="2">
        <f>IFERROR((Data!C853/Data!C852-1)*100,"")</f>
        <v>0.19552388551384858</v>
      </c>
      <c r="D853">
        <f t="shared" si="119"/>
        <v>0.55553087042739724</v>
      </c>
      <c r="E853">
        <f t="shared" si="120"/>
        <v>0.18499829726735437</v>
      </c>
      <c r="P853" t="str" cm="1">
        <f t="array" ref="P853">_xlfn.IFS(
  AND(D853&gt;0,E853&gt;0),"Expansion",
  AND(D853&lt;0,E853&gt;0),"Slowdown",
  AND(D853&lt;0,E853&lt;0),"Contraction",
  AND(D853&gt;0,E853&lt;0),"Recovery",
  TRUE,"Undefined"
)</f>
        <v>Expansion</v>
      </c>
      <c r="Q853" t="str">
        <f t="shared" si="127"/>
        <v>Expansion</v>
      </c>
      <c r="R853">
        <f t="shared" si="121"/>
        <v>1</v>
      </c>
      <c r="S853">
        <f t="shared" si="122"/>
        <v>1</v>
      </c>
      <c r="T853">
        <f t="shared" si="123"/>
        <v>1</v>
      </c>
      <c r="U853">
        <f t="shared" si="124"/>
        <v>1</v>
      </c>
      <c r="V853" t="str" cm="1">
        <f t="array" ref="V853">_xlfn.IFS(
  AND(S853&gt;0,U853&gt;0),"Expansion",
  AND(S853&lt;0,U853&gt;0),"Slowdown",
  AND(S853&lt;0,U853&lt;0),"Contraction",
  AND(S853&gt;0,U853&lt;0),"Recovery",
  TRUE,"Undefined"
)</f>
        <v>Expansion</v>
      </c>
      <c r="W853">
        <f t="shared" si="125"/>
        <v>0</v>
      </c>
      <c r="X853">
        <f t="shared" si="126"/>
        <v>0</v>
      </c>
      <c r="Y853">
        <v>0</v>
      </c>
    </row>
    <row r="854" spans="1:25" x14ac:dyDescent="0.35">
      <c r="A854" s="1">
        <f>Data!A854</f>
        <v>43101</v>
      </c>
      <c r="B854" s="2">
        <f>IFERROR((Data!B854/Data!B853-1)*100,"")</f>
        <v>0.42533443635115464</v>
      </c>
      <c r="C854" s="2">
        <f>IFERROR((Data!C854/Data!C853-1)*100,"")</f>
        <v>-1.8725779682204902E-3</v>
      </c>
      <c r="D854">
        <f t="shared" si="119"/>
        <v>0.14429990965709738</v>
      </c>
      <c r="E854">
        <f t="shared" si="120"/>
        <v>0.30094136788394454</v>
      </c>
      <c r="P854" t="str" cm="1">
        <f t="array" ref="P854">_xlfn.IFS(
  AND(D854&gt;0,E854&gt;0),"Expansion",
  AND(D854&lt;0,E854&gt;0),"Slowdown",
  AND(D854&lt;0,E854&lt;0),"Contraction",
  AND(D854&gt;0,E854&lt;0),"Recovery",
  TRUE,"Undefined"
)</f>
        <v>Expansion</v>
      </c>
      <c r="Q854" t="str">
        <f t="shared" si="127"/>
        <v>Expansion</v>
      </c>
      <c r="R854">
        <f t="shared" si="121"/>
        <v>1</v>
      </c>
      <c r="S854">
        <f t="shared" si="122"/>
        <v>1</v>
      </c>
      <c r="T854">
        <f t="shared" si="123"/>
        <v>1</v>
      </c>
      <c r="U854">
        <f t="shared" si="124"/>
        <v>1</v>
      </c>
      <c r="V854" t="str" cm="1">
        <f t="array" ref="V854">_xlfn.IFS(
  AND(S854&gt;0,U854&gt;0),"Expansion",
  AND(S854&lt;0,U854&gt;0),"Slowdown",
  AND(S854&lt;0,U854&lt;0),"Contraction",
  AND(S854&gt;0,U854&lt;0),"Recovery",
  TRUE,"Undefined"
)</f>
        <v>Expansion</v>
      </c>
      <c r="W854">
        <f t="shared" si="125"/>
        <v>0</v>
      </c>
      <c r="X854">
        <f t="shared" si="126"/>
        <v>0</v>
      </c>
      <c r="Y854">
        <v>0</v>
      </c>
    </row>
    <row r="855" spans="1:25" x14ac:dyDescent="0.35">
      <c r="A855" s="1">
        <f>Data!A855</f>
        <v>43132</v>
      </c>
      <c r="B855" s="2">
        <f>IFERROR((Data!B855/Data!B854-1)*100,"")</f>
        <v>0.26922876006090224</v>
      </c>
      <c r="C855" s="2">
        <f>IFERROR((Data!C855/Data!C854-1)*100,"")</f>
        <v>0.24245410866083894</v>
      </c>
      <c r="D855">
        <f t="shared" si="119"/>
        <v>0.14536847206882234</v>
      </c>
      <c r="E855">
        <f t="shared" si="120"/>
        <v>0.30175070696252249</v>
      </c>
      <c r="P855" t="str" cm="1">
        <f t="array" ref="P855">_xlfn.IFS(
  AND(D855&gt;0,E855&gt;0),"Expansion",
  AND(D855&lt;0,E855&gt;0),"Slowdown",
  AND(D855&lt;0,E855&lt;0),"Contraction",
  AND(D855&gt;0,E855&lt;0),"Recovery",
  TRUE,"Undefined"
)</f>
        <v>Expansion</v>
      </c>
      <c r="Q855" t="str">
        <f t="shared" si="127"/>
        <v>Expansion</v>
      </c>
      <c r="R855">
        <f t="shared" si="121"/>
        <v>1</v>
      </c>
      <c r="S855">
        <f t="shared" si="122"/>
        <v>1</v>
      </c>
      <c r="T855">
        <f t="shared" si="123"/>
        <v>1</v>
      </c>
      <c r="U855">
        <f t="shared" si="124"/>
        <v>1</v>
      </c>
      <c r="V855" t="str" cm="1">
        <f t="array" ref="V855">_xlfn.IFS(
  AND(S855&gt;0,U855&gt;0),"Expansion",
  AND(S855&lt;0,U855&gt;0),"Slowdown",
  AND(S855&lt;0,U855&lt;0),"Contraction",
  AND(S855&gt;0,U855&lt;0),"Recovery",
  TRUE,"Undefined"
)</f>
        <v>Expansion</v>
      </c>
      <c r="W855">
        <f t="shared" si="125"/>
        <v>0</v>
      </c>
      <c r="X855">
        <f t="shared" si="126"/>
        <v>0</v>
      </c>
      <c r="Y855">
        <v>0</v>
      </c>
    </row>
    <row r="856" spans="1:25" x14ac:dyDescent="0.35">
      <c r="A856" s="1">
        <f>Data!A856</f>
        <v>43160</v>
      </c>
      <c r="B856" s="2">
        <f>IFERROR((Data!B856/Data!B855-1)*100,"")</f>
        <v>1.9236241078202099E-2</v>
      </c>
      <c r="C856" s="2">
        <f>IFERROR((Data!C856/Data!C855-1)*100,"")</f>
        <v>0.48983123337773549</v>
      </c>
      <c r="D856">
        <f t="shared" si="119"/>
        <v>0.24347092135678464</v>
      </c>
      <c r="E856">
        <f t="shared" si="120"/>
        <v>0.23793314583008632</v>
      </c>
      <c r="P856" t="str" cm="1">
        <f t="array" ref="P856">_xlfn.IFS(
  AND(D856&gt;0,E856&gt;0),"Expansion",
  AND(D856&lt;0,E856&gt;0),"Slowdown",
  AND(D856&lt;0,E856&lt;0),"Contraction",
  AND(D856&gt;0,E856&lt;0),"Recovery",
  TRUE,"Undefined"
)</f>
        <v>Expansion</v>
      </c>
      <c r="Q856" t="str">
        <f t="shared" si="127"/>
        <v>Expansion</v>
      </c>
      <c r="R856">
        <f t="shared" si="121"/>
        <v>1</v>
      </c>
      <c r="S856">
        <f t="shared" si="122"/>
        <v>1</v>
      </c>
      <c r="T856">
        <f t="shared" si="123"/>
        <v>1</v>
      </c>
      <c r="U856">
        <f t="shared" si="124"/>
        <v>1</v>
      </c>
      <c r="V856" t="str" cm="1">
        <f t="array" ref="V856">_xlfn.IFS(
  AND(S856&gt;0,U856&gt;0),"Expansion",
  AND(S856&lt;0,U856&gt;0),"Slowdown",
  AND(S856&lt;0,U856&lt;0),"Contraction",
  AND(S856&gt;0,U856&lt;0),"Recovery",
  TRUE,"Undefined"
)</f>
        <v>Expansion</v>
      </c>
      <c r="W856">
        <f t="shared" si="125"/>
        <v>0</v>
      </c>
      <c r="X856">
        <f t="shared" si="126"/>
        <v>0</v>
      </c>
      <c r="Y856">
        <v>0</v>
      </c>
    </row>
    <row r="857" spans="1:25" x14ac:dyDescent="0.35">
      <c r="A857" s="1">
        <f>Data!A857</f>
        <v>43191</v>
      </c>
      <c r="B857" s="2">
        <f>IFERROR((Data!B857/Data!B856-1)*100,"")</f>
        <v>0.26044066560619861</v>
      </c>
      <c r="C857" s="2">
        <f>IFERROR((Data!C857/Data!C856-1)*100,"")</f>
        <v>1.1018847101021745</v>
      </c>
      <c r="D857">
        <f t="shared" si="119"/>
        <v>0.61139001738024967</v>
      </c>
      <c r="E857">
        <f t="shared" si="120"/>
        <v>0.18296855558176764</v>
      </c>
      <c r="P857" t="str" cm="1">
        <f t="array" ref="P857">_xlfn.IFS(
  AND(D857&gt;0,E857&gt;0),"Expansion",
  AND(D857&lt;0,E857&gt;0),"Slowdown",
  AND(D857&lt;0,E857&lt;0),"Contraction",
  AND(D857&gt;0,E857&lt;0),"Recovery",
  TRUE,"Undefined"
)</f>
        <v>Expansion</v>
      </c>
      <c r="Q857" t="str">
        <f t="shared" si="127"/>
        <v>Expansion</v>
      </c>
      <c r="R857">
        <f t="shared" si="121"/>
        <v>1</v>
      </c>
      <c r="S857">
        <f t="shared" si="122"/>
        <v>1</v>
      </c>
      <c r="T857">
        <f t="shared" si="123"/>
        <v>1</v>
      </c>
      <c r="U857">
        <f t="shared" si="124"/>
        <v>1</v>
      </c>
      <c r="V857" t="str" cm="1">
        <f t="array" ref="V857">_xlfn.IFS(
  AND(S857&gt;0,U857&gt;0),"Expansion",
  AND(S857&lt;0,U857&gt;0),"Slowdown",
  AND(S857&lt;0,U857&lt;0),"Contraction",
  AND(S857&gt;0,U857&lt;0),"Recovery",
  TRUE,"Undefined"
)</f>
        <v>Expansion</v>
      </c>
      <c r="W857">
        <f t="shared" si="125"/>
        <v>0</v>
      </c>
      <c r="X857">
        <f t="shared" si="126"/>
        <v>0</v>
      </c>
      <c r="Y857">
        <v>0</v>
      </c>
    </row>
    <row r="858" spans="1:25" x14ac:dyDescent="0.35">
      <c r="A858" s="1">
        <f>Data!A858</f>
        <v>43221</v>
      </c>
      <c r="B858" s="2">
        <f>IFERROR((Data!B858/Data!B857-1)*100,"")</f>
        <v>0.22579497815982119</v>
      </c>
      <c r="C858" s="2">
        <f>IFERROR((Data!C858/Data!C857-1)*100,"")</f>
        <v>-0.90048764720626062</v>
      </c>
      <c r="D858">
        <f t="shared" si="119"/>
        <v>0.23040943209121645</v>
      </c>
      <c r="E858">
        <f t="shared" si="120"/>
        <v>0.16849062828140729</v>
      </c>
      <c r="P858" t="str" cm="1">
        <f t="array" ref="P858">_xlfn.IFS(
  AND(D858&gt;0,E858&gt;0),"Expansion",
  AND(D858&lt;0,E858&gt;0),"Slowdown",
  AND(D858&lt;0,E858&lt;0),"Contraction",
  AND(D858&gt;0,E858&lt;0),"Recovery",
  TRUE,"Undefined"
)</f>
        <v>Expansion</v>
      </c>
      <c r="Q858" t="str">
        <f t="shared" si="127"/>
        <v>Expansion</v>
      </c>
      <c r="R858">
        <f t="shared" si="121"/>
        <v>1</v>
      </c>
      <c r="S858">
        <f t="shared" si="122"/>
        <v>1</v>
      </c>
      <c r="T858">
        <f t="shared" si="123"/>
        <v>1</v>
      </c>
      <c r="U858">
        <f t="shared" si="124"/>
        <v>1</v>
      </c>
      <c r="V858" t="str" cm="1">
        <f t="array" ref="V858">_xlfn.IFS(
  AND(S858&gt;0,U858&gt;0),"Expansion",
  AND(S858&lt;0,U858&gt;0),"Slowdown",
  AND(S858&lt;0,U858&lt;0),"Contraction",
  AND(S858&gt;0,U858&lt;0),"Recovery",
  TRUE,"Undefined"
)</f>
        <v>Expansion</v>
      </c>
      <c r="W858">
        <f t="shared" si="125"/>
        <v>0</v>
      </c>
      <c r="X858">
        <f t="shared" si="126"/>
        <v>0</v>
      </c>
      <c r="Y858">
        <v>0</v>
      </c>
    </row>
    <row r="859" spans="1:25" x14ac:dyDescent="0.35">
      <c r="A859" s="1">
        <f>Data!A859</f>
        <v>43252</v>
      </c>
      <c r="B859" s="2">
        <f>IFERROR((Data!B859/Data!B858-1)*100,"")</f>
        <v>9.0114517209483047E-2</v>
      </c>
      <c r="C859" s="2">
        <f>IFERROR((Data!C859/Data!C858-1)*100,"")</f>
        <v>0.77693491558790129</v>
      </c>
      <c r="D859">
        <f t="shared" si="119"/>
        <v>0.32611065949460505</v>
      </c>
      <c r="E859">
        <f t="shared" si="120"/>
        <v>0.19211672032516761</v>
      </c>
      <c r="P859" t="str" cm="1">
        <f t="array" ref="P859">_xlfn.IFS(
  AND(D859&gt;0,E859&gt;0),"Expansion",
  AND(D859&lt;0,E859&gt;0),"Slowdown",
  AND(D859&lt;0,E859&lt;0),"Contraction",
  AND(D859&gt;0,E859&lt;0),"Recovery",
  TRUE,"Undefined"
)</f>
        <v>Expansion</v>
      </c>
      <c r="Q859" t="str">
        <f t="shared" si="127"/>
        <v>Expansion</v>
      </c>
      <c r="R859">
        <f t="shared" si="121"/>
        <v>1</v>
      </c>
      <c r="S859">
        <f t="shared" si="122"/>
        <v>1</v>
      </c>
      <c r="T859">
        <f t="shared" si="123"/>
        <v>1</v>
      </c>
      <c r="U859">
        <f t="shared" si="124"/>
        <v>1</v>
      </c>
      <c r="V859" t="str" cm="1">
        <f t="array" ref="V859">_xlfn.IFS(
  AND(S859&gt;0,U859&gt;0),"Expansion",
  AND(S859&lt;0,U859&gt;0),"Slowdown",
  AND(S859&lt;0,U859&lt;0),"Contraction",
  AND(S859&gt;0,U859&lt;0),"Recovery",
  TRUE,"Undefined"
)</f>
        <v>Expansion</v>
      </c>
      <c r="W859">
        <f t="shared" si="125"/>
        <v>0</v>
      </c>
      <c r="X859">
        <f t="shared" si="126"/>
        <v>0</v>
      </c>
      <c r="Y859">
        <v>0</v>
      </c>
    </row>
    <row r="860" spans="1:25" x14ac:dyDescent="0.35">
      <c r="A860" s="1">
        <f>Data!A860</f>
        <v>43282</v>
      </c>
      <c r="B860" s="2">
        <f>IFERROR((Data!B860/Data!B859-1)*100,"")</f>
        <v>7.8082049892835848E-2</v>
      </c>
      <c r="C860" s="2">
        <f>IFERROR((Data!C860/Data!C859-1)*100,"")</f>
        <v>0.16143723715575931</v>
      </c>
      <c r="D860">
        <f t="shared" si="119"/>
        <v>1.2628168512466656E-2</v>
      </c>
      <c r="E860">
        <f t="shared" si="120"/>
        <v>0.13133051508738003</v>
      </c>
      <c r="P860" t="str" cm="1">
        <f t="array" ref="P860">_xlfn.IFS(
  AND(D860&gt;0,E860&gt;0),"Expansion",
  AND(D860&lt;0,E860&gt;0),"Slowdown",
  AND(D860&lt;0,E860&lt;0),"Contraction",
  AND(D860&gt;0,E860&lt;0),"Recovery",
  TRUE,"Undefined"
)</f>
        <v>Expansion</v>
      </c>
      <c r="Q860" t="str">
        <f t="shared" si="127"/>
        <v>Expansion</v>
      </c>
      <c r="R860">
        <f t="shared" si="121"/>
        <v>1</v>
      </c>
      <c r="S860">
        <f t="shared" si="122"/>
        <v>1</v>
      </c>
      <c r="T860">
        <f t="shared" si="123"/>
        <v>1</v>
      </c>
      <c r="U860">
        <f t="shared" si="124"/>
        <v>1</v>
      </c>
      <c r="V860" t="str" cm="1">
        <f t="array" ref="V860">_xlfn.IFS(
  AND(S860&gt;0,U860&gt;0),"Expansion",
  AND(S860&lt;0,U860&gt;0),"Slowdown",
  AND(S860&lt;0,U860&lt;0),"Contraction",
  AND(S860&gt;0,U860&lt;0),"Recovery",
  TRUE,"Undefined"
)</f>
        <v>Expansion</v>
      </c>
      <c r="W860">
        <f t="shared" si="125"/>
        <v>0</v>
      </c>
      <c r="X860">
        <f t="shared" si="126"/>
        <v>0</v>
      </c>
      <c r="Y860">
        <v>0</v>
      </c>
    </row>
    <row r="861" spans="1:25" x14ac:dyDescent="0.35">
      <c r="A861" s="1">
        <f>Data!A861</f>
        <v>43313</v>
      </c>
      <c r="B861" s="2">
        <f>IFERROR((Data!B861/Data!B860-1)*100,"")</f>
        <v>0.17873207703393845</v>
      </c>
      <c r="C861" s="2">
        <f>IFERROR((Data!C861/Data!C860-1)*100,"")</f>
        <v>0.64635281324554317</v>
      </c>
      <c r="D861">
        <f t="shared" si="119"/>
        <v>0.52824165532973455</v>
      </c>
      <c r="E861">
        <f t="shared" si="120"/>
        <v>0.11564288137875245</v>
      </c>
      <c r="P861" t="str" cm="1">
        <f t="array" ref="P861">_xlfn.IFS(
  AND(D861&gt;0,E861&gt;0),"Expansion",
  AND(D861&lt;0,E861&gt;0),"Slowdown",
  AND(D861&lt;0,E861&lt;0),"Contraction",
  AND(D861&gt;0,E861&lt;0),"Recovery",
  TRUE,"Undefined"
)</f>
        <v>Expansion</v>
      </c>
      <c r="Q861" t="str">
        <f t="shared" si="127"/>
        <v>Expansion</v>
      </c>
      <c r="R861">
        <f t="shared" si="121"/>
        <v>1</v>
      </c>
      <c r="S861">
        <f t="shared" si="122"/>
        <v>1</v>
      </c>
      <c r="T861">
        <f t="shared" si="123"/>
        <v>1</v>
      </c>
      <c r="U861">
        <f t="shared" si="124"/>
        <v>1</v>
      </c>
      <c r="V861" t="str" cm="1">
        <f t="array" ref="V861">_xlfn.IFS(
  AND(S861&gt;0,U861&gt;0),"Expansion",
  AND(S861&lt;0,U861&gt;0),"Slowdown",
  AND(S861&lt;0,U861&lt;0),"Contraction",
  AND(S861&gt;0,U861&lt;0),"Recovery",
  TRUE,"Undefined"
)</f>
        <v>Expansion</v>
      </c>
      <c r="W861">
        <f t="shared" si="125"/>
        <v>0</v>
      </c>
      <c r="X861">
        <f t="shared" si="126"/>
        <v>0</v>
      </c>
      <c r="Y861">
        <v>0</v>
      </c>
    </row>
    <row r="862" spans="1:25" x14ac:dyDescent="0.35">
      <c r="A862" s="1">
        <f>Data!A862</f>
        <v>43344</v>
      </c>
      <c r="B862" s="2">
        <f>IFERROR((Data!B862/Data!B861-1)*100,"")</f>
        <v>0.20622817021174189</v>
      </c>
      <c r="C862" s="2">
        <f>IFERROR((Data!C862/Data!C861-1)*100,"")</f>
        <v>6.5075692546656683E-2</v>
      </c>
      <c r="D862">
        <f t="shared" si="119"/>
        <v>0.29095524764931974</v>
      </c>
      <c r="E862">
        <f t="shared" si="120"/>
        <v>0.15434743237950541</v>
      </c>
      <c r="P862" t="str" cm="1">
        <f t="array" ref="P862">_xlfn.IFS(
  AND(D862&gt;0,E862&gt;0),"Expansion",
  AND(D862&lt;0,E862&gt;0),"Slowdown",
  AND(D862&lt;0,E862&lt;0),"Contraction",
  AND(D862&gt;0,E862&lt;0),"Recovery",
  TRUE,"Undefined"
)</f>
        <v>Expansion</v>
      </c>
      <c r="Q862" t="str">
        <f t="shared" si="127"/>
        <v>Expansion</v>
      </c>
      <c r="R862">
        <f t="shared" si="121"/>
        <v>1</v>
      </c>
      <c r="S862">
        <f t="shared" si="122"/>
        <v>1</v>
      </c>
      <c r="T862">
        <f t="shared" si="123"/>
        <v>1</v>
      </c>
      <c r="U862">
        <f t="shared" si="124"/>
        <v>1</v>
      </c>
      <c r="V862" t="str" cm="1">
        <f t="array" ref="V862">_xlfn.IFS(
  AND(S862&gt;0,U862&gt;0),"Expansion",
  AND(S862&lt;0,U862&gt;0),"Slowdown",
  AND(S862&lt;0,U862&lt;0),"Contraction",
  AND(S862&gt;0,U862&lt;0),"Recovery",
  TRUE,"Undefined"
)</f>
        <v>Expansion</v>
      </c>
      <c r="W862">
        <f t="shared" si="125"/>
        <v>0</v>
      </c>
      <c r="X862">
        <f t="shared" si="126"/>
        <v>0</v>
      </c>
      <c r="Y862">
        <v>0</v>
      </c>
    </row>
    <row r="863" spans="1:25" x14ac:dyDescent="0.35">
      <c r="A863" s="1">
        <f>Data!A863</f>
        <v>43374</v>
      </c>
      <c r="B863" s="2">
        <f>IFERROR((Data!B863/Data!B862-1)*100,"")</f>
        <v>0.23395801444987541</v>
      </c>
      <c r="C863" s="2">
        <f>IFERROR((Data!C863/Data!C862-1)*100,"")</f>
        <v>-0.11027815455079137</v>
      </c>
      <c r="D863">
        <f t="shared" si="119"/>
        <v>0.20038345041380282</v>
      </c>
      <c r="E863">
        <f t="shared" si="120"/>
        <v>0.20630608723185193</v>
      </c>
      <c r="P863" t="str" cm="1">
        <f t="array" ref="P863">_xlfn.IFS(
  AND(D863&gt;0,E863&gt;0),"Expansion",
  AND(D863&lt;0,E863&gt;0),"Slowdown",
  AND(D863&lt;0,E863&lt;0),"Contraction",
  AND(D863&gt;0,E863&lt;0),"Recovery",
  TRUE,"Undefined"
)</f>
        <v>Expansion</v>
      </c>
      <c r="Q863" t="str">
        <f t="shared" si="127"/>
        <v>Expansion</v>
      </c>
      <c r="R863">
        <f t="shared" si="121"/>
        <v>1</v>
      </c>
      <c r="S863">
        <f t="shared" si="122"/>
        <v>1</v>
      </c>
      <c r="T863">
        <f t="shared" si="123"/>
        <v>1</v>
      </c>
      <c r="U863">
        <f t="shared" si="124"/>
        <v>1</v>
      </c>
      <c r="V863" t="str" cm="1">
        <f t="array" ref="V863">_xlfn.IFS(
  AND(S863&gt;0,U863&gt;0),"Expansion",
  AND(S863&lt;0,U863&gt;0),"Slowdown",
  AND(S863&lt;0,U863&lt;0),"Contraction",
  AND(S863&gt;0,U863&lt;0),"Recovery",
  TRUE,"Undefined"
)</f>
        <v>Expansion</v>
      </c>
      <c r="W863">
        <f t="shared" si="125"/>
        <v>0</v>
      </c>
      <c r="X863">
        <f t="shared" si="126"/>
        <v>0</v>
      </c>
      <c r="Y863">
        <v>0</v>
      </c>
    </row>
    <row r="864" spans="1:25" x14ac:dyDescent="0.35">
      <c r="A864" s="1">
        <f>Data!A864</f>
        <v>43405</v>
      </c>
      <c r="B864" s="2">
        <f>IFERROR((Data!B864/Data!B863-1)*100,"")</f>
        <v>-7.0419191999115949E-2</v>
      </c>
      <c r="C864" s="2">
        <f>IFERROR((Data!C864/Data!C863-1)*100,"")</f>
        <v>7.93379083257717E-2</v>
      </c>
      <c r="D864">
        <f t="shared" si="119"/>
        <v>1.1378482107212337E-2</v>
      </c>
      <c r="E864">
        <f t="shared" si="120"/>
        <v>0.12325566422083378</v>
      </c>
      <c r="P864" t="str" cm="1">
        <f t="array" ref="P864">_xlfn.IFS(
  AND(D864&gt;0,E864&gt;0),"Expansion",
  AND(D864&lt;0,E864&gt;0),"Slowdown",
  AND(D864&lt;0,E864&lt;0),"Contraction",
  AND(D864&gt;0,E864&lt;0),"Recovery",
  TRUE,"Undefined"
)</f>
        <v>Expansion</v>
      </c>
      <c r="Q864" t="str">
        <f t="shared" si="127"/>
        <v>Expansion</v>
      </c>
      <c r="R864">
        <f t="shared" si="121"/>
        <v>1</v>
      </c>
      <c r="S864">
        <f t="shared" si="122"/>
        <v>1</v>
      </c>
      <c r="T864">
        <f t="shared" si="123"/>
        <v>1</v>
      </c>
      <c r="U864">
        <f t="shared" si="124"/>
        <v>1</v>
      </c>
      <c r="V864" t="str" cm="1">
        <f t="array" ref="V864">_xlfn.IFS(
  AND(S864&gt;0,U864&gt;0),"Expansion",
  AND(S864&lt;0,U864&gt;0),"Slowdown",
  AND(S864&lt;0,U864&lt;0),"Contraction",
  AND(S864&gt;0,U864&lt;0),"Recovery",
  TRUE,"Undefined"
)</f>
        <v>Expansion</v>
      </c>
      <c r="W864">
        <f t="shared" si="125"/>
        <v>0</v>
      </c>
      <c r="X864">
        <f t="shared" si="126"/>
        <v>0</v>
      </c>
      <c r="Y864">
        <v>0</v>
      </c>
    </row>
    <row r="865" spans="1:25" x14ac:dyDescent="0.35">
      <c r="A865" s="1">
        <f>Data!A865</f>
        <v>43435</v>
      </c>
      <c r="B865" s="2">
        <f>IFERROR((Data!B865/Data!B864-1)*100,"")</f>
        <v>6.8489354458134422E-2</v>
      </c>
      <c r="C865" s="2">
        <f>IFERROR((Data!C865/Data!C864-1)*100,"")</f>
        <v>2.4503185894619861E-2</v>
      </c>
      <c r="D865">
        <f t="shared" si="119"/>
        <v>-2.1456867767999377E-3</v>
      </c>
      <c r="E865">
        <f t="shared" si="120"/>
        <v>7.734272563629796E-2</v>
      </c>
      <c r="P865" t="str" cm="1">
        <f t="array" ref="P865">_xlfn.IFS(
  AND(D865&gt;0,E865&gt;0),"Expansion",
  AND(D865&lt;0,E865&gt;0),"Slowdown",
  AND(D865&lt;0,E865&lt;0),"Contraction",
  AND(D865&gt;0,E865&lt;0),"Recovery",
  TRUE,"Undefined"
)</f>
        <v>Slowdown</v>
      </c>
      <c r="Q865" t="str">
        <f t="shared" si="127"/>
        <v>Expansion</v>
      </c>
      <c r="R865">
        <f t="shared" si="121"/>
        <v>1</v>
      </c>
      <c r="S865">
        <f t="shared" si="122"/>
        <v>1</v>
      </c>
      <c r="T865">
        <f t="shared" si="123"/>
        <v>1</v>
      </c>
      <c r="U865">
        <f t="shared" si="124"/>
        <v>1</v>
      </c>
      <c r="V865" t="str" cm="1">
        <f t="array" ref="V865">_xlfn.IFS(
  AND(S865&gt;0,U865&gt;0),"Expansion",
  AND(S865&lt;0,U865&gt;0),"Slowdown",
  AND(S865&lt;0,U865&lt;0),"Contraction",
  AND(S865&gt;0,U865&lt;0),"Recovery",
  TRUE,"Undefined"
)</f>
        <v>Expansion</v>
      </c>
      <c r="W865">
        <f t="shared" si="125"/>
        <v>0</v>
      </c>
      <c r="X865">
        <f t="shared" si="126"/>
        <v>0</v>
      </c>
      <c r="Y865">
        <v>0</v>
      </c>
    </row>
    <row r="866" spans="1:25" x14ac:dyDescent="0.35">
      <c r="A866" s="1">
        <f>Data!A866</f>
        <v>43466</v>
      </c>
      <c r="B866" s="2">
        <f>IFERROR((Data!B866/Data!B865-1)*100,"")</f>
        <v>-8.1497980353439914E-2</v>
      </c>
      <c r="C866" s="2">
        <f>IFERROR((Data!C866/Data!C865-1)*100,"")</f>
        <v>-0.66430597078013243</v>
      </c>
      <c r="D866">
        <f t="shared" si="119"/>
        <v>-0.18682162551991363</v>
      </c>
      <c r="E866">
        <f t="shared" si="120"/>
        <v>-2.7809272631473814E-2</v>
      </c>
      <c r="P866" t="str" cm="1">
        <f t="array" ref="P866">_xlfn.IFS(
  AND(D866&gt;0,E866&gt;0),"Expansion",
  AND(D866&lt;0,E866&gt;0),"Slowdown",
  AND(D866&lt;0,E866&lt;0),"Contraction",
  AND(D866&gt;0,E866&lt;0),"Recovery",
  TRUE,"Undefined"
)</f>
        <v>Contraction</v>
      </c>
      <c r="Q866" t="str">
        <f t="shared" si="127"/>
        <v>Expansion</v>
      </c>
      <c r="R866">
        <f t="shared" si="121"/>
        <v>1</v>
      </c>
      <c r="S866">
        <f t="shared" si="122"/>
        <v>1</v>
      </c>
      <c r="T866">
        <f t="shared" si="123"/>
        <v>-1</v>
      </c>
      <c r="U866">
        <f t="shared" si="124"/>
        <v>-1</v>
      </c>
      <c r="V866" t="str" cm="1">
        <f t="array" ref="V866">_xlfn.IFS(
  AND(S866&gt;0,U866&gt;0),"Expansion",
  AND(S866&lt;0,U866&gt;0),"Slowdown",
  AND(S866&lt;0,U866&lt;0),"Contraction",
  AND(S866&gt;0,U866&lt;0),"Recovery",
  TRUE,"Undefined"
)</f>
        <v>Recovery</v>
      </c>
      <c r="W866">
        <f t="shared" si="125"/>
        <v>0</v>
      </c>
      <c r="X866">
        <f t="shared" si="126"/>
        <v>0</v>
      </c>
      <c r="Y866">
        <v>0</v>
      </c>
    </row>
    <row r="867" spans="1:25" x14ac:dyDescent="0.35">
      <c r="A867" s="1">
        <f>Data!A867</f>
        <v>43497</v>
      </c>
      <c r="B867" s="2">
        <f>IFERROR((Data!B867/Data!B866-1)*100,"")</f>
        <v>0.3001255142321968</v>
      </c>
      <c r="C867" s="2">
        <f>IFERROR((Data!C867/Data!C866-1)*100,"")</f>
        <v>-0.54641056612969585</v>
      </c>
      <c r="D867">
        <f t="shared" si="119"/>
        <v>-0.39540445033840282</v>
      </c>
      <c r="E867">
        <f t="shared" si="120"/>
        <v>9.5705629445630436E-2</v>
      </c>
      <c r="P867" t="str" cm="1">
        <f t="array" ref="P867">_xlfn.IFS(
  AND(D867&gt;0,E867&gt;0),"Expansion",
  AND(D867&lt;0,E867&gt;0),"Slowdown",
  AND(D867&lt;0,E867&lt;0),"Contraction",
  AND(D867&gt;0,E867&lt;0),"Recovery",
  TRUE,"Undefined"
)</f>
        <v>Slowdown</v>
      </c>
      <c r="Q867" t="str">
        <f t="shared" si="127"/>
        <v>Expansion</v>
      </c>
      <c r="R867">
        <f t="shared" si="121"/>
        <v>-1</v>
      </c>
      <c r="S867">
        <f t="shared" si="122"/>
        <v>-1</v>
      </c>
      <c r="T867">
        <f t="shared" si="123"/>
        <v>1</v>
      </c>
      <c r="U867">
        <f t="shared" si="124"/>
        <v>1</v>
      </c>
      <c r="V867" t="str" cm="1">
        <f t="array" ref="V867">_xlfn.IFS(
  AND(S867&gt;0,U867&gt;0),"Expansion",
  AND(S867&lt;0,U867&gt;0),"Slowdown",
  AND(S867&lt;0,U867&lt;0),"Contraction",
  AND(S867&gt;0,U867&lt;0),"Recovery",
  TRUE,"Undefined"
)</f>
        <v>Slowdown</v>
      </c>
      <c r="W867">
        <f t="shared" si="125"/>
        <v>0</v>
      </c>
      <c r="X867">
        <f t="shared" si="126"/>
        <v>0</v>
      </c>
      <c r="Y867">
        <v>0</v>
      </c>
    </row>
    <row r="868" spans="1:25" x14ac:dyDescent="0.35">
      <c r="A868" s="1">
        <f>Data!A868</f>
        <v>43525</v>
      </c>
      <c r="B868" s="2">
        <f>IFERROR((Data!B868/Data!B867-1)*100,"")</f>
        <v>0.37817929172307974</v>
      </c>
      <c r="C868" s="2">
        <f>IFERROR((Data!C868/Data!C867-1)*100,"")</f>
        <v>3.7535091907470175E-2</v>
      </c>
      <c r="D868">
        <f t="shared" si="119"/>
        <v>-0.39106048166745272</v>
      </c>
      <c r="E868">
        <f t="shared" si="120"/>
        <v>0.19893560853394554</v>
      </c>
      <c r="P868" t="str" cm="1">
        <f t="array" ref="P868">_xlfn.IFS(
  AND(D868&gt;0,E868&gt;0),"Expansion",
  AND(D868&lt;0,E868&gt;0),"Slowdown",
  AND(D868&lt;0,E868&lt;0),"Contraction",
  AND(D868&gt;0,E868&lt;0),"Recovery",
  TRUE,"Undefined"
)</f>
        <v>Slowdown</v>
      </c>
      <c r="Q868" t="str">
        <f t="shared" si="127"/>
        <v>Expansion</v>
      </c>
      <c r="R868">
        <f t="shared" si="121"/>
        <v>-1</v>
      </c>
      <c r="S868">
        <f t="shared" si="122"/>
        <v>-1</v>
      </c>
      <c r="T868">
        <f t="shared" si="123"/>
        <v>1</v>
      </c>
      <c r="U868">
        <f t="shared" si="124"/>
        <v>1</v>
      </c>
      <c r="V868" t="str" cm="1">
        <f t="array" ref="V868">_xlfn.IFS(
  AND(S868&gt;0,U868&gt;0),"Expansion",
  AND(S868&lt;0,U868&gt;0),"Slowdown",
  AND(S868&lt;0,U868&lt;0),"Contraction",
  AND(S868&gt;0,U868&lt;0),"Recovery",
  TRUE,"Undefined"
)</f>
        <v>Slowdown</v>
      </c>
      <c r="W868">
        <f t="shared" si="125"/>
        <v>0</v>
      </c>
      <c r="X868">
        <f t="shared" si="126"/>
        <v>0</v>
      </c>
      <c r="Y868">
        <v>0</v>
      </c>
    </row>
    <row r="869" spans="1:25" x14ac:dyDescent="0.35">
      <c r="A869" s="1">
        <f>Data!A869</f>
        <v>43556</v>
      </c>
      <c r="B869" s="2">
        <f>IFERROR((Data!B869/Data!B868-1)*100,"")</f>
        <v>0.37596794047436433</v>
      </c>
      <c r="C869" s="2">
        <f>IFERROR((Data!C869/Data!C868-1)*100,"")</f>
        <v>-0.58488058890485695</v>
      </c>
      <c r="D869">
        <f t="shared" si="119"/>
        <v>-0.36458535437569423</v>
      </c>
      <c r="E869">
        <f t="shared" si="120"/>
        <v>0.35142424880988027</v>
      </c>
      <c r="P869" t="str" cm="1">
        <f t="array" ref="P869">_xlfn.IFS(
  AND(D869&gt;0,E869&gt;0),"Expansion",
  AND(D869&lt;0,E869&gt;0),"Slowdown",
  AND(D869&lt;0,E869&lt;0),"Contraction",
  AND(D869&gt;0,E869&lt;0),"Recovery",
  TRUE,"Undefined"
)</f>
        <v>Slowdown</v>
      </c>
      <c r="Q869" t="str">
        <f t="shared" si="127"/>
        <v>Slowdown</v>
      </c>
      <c r="R869">
        <f t="shared" si="121"/>
        <v>-1</v>
      </c>
      <c r="S869">
        <f t="shared" si="122"/>
        <v>-1</v>
      </c>
      <c r="T869">
        <f t="shared" si="123"/>
        <v>1</v>
      </c>
      <c r="U869">
        <f t="shared" si="124"/>
        <v>1</v>
      </c>
      <c r="V869" t="str" cm="1">
        <f t="array" ref="V869">_xlfn.IFS(
  AND(S869&gt;0,U869&gt;0),"Expansion",
  AND(S869&lt;0,U869&gt;0),"Slowdown",
  AND(S869&lt;0,U869&lt;0),"Contraction",
  AND(S869&gt;0,U869&lt;0),"Recovery",
  TRUE,"Undefined"
)</f>
        <v>Slowdown</v>
      </c>
      <c r="W869">
        <f t="shared" si="125"/>
        <v>0</v>
      </c>
      <c r="X869">
        <f t="shared" si="126"/>
        <v>0</v>
      </c>
      <c r="Y869">
        <v>0</v>
      </c>
    </row>
    <row r="870" spans="1:25" x14ac:dyDescent="0.35">
      <c r="A870" s="1">
        <f>Data!A870</f>
        <v>43586</v>
      </c>
      <c r="B870" s="2">
        <f>IFERROR((Data!B870/Data!B869-1)*100,"")</f>
        <v>2.4683328566443841E-2</v>
      </c>
      <c r="C870" s="2">
        <f>IFERROR((Data!C870/Data!C869-1)*100,"")</f>
        <v>0.1153763419832865</v>
      </c>
      <c r="D870">
        <f t="shared" si="119"/>
        <v>-0.14398971833803342</v>
      </c>
      <c r="E870">
        <f t="shared" si="120"/>
        <v>0.25961018692129595</v>
      </c>
      <c r="P870" t="str" cm="1">
        <f t="array" ref="P870">_xlfn.IFS(
  AND(D870&gt;0,E870&gt;0),"Expansion",
  AND(D870&lt;0,E870&gt;0),"Slowdown",
  AND(D870&lt;0,E870&lt;0),"Contraction",
  AND(D870&gt;0,E870&lt;0),"Recovery",
  TRUE,"Undefined"
)</f>
        <v>Slowdown</v>
      </c>
      <c r="Q870" t="str">
        <f t="shared" si="127"/>
        <v>Slowdown</v>
      </c>
      <c r="R870">
        <f t="shared" si="121"/>
        <v>1</v>
      </c>
      <c r="S870">
        <f t="shared" si="122"/>
        <v>1</v>
      </c>
      <c r="T870">
        <f t="shared" si="123"/>
        <v>1</v>
      </c>
      <c r="U870">
        <f t="shared" si="124"/>
        <v>1</v>
      </c>
      <c r="V870" t="str" cm="1">
        <f t="array" ref="V870">_xlfn.IFS(
  AND(S870&gt;0,U870&gt;0),"Expansion",
  AND(S870&lt;0,U870&gt;0),"Slowdown",
  AND(S870&lt;0,U870&lt;0),"Contraction",
  AND(S870&gt;0,U870&lt;0),"Recovery",
  TRUE,"Undefined"
)</f>
        <v>Expansion</v>
      </c>
      <c r="W870">
        <f t="shared" si="125"/>
        <v>0</v>
      </c>
      <c r="X870">
        <f t="shared" si="126"/>
        <v>0</v>
      </c>
      <c r="Y870">
        <v>0</v>
      </c>
    </row>
    <row r="871" spans="1:25" x14ac:dyDescent="0.35">
      <c r="A871" s="1">
        <f>Data!A871</f>
        <v>43617</v>
      </c>
      <c r="B871" s="2">
        <f>IFERROR((Data!B871/Data!B870-1)*100,"")</f>
        <v>-3.2511281022806759E-2</v>
      </c>
      <c r="C871" s="2">
        <f>IFERROR((Data!C871/Data!C870-1)*100,"")</f>
        <v>4.4437065395741548E-2</v>
      </c>
      <c r="D871">
        <f t="shared" si="119"/>
        <v>-0.14168906050860963</v>
      </c>
      <c r="E871">
        <f t="shared" si="120"/>
        <v>0.12271332933933381</v>
      </c>
      <c r="P871" t="str" cm="1">
        <f t="array" ref="P871">_xlfn.IFS(
  AND(D871&gt;0,E871&gt;0),"Expansion",
  AND(D871&lt;0,E871&gt;0),"Slowdown",
  AND(D871&lt;0,E871&lt;0),"Contraction",
  AND(D871&gt;0,E871&lt;0),"Recovery",
  TRUE,"Undefined"
)</f>
        <v>Slowdown</v>
      </c>
      <c r="Q871" t="str">
        <f t="shared" si="127"/>
        <v>Slowdown</v>
      </c>
      <c r="R871">
        <f t="shared" si="121"/>
        <v>1</v>
      </c>
      <c r="S871">
        <f t="shared" si="122"/>
        <v>1</v>
      </c>
      <c r="T871">
        <f t="shared" si="123"/>
        <v>1</v>
      </c>
      <c r="U871">
        <f t="shared" si="124"/>
        <v>1</v>
      </c>
      <c r="V871" t="str" cm="1">
        <f t="array" ref="V871">_xlfn.IFS(
  AND(S871&gt;0,U871&gt;0),"Expansion",
  AND(S871&lt;0,U871&gt;0),"Slowdown",
  AND(S871&lt;0,U871&lt;0),"Contraction",
  AND(S871&gt;0,U871&lt;0),"Recovery",
  TRUE,"Undefined"
)</f>
        <v>Expansion</v>
      </c>
      <c r="W871">
        <f t="shared" si="125"/>
        <v>0</v>
      </c>
      <c r="X871">
        <f t="shared" si="126"/>
        <v>0</v>
      </c>
      <c r="Y871">
        <v>0</v>
      </c>
    </row>
    <row r="872" spans="1:25" x14ac:dyDescent="0.35">
      <c r="A872" s="1">
        <f>Data!A872</f>
        <v>43647</v>
      </c>
      <c r="B872" s="2">
        <f>IFERROR((Data!B872/Data!B871-1)*100,"")</f>
        <v>0.23078761661827762</v>
      </c>
      <c r="C872" s="2">
        <f>IFERROR((Data!C872/Data!C871-1)*100,"")</f>
        <v>-0.4848810250152602</v>
      </c>
      <c r="D872">
        <f t="shared" si="119"/>
        <v>-0.10835587254541072</v>
      </c>
      <c r="E872">
        <f t="shared" si="120"/>
        <v>7.4319888053971564E-2</v>
      </c>
      <c r="P872" t="str" cm="1">
        <f t="array" ref="P872">_xlfn.IFS(
  AND(D872&gt;0,E872&gt;0),"Expansion",
  AND(D872&lt;0,E872&gt;0),"Slowdown",
  AND(D872&lt;0,E872&lt;0),"Contraction",
  AND(D872&gt;0,E872&lt;0),"Recovery",
  TRUE,"Undefined"
)</f>
        <v>Slowdown</v>
      </c>
      <c r="Q872" t="str">
        <f t="shared" si="127"/>
        <v>Slowdown</v>
      </c>
      <c r="R872">
        <f t="shared" si="121"/>
        <v>1</v>
      </c>
      <c r="S872">
        <f t="shared" si="122"/>
        <v>1</v>
      </c>
      <c r="T872">
        <f t="shared" si="123"/>
        <v>1</v>
      </c>
      <c r="U872">
        <f t="shared" si="124"/>
        <v>1</v>
      </c>
      <c r="V872" t="str" cm="1">
        <f t="array" ref="V872">_xlfn.IFS(
  AND(S872&gt;0,U872&gt;0),"Expansion",
  AND(S872&lt;0,U872&gt;0),"Slowdown",
  AND(S872&lt;0,U872&lt;0),"Contraction",
  AND(S872&gt;0,U872&lt;0),"Recovery",
  TRUE,"Undefined"
)</f>
        <v>Expansion</v>
      </c>
      <c r="W872">
        <f t="shared" si="125"/>
        <v>0</v>
      </c>
      <c r="X872">
        <f t="shared" si="126"/>
        <v>0</v>
      </c>
      <c r="Y872">
        <v>0</v>
      </c>
    </row>
    <row r="873" spans="1:25" x14ac:dyDescent="0.35">
      <c r="A873" s="1">
        <f>Data!A873</f>
        <v>43678</v>
      </c>
      <c r="B873" s="2">
        <f>IFERROR((Data!B873/Data!B872-1)*100,"")</f>
        <v>9.1477001743545117E-2</v>
      </c>
      <c r="C873" s="2">
        <f>IFERROR((Data!C873/Data!C872-1)*100,"")</f>
        <v>0.68490731875754385</v>
      </c>
      <c r="D873">
        <f t="shared" si="119"/>
        <v>8.1487786379341731E-2</v>
      </c>
      <c r="E873">
        <f t="shared" si="120"/>
        <v>9.6584445779671999E-2</v>
      </c>
      <c r="P873" t="str" cm="1">
        <f t="array" ref="P873">_xlfn.IFS(
  AND(D873&gt;0,E873&gt;0),"Expansion",
  AND(D873&lt;0,E873&gt;0),"Slowdown",
  AND(D873&lt;0,E873&lt;0),"Contraction",
  AND(D873&gt;0,E873&lt;0),"Recovery",
  TRUE,"Undefined"
)</f>
        <v>Expansion</v>
      </c>
      <c r="Q873" t="str">
        <f t="shared" si="127"/>
        <v>Slowdown</v>
      </c>
      <c r="R873">
        <f t="shared" si="121"/>
        <v>1</v>
      </c>
      <c r="S873">
        <f t="shared" si="122"/>
        <v>1</v>
      </c>
      <c r="T873">
        <f t="shared" si="123"/>
        <v>1</v>
      </c>
      <c r="U873">
        <f t="shared" si="124"/>
        <v>1</v>
      </c>
      <c r="V873" t="str" cm="1">
        <f t="array" ref="V873">_xlfn.IFS(
  AND(S873&gt;0,U873&gt;0),"Expansion",
  AND(S873&lt;0,U873&gt;0),"Slowdown",
  AND(S873&lt;0,U873&lt;0),"Contraction",
  AND(S873&gt;0,U873&lt;0),"Recovery",
  TRUE,"Undefined"
)</f>
        <v>Expansion</v>
      </c>
      <c r="W873">
        <f t="shared" si="125"/>
        <v>0</v>
      </c>
      <c r="X873">
        <f t="shared" si="126"/>
        <v>0</v>
      </c>
      <c r="Y873">
        <v>0</v>
      </c>
    </row>
    <row r="874" spans="1:25" x14ac:dyDescent="0.35">
      <c r="A874" s="1">
        <f>Data!A874</f>
        <v>43709</v>
      </c>
      <c r="B874" s="2">
        <f>IFERROR((Data!B874/Data!B873-1)*100,"")</f>
        <v>0.15388460997671771</v>
      </c>
      <c r="C874" s="2">
        <f>IFERROR((Data!C874/Data!C873-1)*100,"")</f>
        <v>-0.33837040501173421</v>
      </c>
      <c r="D874">
        <f t="shared" si="119"/>
        <v>-4.6114703756483522E-2</v>
      </c>
      <c r="E874">
        <f t="shared" si="120"/>
        <v>0.15871640944618015</v>
      </c>
      <c r="P874" t="str" cm="1">
        <f t="array" ref="P874">_xlfn.IFS(
  AND(D874&gt;0,E874&gt;0),"Expansion",
  AND(D874&lt;0,E874&gt;0),"Slowdown",
  AND(D874&lt;0,E874&lt;0),"Contraction",
  AND(D874&gt;0,E874&lt;0),"Recovery",
  TRUE,"Undefined"
)</f>
        <v>Slowdown</v>
      </c>
      <c r="Q874" t="str">
        <f t="shared" si="127"/>
        <v>Slowdown</v>
      </c>
      <c r="R874">
        <f t="shared" si="121"/>
        <v>1</v>
      </c>
      <c r="S874">
        <f t="shared" si="122"/>
        <v>1</v>
      </c>
      <c r="T874">
        <f t="shared" si="123"/>
        <v>1</v>
      </c>
      <c r="U874">
        <f t="shared" si="124"/>
        <v>1</v>
      </c>
      <c r="V874" t="str" cm="1">
        <f t="array" ref="V874">_xlfn.IFS(
  AND(S874&gt;0,U874&gt;0),"Expansion",
  AND(S874&lt;0,U874&gt;0),"Slowdown",
  AND(S874&lt;0,U874&lt;0),"Contraction",
  AND(S874&gt;0,U874&lt;0),"Recovery",
  TRUE,"Undefined"
)</f>
        <v>Expansion</v>
      </c>
      <c r="W874">
        <f t="shared" si="125"/>
        <v>0</v>
      </c>
      <c r="X874">
        <f t="shared" si="126"/>
        <v>0</v>
      </c>
      <c r="Y874">
        <v>0</v>
      </c>
    </row>
    <row r="875" spans="1:25" x14ac:dyDescent="0.35">
      <c r="A875" s="1">
        <f>Data!A875</f>
        <v>43739</v>
      </c>
      <c r="B875" s="2">
        <f>IFERROR((Data!B875/Data!B874-1)*100,"")</f>
        <v>0.28272822992627678</v>
      </c>
      <c r="C875" s="2">
        <f>IFERROR((Data!C875/Data!C874-1)*100,"")</f>
        <v>-0.84425227071209807</v>
      </c>
      <c r="D875">
        <f t="shared" si="119"/>
        <v>-0.16590511898876281</v>
      </c>
      <c r="E875">
        <f t="shared" si="120"/>
        <v>0.17602994721551321</v>
      </c>
      <c r="P875" t="str" cm="1">
        <f t="array" ref="P875">_xlfn.IFS(
  AND(D875&gt;0,E875&gt;0),"Expansion",
  AND(D875&lt;0,E875&gt;0),"Slowdown",
  AND(D875&lt;0,E875&lt;0),"Contraction",
  AND(D875&gt;0,E875&lt;0),"Recovery",
  TRUE,"Undefined"
)</f>
        <v>Slowdown</v>
      </c>
      <c r="Q875" t="str">
        <f t="shared" si="127"/>
        <v>Slowdown</v>
      </c>
      <c r="R875">
        <f t="shared" si="121"/>
        <v>1</v>
      </c>
      <c r="S875">
        <f t="shared" si="122"/>
        <v>1</v>
      </c>
      <c r="T875">
        <f t="shared" si="123"/>
        <v>1</v>
      </c>
      <c r="U875">
        <f t="shared" si="124"/>
        <v>1</v>
      </c>
      <c r="V875" t="str" cm="1">
        <f t="array" ref="V875">_xlfn.IFS(
  AND(S875&gt;0,U875&gt;0),"Expansion",
  AND(S875&lt;0,U875&gt;0),"Slowdown",
  AND(S875&lt;0,U875&lt;0),"Contraction",
  AND(S875&gt;0,U875&lt;0),"Recovery",
  TRUE,"Undefined"
)</f>
        <v>Expansion</v>
      </c>
      <c r="W875">
        <f t="shared" si="125"/>
        <v>0</v>
      </c>
      <c r="X875">
        <f t="shared" si="126"/>
        <v>0</v>
      </c>
      <c r="Y875">
        <v>0</v>
      </c>
    </row>
    <row r="876" spans="1:25" x14ac:dyDescent="0.35">
      <c r="A876" s="1">
        <f>Data!A876</f>
        <v>43770</v>
      </c>
      <c r="B876" s="2">
        <f>IFERROR((Data!B876/Data!B875-1)*100,"")</f>
        <v>0.28154226050438602</v>
      </c>
      <c r="C876" s="2">
        <f>IFERROR((Data!C876/Data!C875-1)*100,"")</f>
        <v>0.50193191038776508</v>
      </c>
      <c r="D876">
        <f t="shared" si="119"/>
        <v>-0.22689692177868906</v>
      </c>
      <c r="E876">
        <f t="shared" si="120"/>
        <v>0.23938503346912685</v>
      </c>
      <c r="P876" t="str" cm="1">
        <f t="array" ref="P876">_xlfn.IFS(
  AND(D876&gt;0,E876&gt;0),"Expansion",
  AND(D876&lt;0,E876&gt;0),"Slowdown",
  AND(D876&lt;0,E876&lt;0),"Contraction",
  AND(D876&gt;0,E876&lt;0),"Recovery",
  TRUE,"Undefined"
)</f>
        <v>Slowdown</v>
      </c>
      <c r="Q876" t="str">
        <f t="shared" si="127"/>
        <v>Slowdown</v>
      </c>
      <c r="R876">
        <f t="shared" si="121"/>
        <v>1</v>
      </c>
      <c r="S876">
        <f t="shared" si="122"/>
        <v>1</v>
      </c>
      <c r="T876">
        <f t="shared" si="123"/>
        <v>1</v>
      </c>
      <c r="U876">
        <f t="shared" si="124"/>
        <v>1</v>
      </c>
      <c r="V876" t="str" cm="1">
        <f t="array" ref="V876">_xlfn.IFS(
  AND(S876&gt;0,U876&gt;0),"Expansion",
  AND(S876&lt;0,U876&gt;0),"Slowdown",
  AND(S876&lt;0,U876&lt;0),"Contraction",
  AND(S876&gt;0,U876&lt;0),"Recovery",
  TRUE,"Undefined"
)</f>
        <v>Expansion</v>
      </c>
      <c r="W876">
        <f t="shared" si="125"/>
        <v>0</v>
      </c>
      <c r="X876">
        <f t="shared" si="126"/>
        <v>0</v>
      </c>
      <c r="Y876">
        <v>0</v>
      </c>
    </row>
    <row r="877" spans="1:25" x14ac:dyDescent="0.35">
      <c r="A877" s="1">
        <f>Data!A877</f>
        <v>43800</v>
      </c>
      <c r="B877" s="2">
        <f>IFERROR((Data!B877/Data!B876-1)*100,"")</f>
        <v>0.29122185210892493</v>
      </c>
      <c r="C877" s="2">
        <f>IFERROR((Data!C877/Data!C876-1)*100,"")</f>
        <v>-0.23239798621111918</v>
      </c>
      <c r="D877">
        <f t="shared" si="119"/>
        <v>-0.19157278217848406</v>
      </c>
      <c r="E877">
        <f t="shared" si="120"/>
        <v>0.28516411417986259</v>
      </c>
      <c r="P877" t="str" cm="1">
        <f t="array" ref="P877">_xlfn.IFS(
  AND(D877&gt;0,E877&gt;0),"Expansion",
  AND(D877&lt;0,E877&gt;0),"Slowdown",
  AND(D877&lt;0,E877&lt;0),"Contraction",
  AND(D877&gt;0,E877&lt;0),"Recovery",
  TRUE,"Undefined"
)</f>
        <v>Slowdown</v>
      </c>
      <c r="Q877" t="str">
        <f t="shared" si="127"/>
        <v>Slowdown</v>
      </c>
      <c r="R877">
        <f t="shared" si="121"/>
        <v>1</v>
      </c>
      <c r="S877">
        <f t="shared" si="122"/>
        <v>1</v>
      </c>
      <c r="T877">
        <f t="shared" si="123"/>
        <v>1</v>
      </c>
      <c r="U877">
        <f t="shared" si="124"/>
        <v>1</v>
      </c>
      <c r="V877" t="str" cm="1">
        <f t="array" ref="V877">_xlfn.IFS(
  AND(S877&gt;0,U877&gt;0),"Expansion",
  AND(S877&lt;0,U877&gt;0),"Slowdown",
  AND(S877&lt;0,U877&lt;0),"Contraction",
  AND(S877&gt;0,U877&lt;0),"Recovery",
  TRUE,"Undefined"
)</f>
        <v>Expansion</v>
      </c>
      <c r="W877">
        <f t="shared" si="125"/>
        <v>0</v>
      </c>
      <c r="X877">
        <f t="shared" si="126"/>
        <v>0</v>
      </c>
      <c r="Y877">
        <v>0</v>
      </c>
    </row>
    <row r="878" spans="1:25" x14ac:dyDescent="0.35">
      <c r="A878" s="1">
        <f>Data!A878</f>
        <v>43831</v>
      </c>
      <c r="B878" s="2">
        <f>IFERROR((Data!B878/Data!B877-1)*100,"")</f>
        <v>0.19216641534238743</v>
      </c>
      <c r="C878" s="2">
        <f>IFERROR((Data!C878/Data!C877-1)*100,"")</f>
        <v>-0.65535696551534128</v>
      </c>
      <c r="D878">
        <f t="shared" si="119"/>
        <v>-0.1286076804462318</v>
      </c>
      <c r="E878">
        <f t="shared" si="120"/>
        <v>0.25497684265189946</v>
      </c>
      <c r="P878" t="str" cm="1">
        <f t="array" ref="P878">_xlfn.IFS(
  AND(D878&gt;0,E878&gt;0),"Expansion",
  AND(D878&lt;0,E878&gt;0),"Slowdown",
  AND(D878&lt;0,E878&lt;0),"Contraction",
  AND(D878&gt;0,E878&lt;0),"Recovery",
  TRUE,"Undefined"
)</f>
        <v>Slowdown</v>
      </c>
      <c r="Q878" t="str">
        <f t="shared" si="127"/>
        <v>Slowdown</v>
      </c>
      <c r="R878">
        <f t="shared" si="121"/>
        <v>1</v>
      </c>
      <c r="S878">
        <f t="shared" si="122"/>
        <v>1</v>
      </c>
      <c r="T878">
        <f t="shared" si="123"/>
        <v>1</v>
      </c>
      <c r="U878">
        <f t="shared" si="124"/>
        <v>1</v>
      </c>
      <c r="V878" t="str" cm="1">
        <f t="array" ref="V878">_xlfn.IFS(
  AND(S878&gt;0,U878&gt;0),"Expansion",
  AND(S878&lt;0,U878&gt;0),"Slowdown",
  AND(S878&lt;0,U878&lt;0),"Contraction",
  AND(S878&gt;0,U878&lt;0),"Recovery",
  TRUE,"Undefined"
)</f>
        <v>Expansion</v>
      </c>
      <c r="W878">
        <f t="shared" si="125"/>
        <v>0</v>
      </c>
      <c r="X878">
        <f t="shared" si="126"/>
        <v>0</v>
      </c>
      <c r="Y878">
        <v>0</v>
      </c>
    </row>
    <row r="879" spans="1:25" x14ac:dyDescent="0.35">
      <c r="A879" s="1">
        <f>Data!A879</f>
        <v>43862</v>
      </c>
      <c r="B879" s="2">
        <f>IFERROR((Data!B879/Data!B878-1)*100,"")</f>
        <v>4.7467072130658039E-2</v>
      </c>
      <c r="C879" s="2">
        <f>IFERROR((Data!C879/Data!C878-1)*100,"")</f>
        <v>0.33622411509812711</v>
      </c>
      <c r="D879">
        <f t="shared" si="119"/>
        <v>-0.18384361220944445</v>
      </c>
      <c r="E879">
        <f t="shared" si="120"/>
        <v>0.1769517798606568</v>
      </c>
      <c r="P879" t="str" cm="1">
        <f t="array" ref="P879">_xlfn.IFS(
  AND(D879&gt;0,E879&gt;0),"Expansion",
  AND(D879&lt;0,E879&gt;0),"Slowdown",
  AND(D879&lt;0,E879&lt;0),"Contraction",
  AND(D879&gt;0,E879&lt;0),"Recovery",
  TRUE,"Undefined"
)</f>
        <v>Slowdown</v>
      </c>
      <c r="Q879" t="str">
        <f t="shared" si="127"/>
        <v>Slowdown</v>
      </c>
      <c r="R879">
        <f t="shared" si="121"/>
        <v>1</v>
      </c>
      <c r="S879">
        <f t="shared" si="122"/>
        <v>1</v>
      </c>
      <c r="T879">
        <f t="shared" si="123"/>
        <v>1</v>
      </c>
      <c r="U879">
        <f t="shared" si="124"/>
        <v>1</v>
      </c>
      <c r="V879" t="str" cm="1">
        <f t="array" ref="V879">_xlfn.IFS(
  AND(S879&gt;0,U879&gt;0),"Expansion",
  AND(S879&lt;0,U879&gt;0),"Slowdown",
  AND(S879&lt;0,U879&lt;0),"Contraction",
  AND(S879&gt;0,U879&lt;0),"Recovery",
  TRUE,"Undefined"
)</f>
        <v>Expansion</v>
      </c>
      <c r="W879">
        <f t="shared" si="125"/>
        <v>0</v>
      </c>
      <c r="X879">
        <f t="shared" si="126"/>
        <v>0</v>
      </c>
      <c r="Y879">
        <v>0</v>
      </c>
    </row>
    <row r="880" spans="1:25" x14ac:dyDescent="0.35">
      <c r="A880" s="1">
        <f>Data!A880</f>
        <v>43891</v>
      </c>
      <c r="B880" s="2">
        <f>IFERROR((Data!B880/Data!B879-1)*100,"")</f>
        <v>-0.45284474445514977</v>
      </c>
      <c r="C880" s="2">
        <f>IFERROR((Data!C880/Data!C879-1)*100,"")</f>
        <v>-3.9119691043517424</v>
      </c>
      <c r="D880">
        <f t="shared" si="119"/>
        <v>-1.4103673182563188</v>
      </c>
      <c r="E880">
        <f t="shared" si="120"/>
        <v>-7.1070418994034767E-2</v>
      </c>
      <c r="P880" t="str" cm="1">
        <f t="array" ref="P880">_xlfn.IFS(
  AND(D880&gt;0,E880&gt;0),"Expansion",
  AND(D880&lt;0,E880&gt;0),"Slowdown",
  AND(D880&lt;0,E880&lt;0),"Contraction",
  AND(D880&gt;0,E880&lt;0),"Recovery",
  TRUE,"Undefined"
)</f>
        <v>Contraction</v>
      </c>
      <c r="Q880" t="str">
        <f t="shared" si="127"/>
        <v>Slowdown</v>
      </c>
      <c r="R880">
        <f t="shared" si="121"/>
        <v>-1</v>
      </c>
      <c r="S880">
        <f t="shared" si="122"/>
        <v>-1</v>
      </c>
      <c r="T880">
        <f t="shared" si="123"/>
        <v>-1</v>
      </c>
      <c r="U880">
        <f t="shared" si="124"/>
        <v>-1</v>
      </c>
      <c r="V880" t="str" cm="1">
        <f t="array" ref="V880">_xlfn.IFS(
  AND(S880&gt;0,U880&gt;0),"Expansion",
  AND(S880&lt;0,U880&gt;0),"Slowdown",
  AND(S880&lt;0,U880&lt;0),"Contraction",
  AND(S880&gt;0,U880&lt;0),"Recovery",
  TRUE,"Undefined"
)</f>
        <v>Contraction</v>
      </c>
      <c r="W880">
        <f t="shared" si="125"/>
        <v>0</v>
      </c>
      <c r="X880">
        <f t="shared" si="126"/>
        <v>1</v>
      </c>
      <c r="Y880">
        <v>1</v>
      </c>
    </row>
    <row r="881" spans="1:25" x14ac:dyDescent="0.35">
      <c r="A881" s="1">
        <f>Data!A881</f>
        <v>43922</v>
      </c>
      <c r="B881" s="2">
        <f>IFERROR((Data!B881/Data!B880-1)*100,"")</f>
        <v>-0.79201475534340648</v>
      </c>
      <c r="C881" s="2">
        <f>IFERROR((Data!C881/Data!C880-1)*100,"")</f>
        <v>-13.187752931490081</v>
      </c>
      <c r="D881">
        <f t="shared" si="119"/>
        <v>-5.5878326402478988</v>
      </c>
      <c r="E881">
        <f t="shared" si="120"/>
        <v>-0.39913080922263272</v>
      </c>
      <c r="P881" t="str" cm="1">
        <f t="array" ref="P881">_xlfn.IFS(
  AND(D881&gt;0,E881&gt;0),"Expansion",
  AND(D881&lt;0,E881&gt;0),"Slowdown",
  AND(D881&lt;0,E881&lt;0),"Contraction",
  AND(D881&gt;0,E881&lt;0),"Recovery",
  TRUE,"Undefined"
)</f>
        <v>Contraction</v>
      </c>
      <c r="Q881" t="str">
        <f t="shared" si="127"/>
        <v>Slowdown</v>
      </c>
      <c r="R881">
        <f t="shared" si="121"/>
        <v>-1</v>
      </c>
      <c r="S881">
        <f t="shared" si="122"/>
        <v>-1</v>
      </c>
      <c r="T881">
        <f t="shared" si="123"/>
        <v>-1</v>
      </c>
      <c r="U881">
        <f t="shared" si="124"/>
        <v>-1</v>
      </c>
      <c r="V881" t="str" cm="1">
        <f t="array" ref="V881">_xlfn.IFS(
  AND(S881&gt;0,U881&gt;0),"Expansion",
  AND(S881&lt;0,U881&gt;0),"Slowdown",
  AND(S881&lt;0,U881&lt;0),"Contraction",
  AND(S881&gt;0,U881&lt;0),"Recovery",
  TRUE,"Undefined"
)</f>
        <v>Contraction</v>
      </c>
      <c r="W881">
        <f t="shared" si="125"/>
        <v>0</v>
      </c>
      <c r="X881">
        <f t="shared" si="126"/>
        <v>1</v>
      </c>
      <c r="Y881">
        <v>1</v>
      </c>
    </row>
    <row r="882" spans="1:25" x14ac:dyDescent="0.35">
      <c r="A882" s="1">
        <f>Data!A882</f>
        <v>43952</v>
      </c>
      <c r="B882" s="2">
        <f>IFERROR((Data!B882/Data!B881-1)*100,"")</f>
        <v>-8.9832520934873816E-2</v>
      </c>
      <c r="C882" s="2">
        <f>IFERROR((Data!C882/Data!C881-1)*100,"")</f>
        <v>1.6538180906531252</v>
      </c>
      <c r="D882">
        <f t="shared" si="119"/>
        <v>-5.1486346483962322</v>
      </c>
      <c r="E882">
        <f t="shared" si="120"/>
        <v>-0.44489734024447669</v>
      </c>
      <c r="P882" t="str" cm="1">
        <f t="array" ref="P882">_xlfn.IFS(
  AND(D882&gt;0,E882&gt;0),"Expansion",
  AND(D882&lt;0,E882&gt;0),"Slowdown",
  AND(D882&lt;0,E882&lt;0),"Contraction",
  AND(D882&gt;0,E882&lt;0),"Recovery",
  TRUE,"Undefined"
)</f>
        <v>Contraction</v>
      </c>
      <c r="Q882" t="str">
        <f t="shared" si="127"/>
        <v>Contraction</v>
      </c>
      <c r="R882">
        <f t="shared" si="121"/>
        <v>-1</v>
      </c>
      <c r="S882">
        <f t="shared" si="122"/>
        <v>-1</v>
      </c>
      <c r="T882">
        <f t="shared" si="123"/>
        <v>-1</v>
      </c>
      <c r="U882">
        <f t="shared" si="124"/>
        <v>-1</v>
      </c>
      <c r="V882" t="str" cm="1">
        <f t="array" ref="V882">_xlfn.IFS(
  AND(S882&gt;0,U882&gt;0),"Expansion",
  AND(S882&lt;0,U882&gt;0),"Slowdown",
  AND(S882&lt;0,U882&lt;0),"Contraction",
  AND(S882&gt;0,U882&lt;0),"Recovery",
  TRUE,"Undefined"
)</f>
        <v>Contraction</v>
      </c>
      <c r="W882">
        <f t="shared" si="125"/>
        <v>1</v>
      </c>
      <c r="X882">
        <f t="shared" si="126"/>
        <v>1</v>
      </c>
      <c r="Y882">
        <v>0</v>
      </c>
    </row>
    <row r="883" spans="1:25" x14ac:dyDescent="0.35">
      <c r="A883" s="1">
        <f>Data!A883</f>
        <v>43983</v>
      </c>
      <c r="B883" s="2">
        <f>IFERROR((Data!B883/Data!B882-1)*100,"")</f>
        <v>0.4847499237691677</v>
      </c>
      <c r="C883" s="2">
        <f>IFERROR((Data!C883/Data!C882-1)*100,"")</f>
        <v>6.5530174359356153</v>
      </c>
      <c r="D883">
        <f t="shared" si="119"/>
        <v>-1.6603058016337802</v>
      </c>
      <c r="E883">
        <f t="shared" si="120"/>
        <v>-0.13236578416970421</v>
      </c>
      <c r="P883" t="str" cm="1">
        <f t="array" ref="P883">_xlfn.IFS(
  AND(D883&gt;0,E883&gt;0),"Expansion",
  AND(D883&lt;0,E883&gt;0),"Slowdown",
  AND(D883&lt;0,E883&lt;0),"Contraction",
  AND(D883&gt;0,E883&lt;0),"Recovery",
  TRUE,"Undefined"
)</f>
        <v>Contraction</v>
      </c>
      <c r="Q883" t="str">
        <f t="shared" si="127"/>
        <v>Contraction</v>
      </c>
      <c r="R883">
        <f t="shared" si="121"/>
        <v>-1</v>
      </c>
      <c r="S883">
        <f t="shared" si="122"/>
        <v>-1</v>
      </c>
      <c r="T883">
        <f t="shared" si="123"/>
        <v>-1</v>
      </c>
      <c r="U883">
        <f t="shared" si="124"/>
        <v>-1</v>
      </c>
      <c r="V883" t="str" cm="1">
        <f t="array" ref="V883">_xlfn.IFS(
  AND(S883&gt;0,U883&gt;0),"Expansion",
  AND(S883&lt;0,U883&gt;0),"Slowdown",
  AND(S883&lt;0,U883&lt;0),"Contraction",
  AND(S883&gt;0,U883&lt;0),"Recovery",
  TRUE,"Undefined"
)</f>
        <v>Contraction</v>
      </c>
      <c r="W883">
        <f t="shared" si="125"/>
        <v>1</v>
      </c>
      <c r="X883">
        <f t="shared" si="126"/>
        <v>1</v>
      </c>
      <c r="Y883">
        <v>0</v>
      </c>
    </row>
    <row r="884" spans="1:25" x14ac:dyDescent="0.35">
      <c r="A884" s="1">
        <f>Data!A884</f>
        <v>44013</v>
      </c>
      <c r="B884" s="2">
        <f>IFERROR((Data!B884/Data!B883-1)*100,"")</f>
        <v>0.50964433827935807</v>
      </c>
      <c r="C884" s="2">
        <f>IFERROR((Data!C884/Data!C883-1)*100,"")</f>
        <v>3.7472132271539227</v>
      </c>
      <c r="D884">
        <f t="shared" si="119"/>
        <v>3.9846829179142209</v>
      </c>
      <c r="E884">
        <f t="shared" si="120"/>
        <v>0.30152058037121732</v>
      </c>
      <c r="P884" t="str" cm="1">
        <f t="array" ref="P884">_xlfn.IFS(
  AND(D884&gt;0,E884&gt;0),"Expansion",
  AND(D884&lt;0,E884&gt;0),"Slowdown",
  AND(D884&lt;0,E884&lt;0),"Contraction",
  AND(D884&gt;0,E884&lt;0),"Recovery",
  TRUE,"Undefined"
)</f>
        <v>Expansion</v>
      </c>
      <c r="Q884" t="str">
        <f t="shared" si="127"/>
        <v>Contraction</v>
      </c>
      <c r="R884">
        <f t="shared" si="121"/>
        <v>1</v>
      </c>
      <c r="S884">
        <f t="shared" si="122"/>
        <v>1</v>
      </c>
      <c r="T884">
        <f t="shared" si="123"/>
        <v>1</v>
      </c>
      <c r="U884">
        <f t="shared" si="124"/>
        <v>1</v>
      </c>
      <c r="V884" t="str" cm="1">
        <f t="array" ref="V884">_xlfn.IFS(
  AND(S884&gt;0,U884&gt;0),"Expansion",
  AND(S884&lt;0,U884&gt;0),"Slowdown",
  AND(S884&lt;0,U884&lt;0),"Contraction",
  AND(S884&gt;0,U884&lt;0),"Recovery",
  TRUE,"Undefined"
)</f>
        <v>Expansion</v>
      </c>
      <c r="W884">
        <f t="shared" si="125"/>
        <v>1</v>
      </c>
      <c r="X884">
        <f t="shared" si="126"/>
        <v>0</v>
      </c>
      <c r="Y884">
        <v>0</v>
      </c>
    </row>
    <row r="885" spans="1:25" x14ac:dyDescent="0.35">
      <c r="A885" s="1">
        <f>Data!A885</f>
        <v>44044</v>
      </c>
      <c r="B885" s="2">
        <f>IFERROR((Data!B885/Data!B884-1)*100,"")</f>
        <v>0.37313432835821558</v>
      </c>
      <c r="C885" s="2">
        <f>IFERROR((Data!C885/Data!C884-1)*100,"")</f>
        <v>0.97794699533599871</v>
      </c>
      <c r="D885">
        <f t="shared" si="119"/>
        <v>3.7593925528085124</v>
      </c>
      <c r="E885">
        <f t="shared" si="120"/>
        <v>0.45584286346891378</v>
      </c>
      <c r="P885" t="str" cm="1">
        <f t="array" ref="P885">_xlfn.IFS(
  AND(D885&gt;0,E885&gt;0),"Expansion",
  AND(D885&lt;0,E885&gt;0),"Slowdown",
  AND(D885&lt;0,E885&lt;0),"Contraction",
  AND(D885&gt;0,E885&lt;0),"Recovery",
  TRUE,"Undefined"
)</f>
        <v>Expansion</v>
      </c>
      <c r="Q885" t="str">
        <f t="shared" si="127"/>
        <v>Contraction</v>
      </c>
      <c r="R885">
        <f t="shared" si="121"/>
        <v>1</v>
      </c>
      <c r="S885">
        <f t="shared" si="122"/>
        <v>1</v>
      </c>
      <c r="T885">
        <f t="shared" si="123"/>
        <v>1</v>
      </c>
      <c r="U885">
        <f t="shared" si="124"/>
        <v>1</v>
      </c>
      <c r="V885" t="str" cm="1">
        <f t="array" ref="V885">_xlfn.IFS(
  AND(S885&gt;0,U885&gt;0),"Expansion",
  AND(S885&lt;0,U885&gt;0),"Slowdown",
  AND(S885&lt;0,U885&lt;0),"Contraction",
  AND(S885&gt;0,U885&lt;0),"Recovery",
  TRUE,"Undefined"
)</f>
        <v>Expansion</v>
      </c>
      <c r="W885">
        <f t="shared" si="125"/>
        <v>1</v>
      </c>
      <c r="X885">
        <f t="shared" si="126"/>
        <v>0</v>
      </c>
      <c r="Y885">
        <v>0</v>
      </c>
    </row>
    <row r="886" spans="1:25" x14ac:dyDescent="0.35">
      <c r="A886" s="1">
        <f>Data!A886</f>
        <v>44075</v>
      </c>
      <c r="B886" s="2">
        <f>IFERROR((Data!B886/Data!B885-1)*100,"")</f>
        <v>0.2626139536318739</v>
      </c>
      <c r="C886" s="2">
        <f>IFERROR((Data!C886/Data!C885-1)*100,"")</f>
        <v>1.25058751559326E-2</v>
      </c>
      <c r="D886">
        <f t="shared" si="119"/>
        <v>1.5792220325486179</v>
      </c>
      <c r="E886">
        <f t="shared" si="120"/>
        <v>0.38179754008981587</v>
      </c>
      <c r="P886" t="str" cm="1">
        <f t="array" ref="P886">_xlfn.IFS(
  AND(D886&gt;0,E886&gt;0),"Expansion",
  AND(D886&lt;0,E886&gt;0),"Slowdown",
  AND(D886&lt;0,E886&lt;0),"Contraction",
  AND(D886&gt;0,E886&lt;0),"Recovery",
  TRUE,"Undefined"
)</f>
        <v>Expansion</v>
      </c>
      <c r="Q886" t="str">
        <f t="shared" si="127"/>
        <v>Expansion</v>
      </c>
      <c r="R886">
        <f t="shared" si="121"/>
        <v>1</v>
      </c>
      <c r="S886">
        <f t="shared" si="122"/>
        <v>1</v>
      </c>
      <c r="T886">
        <f t="shared" si="123"/>
        <v>1</v>
      </c>
      <c r="U886">
        <f t="shared" si="124"/>
        <v>1</v>
      </c>
      <c r="V886" t="str" cm="1">
        <f t="array" ref="V886">_xlfn.IFS(
  AND(S886&gt;0,U886&gt;0),"Expansion",
  AND(S886&lt;0,U886&gt;0),"Slowdown",
  AND(S886&lt;0,U886&lt;0),"Contraction",
  AND(S886&gt;0,U886&lt;0),"Recovery",
  TRUE,"Undefined"
)</f>
        <v>Expansion</v>
      </c>
      <c r="W886">
        <f t="shared" si="125"/>
        <v>0</v>
      </c>
      <c r="X886">
        <f t="shared" si="126"/>
        <v>0</v>
      </c>
      <c r="Y886">
        <v>0</v>
      </c>
    </row>
    <row r="887" spans="1:25" x14ac:dyDescent="0.35">
      <c r="A887" s="1">
        <f>Data!A887</f>
        <v>44105</v>
      </c>
      <c r="B887" s="2">
        <f>IFERROR((Data!B887/Data!B886-1)*100,"")</f>
        <v>0.1238475828567287</v>
      </c>
      <c r="C887" s="2">
        <f>IFERROR((Data!C887/Data!C886-1)*100,"")</f>
        <v>0.80496504523956958</v>
      </c>
      <c r="D887">
        <f t="shared" si="119"/>
        <v>0.59847263857716693</v>
      </c>
      <c r="E887">
        <f t="shared" si="120"/>
        <v>0.25319862161560608</v>
      </c>
      <c r="P887" t="str" cm="1">
        <f t="array" ref="P887">_xlfn.IFS(
  AND(D887&gt;0,E887&gt;0),"Expansion",
  AND(D887&lt;0,E887&gt;0),"Slowdown",
  AND(D887&lt;0,E887&lt;0),"Contraction",
  AND(D887&gt;0,E887&lt;0),"Recovery",
  TRUE,"Undefined"
)</f>
        <v>Expansion</v>
      </c>
      <c r="Q887" t="str">
        <f t="shared" si="127"/>
        <v>Expansion</v>
      </c>
      <c r="R887">
        <f t="shared" si="121"/>
        <v>1</v>
      </c>
      <c r="S887">
        <f t="shared" si="122"/>
        <v>1</v>
      </c>
      <c r="T887">
        <f t="shared" si="123"/>
        <v>1</v>
      </c>
      <c r="U887">
        <f t="shared" si="124"/>
        <v>1</v>
      </c>
      <c r="V887" t="str" cm="1">
        <f t="array" ref="V887">_xlfn.IFS(
  AND(S887&gt;0,U887&gt;0),"Expansion",
  AND(S887&lt;0,U887&gt;0),"Slowdown",
  AND(S887&lt;0,U887&lt;0),"Contraction",
  AND(S887&gt;0,U887&lt;0),"Recovery",
  TRUE,"Undefined"
)</f>
        <v>Expansion</v>
      </c>
      <c r="W887">
        <f t="shared" si="125"/>
        <v>0</v>
      </c>
      <c r="X887">
        <f t="shared" si="126"/>
        <v>0</v>
      </c>
      <c r="Y887">
        <v>0</v>
      </c>
    </row>
    <row r="888" spans="1:25" x14ac:dyDescent="0.35">
      <c r="A888" s="1">
        <f>Data!A888</f>
        <v>44136</v>
      </c>
      <c r="B888" s="2">
        <f>IFERROR((Data!B888/Data!B887-1)*100,"")</f>
        <v>0.2274132890799363</v>
      </c>
      <c r="C888" s="2">
        <f>IFERROR((Data!C888/Data!C887-1)*100,"")</f>
        <v>0.35373384577535028</v>
      </c>
      <c r="D888">
        <f t="shared" si="119"/>
        <v>0.39040158872361747</v>
      </c>
      <c r="E888">
        <f t="shared" si="120"/>
        <v>0.20462494185617963</v>
      </c>
      <c r="P888" t="str" cm="1">
        <f t="array" ref="P888">_xlfn.IFS(
  AND(D888&gt;0,E888&gt;0),"Expansion",
  AND(D888&lt;0,E888&gt;0),"Slowdown",
  AND(D888&lt;0,E888&lt;0),"Contraction",
  AND(D888&gt;0,E888&lt;0),"Recovery",
  TRUE,"Undefined"
)</f>
        <v>Expansion</v>
      </c>
      <c r="Q888" t="str">
        <f t="shared" si="127"/>
        <v>Expansion</v>
      </c>
      <c r="R888">
        <f t="shared" si="121"/>
        <v>1</v>
      </c>
      <c r="S888">
        <f t="shared" si="122"/>
        <v>1</v>
      </c>
      <c r="T888">
        <f t="shared" si="123"/>
        <v>1</v>
      </c>
      <c r="U888">
        <f t="shared" si="124"/>
        <v>1</v>
      </c>
      <c r="V888" t="str" cm="1">
        <f t="array" ref="V888">_xlfn.IFS(
  AND(S888&gt;0,U888&gt;0),"Expansion",
  AND(S888&lt;0,U888&gt;0),"Slowdown",
  AND(S888&lt;0,U888&lt;0),"Contraction",
  AND(S888&gt;0,U888&lt;0),"Recovery",
  TRUE,"Undefined"
)</f>
        <v>Expansion</v>
      </c>
      <c r="W888">
        <f t="shared" si="125"/>
        <v>0</v>
      </c>
      <c r="X888">
        <f t="shared" si="126"/>
        <v>0</v>
      </c>
      <c r="Y888">
        <v>0</v>
      </c>
    </row>
    <row r="889" spans="1:25" x14ac:dyDescent="0.35">
      <c r="A889" s="1">
        <f>Data!A889</f>
        <v>44166</v>
      </c>
      <c r="B889" s="2">
        <f>IFERROR((Data!B889/Data!B888-1)*100,"")</f>
        <v>0.4346309661148906</v>
      </c>
      <c r="C889" s="2">
        <f>IFERROR((Data!C889/Data!C888-1)*100,"")</f>
        <v>1.3199205616718279</v>
      </c>
      <c r="D889">
        <f t="shared" si="119"/>
        <v>0.82620648422891596</v>
      </c>
      <c r="E889">
        <f t="shared" si="120"/>
        <v>0.2619639460171852</v>
      </c>
      <c r="P889" t="str" cm="1">
        <f t="array" ref="P889">_xlfn.IFS(
  AND(D889&gt;0,E889&gt;0),"Expansion",
  AND(D889&lt;0,E889&gt;0),"Slowdown",
  AND(D889&lt;0,E889&lt;0),"Contraction",
  AND(D889&gt;0,E889&lt;0),"Recovery",
  TRUE,"Undefined"
)</f>
        <v>Expansion</v>
      </c>
      <c r="Q889" t="str">
        <f t="shared" si="127"/>
        <v>Expansion</v>
      </c>
      <c r="R889">
        <f t="shared" si="121"/>
        <v>1</v>
      </c>
      <c r="S889">
        <f t="shared" si="122"/>
        <v>1</v>
      </c>
      <c r="T889">
        <f t="shared" si="123"/>
        <v>1</v>
      </c>
      <c r="U889">
        <f t="shared" si="124"/>
        <v>1</v>
      </c>
      <c r="V889" t="str" cm="1">
        <f t="array" ref="V889">_xlfn.IFS(
  AND(S889&gt;0,U889&gt;0),"Expansion",
  AND(S889&lt;0,U889&gt;0),"Slowdown",
  AND(S889&lt;0,U889&lt;0),"Contraction",
  AND(S889&gt;0,U889&lt;0),"Recovery",
  TRUE,"Undefined"
)</f>
        <v>Expansion</v>
      </c>
      <c r="W889">
        <f t="shared" si="125"/>
        <v>0</v>
      </c>
      <c r="X889">
        <f t="shared" si="126"/>
        <v>0</v>
      </c>
      <c r="Y889">
        <v>0</v>
      </c>
    </row>
    <row r="890" spans="1:25" x14ac:dyDescent="0.35">
      <c r="A890" s="1">
        <f>Data!A890</f>
        <v>44197</v>
      </c>
      <c r="B890" s="2">
        <f>IFERROR((Data!B890/Data!B889-1)*100,"")</f>
        <v>0.24499608845809373</v>
      </c>
      <c r="C890" s="2">
        <f>IFERROR((Data!C890/Data!C889-1)*100,"")</f>
        <v>0.52784075312870549</v>
      </c>
      <c r="D890">
        <f t="shared" si="119"/>
        <v>0.73383172019196119</v>
      </c>
      <c r="E890">
        <f t="shared" si="120"/>
        <v>0.30234678121764019</v>
      </c>
      <c r="P890" t="str" cm="1">
        <f t="array" ref="P890">_xlfn.IFS(
  AND(D890&gt;0,E890&gt;0),"Expansion",
  AND(D890&lt;0,E890&gt;0),"Slowdown",
  AND(D890&lt;0,E890&lt;0),"Contraction",
  AND(D890&gt;0,E890&lt;0),"Recovery",
  TRUE,"Undefined"
)</f>
        <v>Expansion</v>
      </c>
      <c r="Q890" t="str">
        <f t="shared" si="127"/>
        <v>Expansion</v>
      </c>
      <c r="R890">
        <f t="shared" si="121"/>
        <v>1</v>
      </c>
      <c r="S890">
        <f t="shared" si="122"/>
        <v>1</v>
      </c>
      <c r="T890">
        <f t="shared" si="123"/>
        <v>1</v>
      </c>
      <c r="U890">
        <f t="shared" si="124"/>
        <v>1</v>
      </c>
      <c r="V890" t="str" cm="1">
        <f t="array" ref="V890">_xlfn.IFS(
  AND(S890&gt;0,U890&gt;0),"Expansion",
  AND(S890&lt;0,U890&gt;0),"Slowdown",
  AND(S890&lt;0,U890&lt;0),"Contraction",
  AND(S890&gt;0,U890&lt;0),"Recovery",
  TRUE,"Undefined"
)</f>
        <v>Expansion</v>
      </c>
      <c r="W890">
        <f t="shared" si="125"/>
        <v>0</v>
      </c>
      <c r="X890">
        <f t="shared" si="126"/>
        <v>0</v>
      </c>
      <c r="Y890">
        <v>0</v>
      </c>
    </row>
    <row r="891" spans="1:25" x14ac:dyDescent="0.35">
      <c r="A891" s="1">
        <f>Data!A891</f>
        <v>44228</v>
      </c>
      <c r="B891" s="2">
        <f>IFERROR((Data!B891/Data!B890-1)*100,"")</f>
        <v>0.33956762230333837</v>
      </c>
      <c r="C891" s="2">
        <f>IFERROR((Data!C891/Data!C890-1)*100,"")</f>
        <v>-3.3042347358776314</v>
      </c>
      <c r="D891">
        <f t="shared" si="119"/>
        <v>-0.48549114035903268</v>
      </c>
      <c r="E891">
        <f t="shared" si="120"/>
        <v>0.33973155895877422</v>
      </c>
      <c r="P891" t="str" cm="1">
        <f t="array" ref="P891">_xlfn.IFS(
  AND(D891&gt;0,E891&gt;0),"Expansion",
  AND(D891&lt;0,E891&gt;0),"Slowdown",
  AND(D891&lt;0,E891&lt;0),"Contraction",
  AND(D891&gt;0,E891&lt;0),"Recovery",
  TRUE,"Undefined"
)</f>
        <v>Slowdown</v>
      </c>
      <c r="Q891" t="str">
        <f t="shared" si="127"/>
        <v>Expansion</v>
      </c>
      <c r="R891">
        <f t="shared" si="121"/>
        <v>-1</v>
      </c>
      <c r="S891">
        <f t="shared" si="122"/>
        <v>-1</v>
      </c>
      <c r="T891">
        <f t="shared" si="123"/>
        <v>1</v>
      </c>
      <c r="U891">
        <f t="shared" si="124"/>
        <v>1</v>
      </c>
      <c r="V891" t="str" cm="1">
        <f t="array" ref="V891">_xlfn.IFS(
  AND(S891&gt;0,U891&gt;0),"Expansion",
  AND(S891&lt;0,U891&gt;0),"Slowdown",
  AND(S891&lt;0,U891&lt;0),"Contraction",
  AND(S891&gt;0,U891&lt;0),"Recovery",
  TRUE,"Undefined"
)</f>
        <v>Slowdown</v>
      </c>
      <c r="W891">
        <f t="shared" si="125"/>
        <v>0</v>
      </c>
      <c r="X891">
        <f t="shared" si="126"/>
        <v>0</v>
      </c>
      <c r="Y891">
        <v>0</v>
      </c>
    </row>
    <row r="892" spans="1:25" x14ac:dyDescent="0.35">
      <c r="A892" s="1">
        <f>Data!A892</f>
        <v>44256</v>
      </c>
      <c r="B892" s="2">
        <f>IFERROR((Data!B892/Data!B891-1)*100,"")</f>
        <v>0.52432098156529605</v>
      </c>
      <c r="C892" s="2">
        <f>IFERROR((Data!C892/Data!C891-1)*100,"")</f>
        <v>2.8977701174189185</v>
      </c>
      <c r="D892">
        <f t="shared" si="119"/>
        <v>4.0458711556664216E-2</v>
      </c>
      <c r="E892">
        <f t="shared" si="120"/>
        <v>0.36962823077557605</v>
      </c>
      <c r="P892" t="str" cm="1">
        <f t="array" ref="P892">_xlfn.IFS(
  AND(D892&gt;0,E892&gt;0),"Expansion",
  AND(D892&lt;0,E892&gt;0),"Slowdown",
  AND(D892&lt;0,E892&lt;0),"Contraction",
  AND(D892&gt;0,E892&lt;0),"Recovery",
  TRUE,"Undefined"
)</f>
        <v>Expansion</v>
      </c>
      <c r="Q892" t="str">
        <f t="shared" si="127"/>
        <v>Expansion</v>
      </c>
      <c r="R892">
        <f t="shared" si="121"/>
        <v>1</v>
      </c>
      <c r="S892">
        <f t="shared" si="122"/>
        <v>1</v>
      </c>
      <c r="T892">
        <f t="shared" si="123"/>
        <v>1</v>
      </c>
      <c r="U892">
        <f t="shared" si="124"/>
        <v>1</v>
      </c>
      <c r="V892" t="str" cm="1">
        <f t="array" ref="V892">_xlfn.IFS(
  AND(S892&gt;0,U892&gt;0),"Expansion",
  AND(S892&lt;0,U892&gt;0),"Slowdown",
  AND(S892&lt;0,U892&lt;0),"Contraction",
  AND(S892&gt;0,U892&lt;0),"Recovery",
  TRUE,"Undefined"
)</f>
        <v>Expansion</v>
      </c>
      <c r="W892">
        <f t="shared" si="125"/>
        <v>0</v>
      </c>
      <c r="X892">
        <f t="shared" si="126"/>
        <v>0</v>
      </c>
      <c r="Y892">
        <v>0</v>
      </c>
    </row>
    <row r="893" spans="1:25" x14ac:dyDescent="0.35">
      <c r="A893" s="1">
        <f>Data!A893</f>
        <v>44287</v>
      </c>
      <c r="B893" s="2">
        <f>IFERROR((Data!B893/Data!B892-1)*100,"")</f>
        <v>0.62386539905872063</v>
      </c>
      <c r="C893" s="2">
        <f>IFERROR((Data!C893/Data!C892-1)*100,"")</f>
        <v>0.17594038151924618</v>
      </c>
      <c r="D893">
        <f t="shared" si="119"/>
        <v>-7.6841412313155555E-2</v>
      </c>
      <c r="E893">
        <f t="shared" si="120"/>
        <v>0.49591800097578503</v>
      </c>
      <c r="P893" t="str" cm="1">
        <f t="array" ref="P893">_xlfn.IFS(
  AND(D893&gt;0,E893&gt;0),"Expansion",
  AND(D893&lt;0,E893&gt;0),"Slowdown",
  AND(D893&lt;0,E893&lt;0),"Contraction",
  AND(D893&gt;0,E893&lt;0),"Recovery",
  TRUE,"Undefined"
)</f>
        <v>Slowdown</v>
      </c>
      <c r="Q893" t="str">
        <f t="shared" si="127"/>
        <v>Expansion</v>
      </c>
      <c r="R893">
        <f t="shared" si="121"/>
        <v>1</v>
      </c>
      <c r="S893">
        <f t="shared" si="122"/>
        <v>1</v>
      </c>
      <c r="T893">
        <f t="shared" si="123"/>
        <v>1</v>
      </c>
      <c r="U893">
        <f t="shared" si="124"/>
        <v>1</v>
      </c>
      <c r="V893" t="str" cm="1">
        <f t="array" ref="V893">_xlfn.IFS(
  AND(S893&gt;0,U893&gt;0),"Expansion",
  AND(S893&lt;0,U893&gt;0),"Slowdown",
  AND(S893&lt;0,U893&lt;0),"Contraction",
  AND(S893&gt;0,U893&lt;0),"Recovery",
  TRUE,"Undefined"
)</f>
        <v>Expansion</v>
      </c>
      <c r="W893">
        <f t="shared" si="125"/>
        <v>0</v>
      </c>
      <c r="X893">
        <f t="shared" si="126"/>
        <v>0</v>
      </c>
      <c r="Y893">
        <v>0</v>
      </c>
    </row>
    <row r="894" spans="1:25" x14ac:dyDescent="0.35">
      <c r="A894" s="1">
        <f>Data!A894</f>
        <v>44317</v>
      </c>
      <c r="B894" s="2">
        <f>IFERROR((Data!B894/Data!B893-1)*100,"")</f>
        <v>0.66350604244338474</v>
      </c>
      <c r="C894" s="2">
        <f>IFERROR((Data!C894/Data!C893-1)*100,"")</f>
        <v>0.8873899513690775</v>
      </c>
      <c r="D894">
        <f t="shared" si="119"/>
        <v>1.3203668167690807</v>
      </c>
      <c r="E894">
        <f t="shared" si="120"/>
        <v>0.60389747435580043</v>
      </c>
      <c r="P894" t="str" cm="1">
        <f t="array" ref="P894">_xlfn.IFS(
  AND(D894&gt;0,E894&gt;0),"Expansion",
  AND(D894&lt;0,E894&gt;0),"Slowdown",
  AND(D894&lt;0,E894&lt;0),"Contraction",
  AND(D894&gt;0,E894&lt;0),"Recovery",
  TRUE,"Undefined"
)</f>
        <v>Expansion</v>
      </c>
      <c r="Q894" t="str">
        <f t="shared" si="127"/>
        <v>Expansion</v>
      </c>
      <c r="R894">
        <f t="shared" si="121"/>
        <v>1</v>
      </c>
      <c r="S894">
        <f t="shared" si="122"/>
        <v>1</v>
      </c>
      <c r="T894">
        <f t="shared" si="123"/>
        <v>1</v>
      </c>
      <c r="U894">
        <f t="shared" si="124"/>
        <v>1</v>
      </c>
      <c r="V894" t="str" cm="1">
        <f t="array" ref="V894">_xlfn.IFS(
  AND(S894&gt;0,U894&gt;0),"Expansion",
  AND(S894&lt;0,U894&gt;0),"Slowdown",
  AND(S894&lt;0,U894&lt;0),"Contraction",
  AND(S894&gt;0,U894&lt;0),"Recovery",
  TRUE,"Undefined"
)</f>
        <v>Expansion</v>
      </c>
      <c r="W894">
        <f t="shared" si="125"/>
        <v>0</v>
      </c>
      <c r="X894">
        <f t="shared" si="126"/>
        <v>0</v>
      </c>
      <c r="Y894">
        <v>0</v>
      </c>
    </row>
    <row r="895" spans="1:25" x14ac:dyDescent="0.35">
      <c r="A895" s="1">
        <f>Data!A895</f>
        <v>44348</v>
      </c>
      <c r="B895" s="2">
        <f>IFERROR((Data!B895/Data!B894-1)*100,"")</f>
        <v>0.84617878181554307</v>
      </c>
      <c r="C895" s="2">
        <f>IFERROR((Data!C895/Data!C894-1)*100,"")</f>
        <v>0.36748252346043841</v>
      </c>
      <c r="D895">
        <f t="shared" si="119"/>
        <v>0.47693761878292068</v>
      </c>
      <c r="E895">
        <f t="shared" si="120"/>
        <v>0.71118340777254951</v>
      </c>
      <c r="P895" t="str" cm="1">
        <f t="array" ref="P895">_xlfn.IFS(
  AND(D895&gt;0,E895&gt;0),"Expansion",
  AND(D895&lt;0,E895&gt;0),"Slowdown",
  AND(D895&lt;0,E895&lt;0),"Contraction",
  AND(D895&gt;0,E895&lt;0),"Recovery",
  TRUE,"Undefined"
)</f>
        <v>Expansion</v>
      </c>
      <c r="Q895" t="str">
        <f t="shared" si="127"/>
        <v>Expansion</v>
      </c>
      <c r="R895">
        <f t="shared" si="121"/>
        <v>1</v>
      </c>
      <c r="S895">
        <f t="shared" si="122"/>
        <v>1</v>
      </c>
      <c r="T895">
        <f t="shared" si="123"/>
        <v>1</v>
      </c>
      <c r="U895">
        <f t="shared" si="124"/>
        <v>1</v>
      </c>
      <c r="V895" t="str" cm="1">
        <f t="array" ref="V895">_xlfn.IFS(
  AND(S895&gt;0,U895&gt;0),"Expansion",
  AND(S895&lt;0,U895&gt;0),"Slowdown",
  AND(S895&lt;0,U895&lt;0),"Contraction",
  AND(S895&gt;0,U895&lt;0),"Recovery",
  TRUE,"Undefined"
)</f>
        <v>Expansion</v>
      </c>
      <c r="W895">
        <f t="shared" si="125"/>
        <v>0</v>
      </c>
      <c r="X895">
        <f t="shared" si="126"/>
        <v>0</v>
      </c>
      <c r="Y895">
        <v>0</v>
      </c>
    </row>
    <row r="896" spans="1:25" x14ac:dyDescent="0.35">
      <c r="A896" s="1">
        <f>Data!A896</f>
        <v>44378</v>
      </c>
      <c r="B896" s="2">
        <f>IFERROR((Data!B896/Data!B895-1)*100,"")</f>
        <v>0.46147479808169578</v>
      </c>
      <c r="C896" s="2">
        <f>IFERROR((Data!C896/Data!C895-1)*100,"")</f>
        <v>0.45411413174720749</v>
      </c>
      <c r="D896">
        <f t="shared" si="119"/>
        <v>0.56966220219224117</v>
      </c>
      <c r="E896">
        <f t="shared" si="120"/>
        <v>0.65705320744687457</v>
      </c>
      <c r="P896" t="str" cm="1">
        <f t="array" ref="P896">_xlfn.IFS(
  AND(D896&gt;0,E896&gt;0),"Expansion",
  AND(D896&lt;0,E896&gt;0),"Slowdown",
  AND(D896&lt;0,E896&lt;0),"Contraction",
  AND(D896&gt;0,E896&lt;0),"Recovery",
  TRUE,"Undefined"
)</f>
        <v>Expansion</v>
      </c>
      <c r="Q896" t="str">
        <f t="shared" si="127"/>
        <v>Expansion</v>
      </c>
      <c r="R896">
        <f t="shared" si="121"/>
        <v>1</v>
      </c>
      <c r="S896">
        <f t="shared" si="122"/>
        <v>1</v>
      </c>
      <c r="T896">
        <f t="shared" si="123"/>
        <v>1</v>
      </c>
      <c r="U896">
        <f t="shared" si="124"/>
        <v>1</v>
      </c>
      <c r="V896" t="str" cm="1">
        <f t="array" ref="V896">_xlfn.IFS(
  AND(S896&gt;0,U896&gt;0),"Expansion",
  AND(S896&lt;0,U896&gt;0),"Slowdown",
  AND(S896&lt;0,U896&lt;0),"Contraction",
  AND(S896&gt;0,U896&lt;0),"Recovery",
  TRUE,"Undefined"
)</f>
        <v>Expansion</v>
      </c>
      <c r="W896">
        <f t="shared" si="125"/>
        <v>0</v>
      </c>
      <c r="X896">
        <f t="shared" si="126"/>
        <v>0</v>
      </c>
      <c r="Y896">
        <v>0</v>
      </c>
    </row>
    <row r="897" spans="1:25" x14ac:dyDescent="0.35">
      <c r="A897" s="1">
        <f>Data!A897</f>
        <v>44409</v>
      </c>
      <c r="B897" s="2">
        <f>IFERROR((Data!B897/Data!B896-1)*100,"")</f>
        <v>0.28429256021447191</v>
      </c>
      <c r="C897" s="2">
        <f>IFERROR((Data!C897/Data!C896-1)*100,"")</f>
        <v>-0.20767686198466251</v>
      </c>
      <c r="D897">
        <f t="shared" si="119"/>
        <v>0.20463993107432779</v>
      </c>
      <c r="E897">
        <f t="shared" si="120"/>
        <v>0.53064871337057029</v>
      </c>
      <c r="P897" t="str" cm="1">
        <f t="array" ref="P897">_xlfn.IFS(
  AND(D897&gt;0,E897&gt;0),"Expansion",
  AND(D897&lt;0,E897&gt;0),"Slowdown",
  AND(D897&lt;0,E897&lt;0),"Contraction",
  AND(D897&gt;0,E897&lt;0),"Recovery",
  TRUE,"Undefined"
)</f>
        <v>Expansion</v>
      </c>
      <c r="Q897" t="str">
        <f t="shared" si="127"/>
        <v>Expansion</v>
      </c>
      <c r="R897">
        <f t="shared" si="121"/>
        <v>1</v>
      </c>
      <c r="S897">
        <f t="shared" si="122"/>
        <v>1</v>
      </c>
      <c r="T897">
        <f t="shared" si="123"/>
        <v>1</v>
      </c>
      <c r="U897">
        <f t="shared" si="124"/>
        <v>1</v>
      </c>
      <c r="V897" t="str" cm="1">
        <f t="array" ref="V897">_xlfn.IFS(
  AND(S897&gt;0,U897&gt;0),"Expansion",
  AND(S897&lt;0,U897&gt;0),"Slowdown",
  AND(S897&lt;0,U897&lt;0),"Contraction",
  AND(S897&gt;0,U897&lt;0),"Recovery",
  TRUE,"Undefined"
)</f>
        <v>Expansion</v>
      </c>
      <c r="W897">
        <f t="shared" si="125"/>
        <v>0</v>
      </c>
      <c r="X897">
        <f t="shared" si="126"/>
        <v>0</v>
      </c>
      <c r="Y897">
        <v>0</v>
      </c>
    </row>
    <row r="898" spans="1:25" x14ac:dyDescent="0.35">
      <c r="A898" s="1">
        <f>Data!A898</f>
        <v>44440</v>
      </c>
      <c r="B898" s="2">
        <f>IFERROR((Data!B898/Data!B897-1)*100,"")</f>
        <v>0.4525517463950024</v>
      </c>
      <c r="C898" s="2">
        <f>IFERROR((Data!C898/Data!C897-1)*100,"")</f>
        <v>-1.1852820317521218</v>
      </c>
      <c r="D898">
        <f t="shared" si="119"/>
        <v>-0.31294825399652559</v>
      </c>
      <c r="E898">
        <f t="shared" si="120"/>
        <v>0.39943970156372338</v>
      </c>
      <c r="P898" t="str" cm="1">
        <f t="array" ref="P898">_xlfn.IFS(
  AND(D898&gt;0,E898&gt;0),"Expansion",
  AND(D898&lt;0,E898&gt;0),"Slowdown",
  AND(D898&lt;0,E898&lt;0),"Contraction",
  AND(D898&gt;0,E898&lt;0),"Recovery",
  TRUE,"Undefined"
)</f>
        <v>Slowdown</v>
      </c>
      <c r="Q898" t="str">
        <f t="shared" si="127"/>
        <v>Expansion</v>
      </c>
      <c r="R898">
        <f t="shared" si="121"/>
        <v>-1</v>
      </c>
      <c r="S898">
        <f t="shared" si="122"/>
        <v>-1</v>
      </c>
      <c r="T898">
        <f t="shared" si="123"/>
        <v>1</v>
      </c>
      <c r="U898">
        <f t="shared" si="124"/>
        <v>1</v>
      </c>
      <c r="V898" t="str" cm="1">
        <f t="array" ref="V898">_xlfn.IFS(
  AND(S898&gt;0,U898&gt;0),"Expansion",
  AND(S898&lt;0,U898&gt;0),"Slowdown",
  AND(S898&lt;0,U898&lt;0),"Contraction",
  AND(S898&gt;0,U898&lt;0),"Recovery",
  TRUE,"Undefined"
)</f>
        <v>Slowdown</v>
      </c>
      <c r="W898">
        <f t="shared" si="125"/>
        <v>0</v>
      </c>
      <c r="X898">
        <f t="shared" si="126"/>
        <v>0</v>
      </c>
      <c r="Y898">
        <v>0</v>
      </c>
    </row>
    <row r="899" spans="1:25" x14ac:dyDescent="0.35">
      <c r="A899" s="1">
        <f>Data!A899</f>
        <v>44470</v>
      </c>
      <c r="B899" s="2">
        <f>IFERROR((Data!B899/Data!B898-1)*100,"")</f>
        <v>0.96382023292320707</v>
      </c>
      <c r="C899" s="2">
        <f>IFERROR((Data!C899/Data!C898-1)*100,"")</f>
        <v>1.3435446231408799</v>
      </c>
      <c r="D899">
        <f t="shared" si="119"/>
        <v>-1.6471423531968139E-2</v>
      </c>
      <c r="E899">
        <f t="shared" si="120"/>
        <v>0.56688817984422712</v>
      </c>
      <c r="P899" t="str" cm="1">
        <f t="array" ref="P899">_xlfn.IFS(
  AND(D899&gt;0,E899&gt;0),"Expansion",
  AND(D899&lt;0,E899&gt;0),"Slowdown",
  AND(D899&lt;0,E899&lt;0),"Contraction",
  AND(D899&gt;0,E899&lt;0),"Recovery",
  TRUE,"Undefined"
)</f>
        <v>Slowdown</v>
      </c>
      <c r="Q899" t="str">
        <f t="shared" si="127"/>
        <v>Expansion</v>
      </c>
      <c r="R899">
        <f t="shared" si="121"/>
        <v>1</v>
      </c>
      <c r="S899">
        <f t="shared" si="122"/>
        <v>1</v>
      </c>
      <c r="T899">
        <f t="shared" si="123"/>
        <v>1</v>
      </c>
      <c r="U899">
        <f t="shared" si="124"/>
        <v>1</v>
      </c>
      <c r="V899" t="str" cm="1">
        <f t="array" ref="V899">_xlfn.IFS(
  AND(S899&gt;0,U899&gt;0),"Expansion",
  AND(S899&lt;0,U899&gt;0),"Slowdown",
  AND(S899&lt;0,U899&lt;0),"Contraction",
  AND(S899&gt;0,U899&lt;0),"Recovery",
  TRUE,"Undefined"
)</f>
        <v>Expansion</v>
      </c>
      <c r="W899">
        <f t="shared" si="125"/>
        <v>0</v>
      </c>
      <c r="X899">
        <f t="shared" si="126"/>
        <v>0</v>
      </c>
      <c r="Y899">
        <v>0</v>
      </c>
    </row>
    <row r="900" spans="1:25" x14ac:dyDescent="0.35">
      <c r="A900" s="1">
        <f>Data!A900</f>
        <v>44501</v>
      </c>
      <c r="B900" s="2">
        <f>IFERROR((Data!B900/Data!B899-1)*100,"")</f>
        <v>0.85662628819380693</v>
      </c>
      <c r="C900" s="2">
        <f>IFERROR((Data!C900/Data!C899-1)*100,"")</f>
        <v>0.67803817096383501</v>
      </c>
      <c r="D900">
        <f t="shared" si="119"/>
        <v>0.27876692078419768</v>
      </c>
      <c r="E900">
        <f t="shared" si="120"/>
        <v>0.75766608917067213</v>
      </c>
      <c r="P900" t="str" cm="1">
        <f t="array" ref="P900">_xlfn.IFS(
  AND(D900&gt;0,E900&gt;0),"Expansion",
  AND(D900&lt;0,E900&gt;0),"Slowdown",
  AND(D900&lt;0,E900&lt;0),"Contraction",
  AND(D900&gt;0,E900&lt;0),"Recovery",
  TRUE,"Undefined"
)</f>
        <v>Expansion</v>
      </c>
      <c r="Q900" t="str">
        <f t="shared" si="127"/>
        <v>Expansion</v>
      </c>
      <c r="R900">
        <f t="shared" si="121"/>
        <v>1</v>
      </c>
      <c r="S900">
        <f t="shared" si="122"/>
        <v>1</v>
      </c>
      <c r="T900">
        <f t="shared" si="123"/>
        <v>1</v>
      </c>
      <c r="U900">
        <f t="shared" si="124"/>
        <v>1</v>
      </c>
      <c r="V900" t="str" cm="1">
        <f t="array" ref="V900">_xlfn.IFS(
  AND(S900&gt;0,U900&gt;0),"Expansion",
  AND(S900&lt;0,U900&gt;0),"Slowdown",
  AND(S900&lt;0,U900&lt;0),"Contraction",
  AND(S900&gt;0,U900&lt;0),"Recovery",
  TRUE,"Undefined"
)</f>
        <v>Expansion</v>
      </c>
      <c r="W900">
        <f t="shared" si="125"/>
        <v>0</v>
      </c>
      <c r="X900">
        <f t="shared" si="126"/>
        <v>0</v>
      </c>
      <c r="Y900">
        <v>0</v>
      </c>
    </row>
    <row r="901" spans="1:25" x14ac:dyDescent="0.35">
      <c r="A901" s="1">
        <f>Data!A901</f>
        <v>44531</v>
      </c>
      <c r="B901" s="2">
        <f>IFERROR((Data!B901/Data!B900-1)*100,"")</f>
        <v>0.69052305508052747</v>
      </c>
      <c r="C901" s="2">
        <f>IFERROR((Data!C901/Data!C900-1)*100,"")</f>
        <v>-0.2902878489551397</v>
      </c>
      <c r="D901">
        <f t="shared" ref="D901:D951" si="128">SUM(C899:C901)/3</f>
        <v>0.57709831504985842</v>
      </c>
      <c r="E901">
        <f t="shared" ref="E901:E951" si="129">SUM(B899:B901)/3</f>
        <v>0.83698985873251386</v>
      </c>
      <c r="P901" t="str" cm="1">
        <f t="array" ref="P901">_xlfn.IFS(
  AND(D901&gt;0,E901&gt;0),"Expansion",
  AND(D901&lt;0,E901&gt;0),"Slowdown",
  AND(D901&lt;0,E901&lt;0),"Contraction",
  AND(D901&gt;0,E901&lt;0),"Recovery",
  TRUE,"Undefined"
)</f>
        <v>Expansion</v>
      </c>
      <c r="Q901" t="str">
        <f t="shared" si="127"/>
        <v>Expansion</v>
      </c>
      <c r="R901">
        <f t="shared" si="121"/>
        <v>1</v>
      </c>
      <c r="S901">
        <f t="shared" si="122"/>
        <v>1</v>
      </c>
      <c r="T901">
        <f t="shared" si="123"/>
        <v>1</v>
      </c>
      <c r="U901">
        <f t="shared" si="124"/>
        <v>1</v>
      </c>
      <c r="V901" t="str" cm="1">
        <f t="array" ref="V901">_xlfn.IFS(
  AND(S901&gt;0,U901&gt;0),"Expansion",
  AND(S901&lt;0,U901&gt;0),"Slowdown",
  AND(S901&lt;0,U901&lt;0),"Contraction",
  AND(S901&gt;0,U901&lt;0),"Recovery",
  TRUE,"Undefined"
)</f>
        <v>Expansion</v>
      </c>
      <c r="W901">
        <f t="shared" si="125"/>
        <v>0</v>
      </c>
      <c r="X901">
        <f t="shared" si="126"/>
        <v>0</v>
      </c>
      <c r="Y901">
        <v>0</v>
      </c>
    </row>
    <row r="902" spans="1:25" x14ac:dyDescent="0.35">
      <c r="A902" s="1">
        <f>Data!A902</f>
        <v>44562</v>
      </c>
      <c r="B902" s="2">
        <f>IFERROR((Data!B902/Data!B901-1)*100,"")</f>
        <v>0.60460396304009567</v>
      </c>
      <c r="C902" s="2">
        <f>IFERROR((Data!C902/Data!C901-1)*100,"")</f>
        <v>-0.38479665435715571</v>
      </c>
      <c r="D902">
        <f t="shared" si="128"/>
        <v>9.8455588384653114E-4</v>
      </c>
      <c r="E902">
        <f t="shared" si="129"/>
        <v>0.71725110210481002</v>
      </c>
      <c r="P902" t="str" cm="1">
        <f t="array" ref="P902">_xlfn.IFS(
  AND(D902&gt;0,E902&gt;0),"Expansion",
  AND(D902&lt;0,E902&gt;0),"Slowdown",
  AND(D902&lt;0,E902&lt;0),"Contraction",
  AND(D902&gt;0,E902&lt;0),"Recovery",
  TRUE,"Undefined"
)</f>
        <v>Expansion</v>
      </c>
      <c r="Q902" t="str">
        <f t="shared" si="127"/>
        <v>Expansion</v>
      </c>
      <c r="R902">
        <f t="shared" ref="R902:R951" si="130">IF(D902&gt;-0.26, 1, -1)</f>
        <v>1</v>
      </c>
      <c r="S902">
        <f t="shared" ref="S902:S951" si="131">IF(R902=1, IF(D902 &lt; -$L$5, -1, 1), IF(D902 &gt; $L$5, 1, -1))</f>
        <v>1</v>
      </c>
      <c r="T902">
        <f t="shared" ref="T902:T951" si="132">IF(E902&gt;0, 1, -1)</f>
        <v>1</v>
      </c>
      <c r="U902">
        <f t="shared" ref="U902:U951" si="133">IF(T902=1, IF(E902 &lt; -$M$5, -1, 1), IF(E902 &gt; $M$5, 1, -1))</f>
        <v>1</v>
      </c>
      <c r="V902" t="str" cm="1">
        <f t="array" ref="V902">_xlfn.IFS(
  AND(S902&gt;0,U902&gt;0),"Expansion",
  AND(S902&lt;0,U902&gt;0),"Slowdown",
  AND(S902&lt;0,U902&lt;0),"Contraction",
  AND(S902&gt;0,U902&lt;0),"Recovery",
  TRUE,"Undefined"
)</f>
        <v>Expansion</v>
      </c>
      <c r="W902">
        <f t="shared" ref="W902:W951" si="134">IF(Q902="Contraction", 1, 0)</f>
        <v>0</v>
      </c>
      <c r="X902">
        <f t="shared" ref="X902:X951" si="135">IF(V902="Contraction", 1, 0)</f>
        <v>0</v>
      </c>
      <c r="Y902">
        <v>0</v>
      </c>
    </row>
    <row r="903" spans="1:25" x14ac:dyDescent="0.35">
      <c r="A903" s="1">
        <f>Data!A903</f>
        <v>44593</v>
      </c>
      <c r="B903" s="2">
        <f>IFERROR((Data!B903/Data!B902-1)*100,"")</f>
        <v>0.69263793475682345</v>
      </c>
      <c r="C903" s="2">
        <f>IFERROR((Data!C903/Data!C902-1)*100,"")</f>
        <v>0.61964992973042587</v>
      </c>
      <c r="D903">
        <f t="shared" si="128"/>
        <v>-1.8478191193956512E-2</v>
      </c>
      <c r="E903">
        <f t="shared" si="129"/>
        <v>0.66258831762581549</v>
      </c>
      <c r="P903" t="str" cm="1">
        <f t="array" ref="P903">_xlfn.IFS(
  AND(D903&gt;0,E903&gt;0),"Expansion",
  AND(D903&lt;0,E903&gt;0),"Slowdown",
  AND(D903&lt;0,E903&lt;0),"Contraction",
  AND(D903&gt;0,E903&lt;0),"Recovery",
  TRUE,"Undefined"
)</f>
        <v>Slowdown</v>
      </c>
      <c r="Q903" t="str">
        <f t="shared" si="127"/>
        <v>Expansion</v>
      </c>
      <c r="R903">
        <f t="shared" si="130"/>
        <v>1</v>
      </c>
      <c r="S903">
        <f t="shared" si="131"/>
        <v>1</v>
      </c>
      <c r="T903">
        <f t="shared" si="132"/>
        <v>1</v>
      </c>
      <c r="U903">
        <f t="shared" si="133"/>
        <v>1</v>
      </c>
      <c r="V903" t="str" cm="1">
        <f t="array" ref="V903">_xlfn.IFS(
  AND(S903&gt;0,U903&gt;0),"Expansion",
  AND(S903&lt;0,U903&gt;0),"Slowdown",
  AND(S903&lt;0,U903&lt;0),"Contraction",
  AND(S903&gt;0,U903&lt;0),"Recovery",
  TRUE,"Undefined"
)</f>
        <v>Expansion</v>
      </c>
      <c r="W903">
        <f t="shared" si="134"/>
        <v>0</v>
      </c>
      <c r="X903">
        <f t="shared" si="135"/>
        <v>0</v>
      </c>
      <c r="Y903">
        <v>0</v>
      </c>
    </row>
    <row r="904" spans="1:25" x14ac:dyDescent="0.35">
      <c r="A904" s="1">
        <f>Data!A904</f>
        <v>44621</v>
      </c>
      <c r="B904" s="2">
        <f>IFERROR((Data!B904/Data!B903-1)*100,"")</f>
        <v>1.1156414762741651</v>
      </c>
      <c r="C904" s="2">
        <f>IFERROR((Data!C904/Data!C903-1)*100,"")</f>
        <v>0.57962589676845422</v>
      </c>
      <c r="D904">
        <f t="shared" si="128"/>
        <v>0.27149305738057478</v>
      </c>
      <c r="E904">
        <f t="shared" si="129"/>
        <v>0.8042944580236947</v>
      </c>
      <c r="P904" t="str" cm="1">
        <f t="array" ref="P904">_xlfn.IFS(
  AND(D904&gt;0,E904&gt;0),"Expansion",
  AND(D904&lt;0,E904&gt;0),"Slowdown",
  AND(D904&lt;0,E904&lt;0),"Contraction",
  AND(D904&gt;0,E904&lt;0),"Recovery",
  TRUE,"Undefined"
)</f>
        <v>Expansion</v>
      </c>
      <c r="Q904" t="str">
        <f t="shared" ref="Q904:Q951" si="136">IF(AND(P904=P903, P903=P902), P904, Q903)</f>
        <v>Expansion</v>
      </c>
      <c r="R904">
        <f t="shared" si="130"/>
        <v>1</v>
      </c>
      <c r="S904">
        <f t="shared" si="131"/>
        <v>1</v>
      </c>
      <c r="T904">
        <f t="shared" si="132"/>
        <v>1</v>
      </c>
      <c r="U904">
        <f t="shared" si="133"/>
        <v>1</v>
      </c>
      <c r="V904" t="str" cm="1">
        <f t="array" ref="V904">_xlfn.IFS(
  AND(S904&gt;0,U904&gt;0),"Expansion",
  AND(S904&lt;0,U904&gt;0),"Slowdown",
  AND(S904&lt;0,U904&lt;0),"Contraction",
  AND(S904&gt;0,U904&lt;0),"Recovery",
  TRUE,"Undefined"
)</f>
        <v>Expansion</v>
      </c>
      <c r="W904">
        <f t="shared" si="134"/>
        <v>0</v>
      </c>
      <c r="X904">
        <f t="shared" si="135"/>
        <v>0</v>
      </c>
      <c r="Y904">
        <v>0</v>
      </c>
    </row>
    <row r="905" spans="1:25" x14ac:dyDescent="0.35">
      <c r="A905" s="1">
        <f>Data!A905</f>
        <v>44652</v>
      </c>
      <c r="B905" s="2">
        <f>IFERROR((Data!B905/Data!B904-1)*100,"")</f>
        <v>0.30833512934780316</v>
      </c>
      <c r="C905" s="2">
        <f>IFERROR((Data!C905/Data!C904-1)*100,"")</f>
        <v>4.8623788966839498E-2</v>
      </c>
      <c r="D905">
        <f t="shared" si="128"/>
        <v>0.41596653848857318</v>
      </c>
      <c r="E905">
        <f t="shared" si="129"/>
        <v>0.7055381801262639</v>
      </c>
      <c r="P905" t="str" cm="1">
        <f t="array" ref="P905">_xlfn.IFS(
  AND(D905&gt;0,E905&gt;0),"Expansion",
  AND(D905&lt;0,E905&gt;0),"Slowdown",
  AND(D905&lt;0,E905&lt;0),"Contraction",
  AND(D905&gt;0,E905&lt;0),"Recovery",
  TRUE,"Undefined"
)</f>
        <v>Expansion</v>
      </c>
      <c r="Q905" t="str">
        <f t="shared" si="136"/>
        <v>Expansion</v>
      </c>
      <c r="R905">
        <f t="shared" si="130"/>
        <v>1</v>
      </c>
      <c r="S905">
        <f t="shared" si="131"/>
        <v>1</v>
      </c>
      <c r="T905">
        <f t="shared" si="132"/>
        <v>1</v>
      </c>
      <c r="U905">
        <f t="shared" si="133"/>
        <v>1</v>
      </c>
      <c r="V905" t="str" cm="1">
        <f t="array" ref="V905">_xlfn.IFS(
  AND(S905&gt;0,U905&gt;0),"Expansion",
  AND(S905&lt;0,U905&gt;0),"Slowdown",
  AND(S905&lt;0,U905&lt;0),"Contraction",
  AND(S905&gt;0,U905&lt;0),"Recovery",
  TRUE,"Undefined"
)</f>
        <v>Expansion</v>
      </c>
      <c r="W905">
        <f t="shared" si="134"/>
        <v>0</v>
      </c>
      <c r="X905">
        <f t="shared" si="135"/>
        <v>0</v>
      </c>
      <c r="Y905">
        <v>0</v>
      </c>
    </row>
    <row r="906" spans="1:25" x14ac:dyDescent="0.35">
      <c r="A906" s="1">
        <f>Data!A906</f>
        <v>44682</v>
      </c>
      <c r="B906" s="2">
        <f>IFERROR((Data!B906/Data!B905-1)*100,"")</f>
        <v>0.94849962399632393</v>
      </c>
      <c r="C906" s="2">
        <f>IFERROR((Data!C906/Data!C905-1)*100,"")</f>
        <v>-0.10498817034699792</v>
      </c>
      <c r="D906">
        <f t="shared" si="128"/>
        <v>0.17442050512943194</v>
      </c>
      <c r="E906">
        <f t="shared" si="129"/>
        <v>0.79082540987276406</v>
      </c>
      <c r="P906" t="str" cm="1">
        <f t="array" ref="P906">_xlfn.IFS(
  AND(D906&gt;0,E906&gt;0),"Expansion",
  AND(D906&lt;0,E906&gt;0),"Slowdown",
  AND(D906&lt;0,E906&lt;0),"Contraction",
  AND(D906&gt;0,E906&lt;0),"Recovery",
  TRUE,"Undefined"
)</f>
        <v>Expansion</v>
      </c>
      <c r="Q906" t="str">
        <f t="shared" si="136"/>
        <v>Expansion</v>
      </c>
      <c r="R906">
        <f t="shared" si="130"/>
        <v>1</v>
      </c>
      <c r="S906">
        <f t="shared" si="131"/>
        <v>1</v>
      </c>
      <c r="T906">
        <f t="shared" si="132"/>
        <v>1</v>
      </c>
      <c r="U906">
        <f t="shared" si="133"/>
        <v>1</v>
      </c>
      <c r="V906" t="str" cm="1">
        <f t="array" ref="V906">_xlfn.IFS(
  AND(S906&gt;0,U906&gt;0),"Expansion",
  AND(S906&lt;0,U906&gt;0),"Slowdown",
  AND(S906&lt;0,U906&lt;0),"Contraction",
  AND(S906&gt;0,U906&lt;0),"Recovery",
  TRUE,"Undefined"
)</f>
        <v>Expansion</v>
      </c>
      <c r="W906">
        <f t="shared" si="134"/>
        <v>0</v>
      </c>
      <c r="X906">
        <f t="shared" si="135"/>
        <v>0</v>
      </c>
      <c r="Y906">
        <v>0</v>
      </c>
    </row>
    <row r="907" spans="1:25" x14ac:dyDescent="0.35">
      <c r="A907" s="1">
        <f>Data!A907</f>
        <v>44713</v>
      </c>
      <c r="B907" s="2">
        <f>IFERROR((Data!B907/Data!B906-1)*100,"")</f>
        <v>1.2561019986405686</v>
      </c>
      <c r="C907" s="2">
        <f>IFERROR((Data!C907/Data!C906-1)*100,"")</f>
        <v>-0.31134817212471466</v>
      </c>
      <c r="D907">
        <f t="shared" si="128"/>
        <v>-0.12257085116829103</v>
      </c>
      <c r="E907">
        <f t="shared" si="129"/>
        <v>0.83764558399489852</v>
      </c>
      <c r="P907" t="str" cm="1">
        <f t="array" ref="P907">_xlfn.IFS(
  AND(D907&gt;0,E907&gt;0),"Expansion",
  AND(D907&lt;0,E907&gt;0),"Slowdown",
  AND(D907&lt;0,E907&lt;0),"Contraction",
  AND(D907&gt;0,E907&lt;0),"Recovery",
  TRUE,"Undefined"
)</f>
        <v>Slowdown</v>
      </c>
      <c r="Q907" t="str">
        <f t="shared" si="136"/>
        <v>Expansion</v>
      </c>
      <c r="R907">
        <f t="shared" si="130"/>
        <v>1</v>
      </c>
      <c r="S907">
        <f t="shared" si="131"/>
        <v>1</v>
      </c>
      <c r="T907">
        <f t="shared" si="132"/>
        <v>1</v>
      </c>
      <c r="U907">
        <f t="shared" si="133"/>
        <v>1</v>
      </c>
      <c r="V907" t="str" cm="1">
        <f t="array" ref="V907">_xlfn.IFS(
  AND(S907&gt;0,U907&gt;0),"Expansion",
  AND(S907&lt;0,U907&gt;0),"Slowdown",
  AND(S907&lt;0,U907&lt;0),"Contraction",
  AND(S907&gt;0,U907&lt;0),"Recovery",
  TRUE,"Undefined"
)</f>
        <v>Expansion</v>
      </c>
      <c r="W907">
        <f t="shared" si="134"/>
        <v>0</v>
      </c>
      <c r="X907">
        <f t="shared" si="135"/>
        <v>0</v>
      </c>
      <c r="Y907">
        <v>0</v>
      </c>
    </row>
    <row r="908" spans="1:25" x14ac:dyDescent="0.35">
      <c r="A908" s="1">
        <f>Data!A908</f>
        <v>44743</v>
      </c>
      <c r="B908" s="2">
        <f>IFERROR((Data!B908/Data!B907-1)*100,"")</f>
        <v>-1.4917428642136077E-2</v>
      </c>
      <c r="C908" s="2">
        <f>IFERROR((Data!C908/Data!C907-1)*100,"")</f>
        <v>0.2029341305509913</v>
      </c>
      <c r="D908">
        <f t="shared" si="128"/>
        <v>-7.1134070640240424E-2</v>
      </c>
      <c r="E908">
        <f t="shared" si="129"/>
        <v>0.72989473133158544</v>
      </c>
      <c r="P908" t="str" cm="1">
        <f t="array" ref="P908">_xlfn.IFS(
  AND(D908&gt;0,E908&gt;0),"Expansion",
  AND(D908&lt;0,E908&gt;0),"Slowdown",
  AND(D908&lt;0,E908&lt;0),"Contraction",
  AND(D908&gt;0,E908&lt;0),"Recovery",
  TRUE,"Undefined"
)</f>
        <v>Slowdown</v>
      </c>
      <c r="Q908" t="str">
        <f t="shared" si="136"/>
        <v>Expansion</v>
      </c>
      <c r="R908">
        <f t="shared" si="130"/>
        <v>1</v>
      </c>
      <c r="S908">
        <f t="shared" si="131"/>
        <v>1</v>
      </c>
      <c r="T908">
        <f t="shared" si="132"/>
        <v>1</v>
      </c>
      <c r="U908">
        <f t="shared" si="133"/>
        <v>1</v>
      </c>
      <c r="V908" t="str" cm="1">
        <f t="array" ref="V908">_xlfn.IFS(
  AND(S908&gt;0,U908&gt;0),"Expansion",
  AND(S908&lt;0,U908&gt;0),"Slowdown",
  AND(S908&lt;0,U908&lt;0),"Contraction",
  AND(S908&gt;0,U908&lt;0),"Recovery",
  TRUE,"Undefined"
)</f>
        <v>Expansion</v>
      </c>
      <c r="W908">
        <f t="shared" si="134"/>
        <v>0</v>
      </c>
      <c r="X908">
        <f t="shared" si="135"/>
        <v>0</v>
      </c>
      <c r="Y908">
        <v>0</v>
      </c>
    </row>
    <row r="909" spans="1:25" x14ac:dyDescent="0.35">
      <c r="A909" s="1">
        <f>Data!A909</f>
        <v>44774</v>
      </c>
      <c r="B909" s="2">
        <f>IFERROR((Data!B909/Data!B908-1)*100,"")</f>
        <v>6.2391281496565476E-2</v>
      </c>
      <c r="C909" s="2">
        <f>IFERROR((Data!C909/Data!C908-1)*100,"")</f>
        <v>-0.12516918091738383</v>
      </c>
      <c r="D909">
        <f t="shared" si="128"/>
        <v>-7.7861074163702401E-2</v>
      </c>
      <c r="E909">
        <f t="shared" si="129"/>
        <v>0.434525283831666</v>
      </c>
      <c r="P909" t="str" cm="1">
        <f t="array" ref="P909">_xlfn.IFS(
  AND(D909&gt;0,E909&gt;0),"Expansion",
  AND(D909&lt;0,E909&gt;0),"Slowdown",
  AND(D909&lt;0,E909&lt;0),"Contraction",
  AND(D909&gt;0,E909&lt;0),"Recovery",
  TRUE,"Undefined"
)</f>
        <v>Slowdown</v>
      </c>
      <c r="Q909" t="str">
        <f t="shared" si="136"/>
        <v>Slowdown</v>
      </c>
      <c r="R909">
        <f t="shared" si="130"/>
        <v>1</v>
      </c>
      <c r="S909">
        <f t="shared" si="131"/>
        <v>1</v>
      </c>
      <c r="T909">
        <f t="shared" si="132"/>
        <v>1</v>
      </c>
      <c r="U909">
        <f t="shared" si="133"/>
        <v>1</v>
      </c>
      <c r="V909" t="str" cm="1">
        <f t="array" ref="V909">_xlfn.IFS(
  AND(S909&gt;0,U909&gt;0),"Expansion",
  AND(S909&lt;0,U909&gt;0),"Slowdown",
  AND(S909&lt;0,U909&lt;0),"Contraction",
  AND(S909&gt;0,U909&lt;0),"Recovery",
  TRUE,"Undefined"
)</f>
        <v>Expansion</v>
      </c>
      <c r="W909">
        <f t="shared" si="134"/>
        <v>0</v>
      </c>
      <c r="X909">
        <f t="shared" si="135"/>
        <v>0</v>
      </c>
      <c r="Y909">
        <v>0</v>
      </c>
    </row>
    <row r="910" spans="1:25" x14ac:dyDescent="0.35">
      <c r="A910" s="1">
        <f>Data!A910</f>
        <v>44805</v>
      </c>
      <c r="B910" s="2">
        <f>IFERROR((Data!B910/Data!B909-1)*100,"")</f>
        <v>0.42426727482827165</v>
      </c>
      <c r="C910" s="2">
        <f>IFERROR((Data!C910/Data!C909-1)*100,"")</f>
        <v>0.19337997533044327</v>
      </c>
      <c r="D910">
        <f t="shared" si="128"/>
        <v>9.0381641654683584E-2</v>
      </c>
      <c r="E910">
        <f t="shared" si="129"/>
        <v>0.15724704256090036</v>
      </c>
      <c r="P910" t="str" cm="1">
        <f t="array" ref="P910">_xlfn.IFS(
  AND(D910&gt;0,E910&gt;0),"Expansion",
  AND(D910&lt;0,E910&gt;0),"Slowdown",
  AND(D910&lt;0,E910&lt;0),"Contraction",
  AND(D910&gt;0,E910&lt;0),"Recovery",
  TRUE,"Undefined"
)</f>
        <v>Expansion</v>
      </c>
      <c r="Q910" t="str">
        <f t="shared" si="136"/>
        <v>Slowdown</v>
      </c>
      <c r="R910">
        <f t="shared" si="130"/>
        <v>1</v>
      </c>
      <c r="S910">
        <f t="shared" si="131"/>
        <v>1</v>
      </c>
      <c r="T910">
        <f t="shared" si="132"/>
        <v>1</v>
      </c>
      <c r="U910">
        <f t="shared" si="133"/>
        <v>1</v>
      </c>
      <c r="V910" t="str" cm="1">
        <f t="array" ref="V910">_xlfn.IFS(
  AND(S910&gt;0,U910&gt;0),"Expansion",
  AND(S910&lt;0,U910&gt;0),"Slowdown",
  AND(S910&lt;0,U910&lt;0),"Contraction",
  AND(S910&gt;0,U910&lt;0),"Recovery",
  TRUE,"Undefined"
)</f>
        <v>Expansion</v>
      </c>
      <c r="W910">
        <f t="shared" si="134"/>
        <v>0</v>
      </c>
      <c r="X910">
        <f t="shared" si="135"/>
        <v>0</v>
      </c>
      <c r="Y910">
        <v>0</v>
      </c>
    </row>
    <row r="911" spans="1:25" x14ac:dyDescent="0.35">
      <c r="A911" s="1">
        <f>Data!A911</f>
        <v>44835</v>
      </c>
      <c r="B911" s="2">
        <f>IFERROR((Data!B911/Data!B910-1)*100,"")</f>
        <v>0.55947548329842167</v>
      </c>
      <c r="C911" s="2">
        <f>IFERROR((Data!C911/Data!C910-1)*100,"")</f>
        <v>-3.8403898439953732E-2</v>
      </c>
      <c r="D911">
        <f t="shared" si="128"/>
        <v>9.9356319910352351E-3</v>
      </c>
      <c r="E911">
        <f t="shared" si="129"/>
        <v>0.34871134654108626</v>
      </c>
      <c r="P911" t="str" cm="1">
        <f t="array" ref="P911">_xlfn.IFS(
  AND(D911&gt;0,E911&gt;0),"Expansion",
  AND(D911&lt;0,E911&gt;0),"Slowdown",
  AND(D911&lt;0,E911&lt;0),"Contraction",
  AND(D911&gt;0,E911&lt;0),"Recovery",
  TRUE,"Undefined"
)</f>
        <v>Expansion</v>
      </c>
      <c r="Q911" t="str">
        <f t="shared" si="136"/>
        <v>Slowdown</v>
      </c>
      <c r="R911">
        <f t="shared" si="130"/>
        <v>1</v>
      </c>
      <c r="S911">
        <f t="shared" si="131"/>
        <v>1</v>
      </c>
      <c r="T911">
        <f t="shared" si="132"/>
        <v>1</v>
      </c>
      <c r="U911">
        <f t="shared" si="133"/>
        <v>1</v>
      </c>
      <c r="V911" t="str" cm="1">
        <f t="array" ref="V911">_xlfn.IFS(
  AND(S911&gt;0,U911&gt;0),"Expansion",
  AND(S911&lt;0,U911&gt;0),"Slowdown",
  AND(S911&lt;0,U911&lt;0),"Contraction",
  AND(S911&gt;0,U911&lt;0),"Recovery",
  TRUE,"Undefined"
)</f>
        <v>Expansion</v>
      </c>
      <c r="W911">
        <f t="shared" si="134"/>
        <v>0</v>
      </c>
      <c r="X911">
        <f t="shared" si="135"/>
        <v>0</v>
      </c>
      <c r="Y911">
        <v>0</v>
      </c>
    </row>
    <row r="912" spans="1:25" x14ac:dyDescent="0.35">
      <c r="A912" s="1">
        <f>Data!A912</f>
        <v>44866</v>
      </c>
      <c r="B912" s="2">
        <f>IFERROR((Data!B912/Data!B911-1)*100,"")</f>
        <v>0.26140325562822309</v>
      </c>
      <c r="C912" s="2">
        <f>IFERROR((Data!C912/Data!C911-1)*100,"")</f>
        <v>-0.29401627015126497</v>
      </c>
      <c r="D912">
        <f t="shared" si="128"/>
        <v>-4.6346731086925143E-2</v>
      </c>
      <c r="E912">
        <f t="shared" si="129"/>
        <v>0.4150486712516388</v>
      </c>
      <c r="P912" t="str" cm="1">
        <f t="array" ref="P912">_xlfn.IFS(
  AND(D912&gt;0,E912&gt;0),"Expansion",
  AND(D912&lt;0,E912&gt;0),"Slowdown",
  AND(D912&lt;0,E912&lt;0),"Contraction",
  AND(D912&gt;0,E912&lt;0),"Recovery",
  TRUE,"Undefined"
)</f>
        <v>Slowdown</v>
      </c>
      <c r="Q912" t="str">
        <f t="shared" si="136"/>
        <v>Slowdown</v>
      </c>
      <c r="R912">
        <f t="shared" si="130"/>
        <v>1</v>
      </c>
      <c r="S912">
        <f t="shared" si="131"/>
        <v>1</v>
      </c>
      <c r="T912">
        <f t="shared" si="132"/>
        <v>1</v>
      </c>
      <c r="U912">
        <f t="shared" si="133"/>
        <v>1</v>
      </c>
      <c r="V912" t="str" cm="1">
        <f t="array" ref="V912">_xlfn.IFS(
  AND(S912&gt;0,U912&gt;0),"Expansion",
  AND(S912&lt;0,U912&gt;0),"Slowdown",
  AND(S912&lt;0,U912&lt;0),"Contraction",
  AND(S912&gt;0,U912&lt;0),"Recovery",
  TRUE,"Undefined"
)</f>
        <v>Expansion</v>
      </c>
      <c r="W912">
        <f t="shared" si="134"/>
        <v>0</v>
      </c>
      <c r="X912">
        <f t="shared" si="135"/>
        <v>0</v>
      </c>
      <c r="Y912">
        <v>0</v>
      </c>
    </row>
    <row r="913" spans="1:25" x14ac:dyDescent="0.35">
      <c r="A913" s="1">
        <f>Data!A913</f>
        <v>44896</v>
      </c>
      <c r="B913" s="2">
        <f>IFERROR((Data!B913/Data!B912-1)*100,"")</f>
        <v>1.5395634333592589E-2</v>
      </c>
      <c r="C913" s="2">
        <f>IFERROR((Data!C913/Data!C912-1)*100,"")</f>
        <v>-1.1775520230755787</v>
      </c>
      <c r="D913">
        <f t="shared" si="128"/>
        <v>-0.50332406388893247</v>
      </c>
      <c r="E913">
        <f t="shared" si="129"/>
        <v>0.27875812442007913</v>
      </c>
      <c r="P913" t="str" cm="1">
        <f t="array" ref="P913">_xlfn.IFS(
  AND(D913&gt;0,E913&gt;0),"Expansion",
  AND(D913&lt;0,E913&gt;0),"Slowdown",
  AND(D913&lt;0,E913&lt;0),"Contraction",
  AND(D913&gt;0,E913&lt;0),"Recovery",
  TRUE,"Undefined"
)</f>
        <v>Slowdown</v>
      </c>
      <c r="Q913" t="str">
        <f t="shared" si="136"/>
        <v>Slowdown</v>
      </c>
      <c r="R913">
        <f t="shared" si="130"/>
        <v>-1</v>
      </c>
      <c r="S913">
        <f t="shared" si="131"/>
        <v>-1</v>
      </c>
      <c r="T913">
        <f t="shared" si="132"/>
        <v>1</v>
      </c>
      <c r="U913">
        <f t="shared" si="133"/>
        <v>1</v>
      </c>
      <c r="V913" t="str" cm="1">
        <f t="array" ref="V913">_xlfn.IFS(
  AND(S913&gt;0,U913&gt;0),"Expansion",
  AND(S913&lt;0,U913&gt;0),"Slowdown",
  AND(S913&lt;0,U913&lt;0),"Contraction",
  AND(S913&gt;0,U913&lt;0),"Recovery",
  TRUE,"Undefined"
)</f>
        <v>Slowdown</v>
      </c>
      <c r="W913">
        <f t="shared" si="134"/>
        <v>0</v>
      </c>
      <c r="X913">
        <f t="shared" si="135"/>
        <v>0</v>
      </c>
      <c r="Y913">
        <v>0</v>
      </c>
    </row>
    <row r="914" spans="1:25" x14ac:dyDescent="0.35">
      <c r="A914" s="1">
        <f>Data!A914</f>
        <v>44927</v>
      </c>
      <c r="B914" s="2">
        <f>IFERROR((Data!B914/Data!B913-1)*100,"")</f>
        <v>0.53140225946350927</v>
      </c>
      <c r="C914" s="2">
        <f>IFERROR((Data!C914/Data!C913-1)*100,"")</f>
        <v>0.74032940950059523</v>
      </c>
      <c r="D914">
        <f t="shared" si="128"/>
        <v>-0.24374629457541616</v>
      </c>
      <c r="E914">
        <f t="shared" si="129"/>
        <v>0.269400383141775</v>
      </c>
      <c r="P914" t="str" cm="1">
        <f t="array" ref="P914">_xlfn.IFS(
  AND(D914&gt;0,E914&gt;0),"Expansion",
  AND(D914&lt;0,E914&gt;0),"Slowdown",
  AND(D914&lt;0,E914&lt;0),"Contraction",
  AND(D914&gt;0,E914&lt;0),"Recovery",
  TRUE,"Undefined"
)</f>
        <v>Slowdown</v>
      </c>
      <c r="Q914" t="str">
        <f t="shared" si="136"/>
        <v>Slowdown</v>
      </c>
      <c r="R914">
        <f t="shared" si="130"/>
        <v>1</v>
      </c>
      <c r="S914">
        <f t="shared" si="131"/>
        <v>1</v>
      </c>
      <c r="T914">
        <f t="shared" si="132"/>
        <v>1</v>
      </c>
      <c r="U914">
        <f t="shared" si="133"/>
        <v>1</v>
      </c>
      <c r="V914" t="str" cm="1">
        <f t="array" ref="V914">_xlfn.IFS(
  AND(S914&gt;0,U914&gt;0),"Expansion",
  AND(S914&lt;0,U914&gt;0),"Slowdown",
  AND(S914&lt;0,U914&lt;0),"Contraction",
  AND(S914&gt;0,U914&lt;0),"Recovery",
  TRUE,"Undefined"
)</f>
        <v>Expansion</v>
      </c>
      <c r="W914">
        <f t="shared" si="134"/>
        <v>0</v>
      </c>
      <c r="X914">
        <f t="shared" si="135"/>
        <v>0</v>
      </c>
      <c r="Y914">
        <v>0</v>
      </c>
    </row>
    <row r="915" spans="1:25" x14ac:dyDescent="0.35">
      <c r="A915" s="1">
        <f>Data!A915</f>
        <v>44958</v>
      </c>
      <c r="B915" s="2">
        <f>IFERROR((Data!B915/Data!B914-1)*100,"")</f>
        <v>0.3428533386591992</v>
      </c>
      <c r="C915" s="2">
        <f>IFERROR((Data!C915/Data!C914-1)*100,"")</f>
        <v>0.13591363613749685</v>
      </c>
      <c r="D915">
        <f t="shared" si="128"/>
        <v>-0.10043632581249555</v>
      </c>
      <c r="E915">
        <f t="shared" si="129"/>
        <v>0.29655041081876704</v>
      </c>
      <c r="P915" t="str" cm="1">
        <f t="array" ref="P915">_xlfn.IFS(
  AND(D915&gt;0,E915&gt;0),"Expansion",
  AND(D915&lt;0,E915&gt;0),"Slowdown",
  AND(D915&lt;0,E915&lt;0),"Contraction",
  AND(D915&gt;0,E915&lt;0),"Recovery",
  TRUE,"Undefined"
)</f>
        <v>Slowdown</v>
      </c>
      <c r="Q915" t="str">
        <f t="shared" si="136"/>
        <v>Slowdown</v>
      </c>
      <c r="R915">
        <f t="shared" si="130"/>
        <v>1</v>
      </c>
      <c r="S915">
        <f t="shared" si="131"/>
        <v>1</v>
      </c>
      <c r="T915">
        <f t="shared" si="132"/>
        <v>1</v>
      </c>
      <c r="U915">
        <f t="shared" si="133"/>
        <v>1</v>
      </c>
      <c r="V915" t="str" cm="1">
        <f t="array" ref="V915">_xlfn.IFS(
  AND(S915&gt;0,U915&gt;0),"Expansion",
  AND(S915&lt;0,U915&gt;0),"Slowdown",
  AND(S915&lt;0,U915&lt;0),"Contraction",
  AND(S915&gt;0,U915&lt;0),"Recovery",
  TRUE,"Undefined"
)</f>
        <v>Expansion</v>
      </c>
      <c r="W915">
        <f t="shared" si="134"/>
        <v>0</v>
      </c>
      <c r="X915">
        <f t="shared" si="135"/>
        <v>0</v>
      </c>
      <c r="Y915">
        <v>0</v>
      </c>
    </row>
    <row r="916" spans="1:25" x14ac:dyDescent="0.35">
      <c r="A916" s="1">
        <f>Data!A916</f>
        <v>44986</v>
      </c>
      <c r="B916" s="2">
        <f>IFERROR((Data!B916/Data!B915-1)*100,"")</f>
        <v>0.12307181953890023</v>
      </c>
      <c r="C916" s="2">
        <f>IFERROR((Data!C916/Data!C915-1)*100,"")</f>
        <v>0.37648447560452158</v>
      </c>
      <c r="D916">
        <f t="shared" si="128"/>
        <v>0.41757584041420454</v>
      </c>
      <c r="E916">
        <f t="shared" si="129"/>
        <v>0.33244247255386955</v>
      </c>
      <c r="P916" t="str" cm="1">
        <f t="array" ref="P916">_xlfn.IFS(
  AND(D916&gt;0,E916&gt;0),"Expansion",
  AND(D916&lt;0,E916&gt;0),"Slowdown",
  AND(D916&lt;0,E916&lt;0),"Contraction",
  AND(D916&gt;0,E916&lt;0),"Recovery",
  TRUE,"Undefined"
)</f>
        <v>Expansion</v>
      </c>
      <c r="Q916" t="str">
        <f t="shared" si="136"/>
        <v>Slowdown</v>
      </c>
      <c r="R916">
        <f t="shared" si="130"/>
        <v>1</v>
      </c>
      <c r="S916">
        <f t="shared" si="131"/>
        <v>1</v>
      </c>
      <c r="T916">
        <f t="shared" si="132"/>
        <v>1</v>
      </c>
      <c r="U916">
        <f t="shared" si="133"/>
        <v>1</v>
      </c>
      <c r="V916" t="str" cm="1">
        <f t="array" ref="V916">_xlfn.IFS(
  AND(S916&gt;0,U916&gt;0),"Expansion",
  AND(S916&lt;0,U916&gt;0),"Slowdown",
  AND(S916&lt;0,U916&lt;0),"Contraction",
  AND(S916&gt;0,U916&lt;0),"Recovery",
  TRUE,"Undefined"
)</f>
        <v>Expansion</v>
      </c>
      <c r="W916">
        <f t="shared" si="134"/>
        <v>0</v>
      </c>
      <c r="X916">
        <f t="shared" si="135"/>
        <v>0</v>
      </c>
      <c r="Y916">
        <v>0</v>
      </c>
    </row>
    <row r="917" spans="1:25" x14ac:dyDescent="0.35">
      <c r="A917" s="1">
        <f>Data!A917</f>
        <v>45017</v>
      </c>
      <c r="B917" s="2">
        <f>IFERROR((Data!B917/Data!B916-1)*100,"")</f>
        <v>0.33927394051440629</v>
      </c>
      <c r="C917" s="2">
        <f>IFERROR((Data!C917/Data!C916-1)*100,"")</f>
        <v>0.23015130592305422</v>
      </c>
      <c r="D917">
        <f t="shared" si="128"/>
        <v>0.24751647255502421</v>
      </c>
      <c r="E917">
        <f t="shared" si="129"/>
        <v>0.26839969957083526</v>
      </c>
      <c r="P917" t="str" cm="1">
        <f t="array" ref="P917">_xlfn.IFS(
  AND(D917&gt;0,E917&gt;0),"Expansion",
  AND(D917&lt;0,E917&gt;0),"Slowdown",
  AND(D917&lt;0,E917&lt;0),"Contraction",
  AND(D917&gt;0,E917&lt;0),"Recovery",
  TRUE,"Undefined"
)</f>
        <v>Expansion</v>
      </c>
      <c r="Q917" t="str">
        <f t="shared" si="136"/>
        <v>Slowdown</v>
      </c>
      <c r="R917">
        <f t="shared" si="130"/>
        <v>1</v>
      </c>
      <c r="S917">
        <f t="shared" si="131"/>
        <v>1</v>
      </c>
      <c r="T917">
        <f t="shared" si="132"/>
        <v>1</v>
      </c>
      <c r="U917">
        <f t="shared" si="133"/>
        <v>1</v>
      </c>
      <c r="V917" t="str" cm="1">
        <f t="array" ref="V917">_xlfn.IFS(
  AND(S917&gt;0,U917&gt;0),"Expansion",
  AND(S917&lt;0,U917&gt;0),"Slowdown",
  AND(S917&lt;0,U917&lt;0),"Contraction",
  AND(S917&gt;0,U917&lt;0),"Recovery",
  TRUE,"Undefined"
)</f>
        <v>Expansion</v>
      </c>
      <c r="W917">
        <f t="shared" si="134"/>
        <v>0</v>
      </c>
      <c r="X917">
        <f t="shared" si="135"/>
        <v>0</v>
      </c>
      <c r="Y917">
        <v>0</v>
      </c>
    </row>
    <row r="918" spans="1:25" x14ac:dyDescent="0.35">
      <c r="A918" s="1">
        <f>Data!A918</f>
        <v>45047</v>
      </c>
      <c r="B918" s="2">
        <f>IFERROR((Data!B918/Data!B917-1)*100,"")</f>
        <v>0.16146873813336349</v>
      </c>
      <c r="C918" s="2">
        <f>IFERROR((Data!C918/Data!C917-1)*100,"")</f>
        <v>-0.32038556882264535</v>
      </c>
      <c r="D918">
        <f t="shared" si="128"/>
        <v>9.541673756831015E-2</v>
      </c>
      <c r="E918">
        <f t="shared" si="129"/>
        <v>0.20793816606222335</v>
      </c>
      <c r="P918" t="str" cm="1">
        <f t="array" ref="P918">_xlfn.IFS(
  AND(D918&gt;0,E918&gt;0),"Expansion",
  AND(D918&lt;0,E918&gt;0),"Slowdown",
  AND(D918&lt;0,E918&lt;0),"Contraction",
  AND(D918&gt;0,E918&lt;0),"Recovery",
  TRUE,"Undefined"
)</f>
        <v>Expansion</v>
      </c>
      <c r="Q918" t="str">
        <f t="shared" si="136"/>
        <v>Expansion</v>
      </c>
      <c r="R918">
        <f t="shared" si="130"/>
        <v>1</v>
      </c>
      <c r="S918">
        <f t="shared" si="131"/>
        <v>1</v>
      </c>
      <c r="T918">
        <f t="shared" si="132"/>
        <v>1</v>
      </c>
      <c r="U918">
        <f t="shared" si="133"/>
        <v>1</v>
      </c>
      <c r="V918" t="str" cm="1">
        <f t="array" ref="V918">_xlfn.IFS(
  AND(S918&gt;0,U918&gt;0),"Expansion",
  AND(S918&lt;0,U918&gt;0),"Slowdown",
  AND(S918&lt;0,U918&lt;0),"Contraction",
  AND(S918&gt;0,U918&lt;0),"Recovery",
  TRUE,"Undefined"
)</f>
        <v>Expansion</v>
      </c>
      <c r="W918">
        <f t="shared" si="134"/>
        <v>0</v>
      </c>
      <c r="X918">
        <f t="shared" si="135"/>
        <v>0</v>
      </c>
      <c r="Y918">
        <v>0</v>
      </c>
    </row>
    <row r="919" spans="1:25" x14ac:dyDescent="0.35">
      <c r="A919" s="1">
        <f>Data!A919</f>
        <v>45078</v>
      </c>
      <c r="B919" s="2">
        <f>IFERROR((Data!B919/Data!B918-1)*100,"")</f>
        <v>0.224175331482801</v>
      </c>
      <c r="C919" s="2">
        <f>IFERROR((Data!C919/Data!C918-1)*100,"")</f>
        <v>-0.80155674407451638</v>
      </c>
      <c r="D919">
        <f t="shared" si="128"/>
        <v>-0.29726366899136919</v>
      </c>
      <c r="E919">
        <f t="shared" si="129"/>
        <v>0.24163933671019025</v>
      </c>
      <c r="P919" t="str" cm="1">
        <f t="array" ref="P919">_xlfn.IFS(
  AND(D919&gt;0,E919&gt;0),"Expansion",
  AND(D919&lt;0,E919&gt;0),"Slowdown",
  AND(D919&lt;0,E919&lt;0),"Contraction",
  AND(D919&gt;0,E919&lt;0),"Recovery",
  TRUE,"Undefined"
)</f>
        <v>Slowdown</v>
      </c>
      <c r="Q919" t="str">
        <f t="shared" si="136"/>
        <v>Expansion</v>
      </c>
      <c r="R919">
        <f t="shared" si="130"/>
        <v>-1</v>
      </c>
      <c r="S919">
        <f t="shared" si="131"/>
        <v>-1</v>
      </c>
      <c r="T919">
        <f t="shared" si="132"/>
        <v>1</v>
      </c>
      <c r="U919">
        <f t="shared" si="133"/>
        <v>1</v>
      </c>
      <c r="V919" t="str" cm="1">
        <f t="array" ref="V919">_xlfn.IFS(
  AND(S919&gt;0,U919&gt;0),"Expansion",
  AND(S919&lt;0,U919&gt;0),"Slowdown",
  AND(S919&lt;0,U919&lt;0),"Contraction",
  AND(S919&gt;0,U919&lt;0),"Recovery",
  TRUE,"Undefined"
)</f>
        <v>Slowdown</v>
      </c>
      <c r="W919">
        <f t="shared" si="134"/>
        <v>0</v>
      </c>
      <c r="X919">
        <f t="shared" si="135"/>
        <v>0</v>
      </c>
      <c r="Y919">
        <v>0</v>
      </c>
    </row>
    <row r="920" spans="1:25" x14ac:dyDescent="0.35">
      <c r="A920" s="1">
        <f>Data!A920</f>
        <v>45108</v>
      </c>
      <c r="B920" s="2">
        <f>IFERROR((Data!B920/Data!B919-1)*100,"")</f>
        <v>0.1957146710348745</v>
      </c>
      <c r="C920" s="2">
        <f>IFERROR((Data!C920/Data!C919-1)*100,"")</f>
        <v>0.78615975293547802</v>
      </c>
      <c r="D920">
        <f t="shared" si="128"/>
        <v>-0.1119275199872279</v>
      </c>
      <c r="E920">
        <f t="shared" si="129"/>
        <v>0.19378624688367965</v>
      </c>
      <c r="P920" t="str" cm="1">
        <f t="array" ref="P920">_xlfn.IFS(
  AND(D920&gt;0,E920&gt;0),"Expansion",
  AND(D920&lt;0,E920&gt;0),"Slowdown",
  AND(D920&lt;0,E920&lt;0),"Contraction",
  AND(D920&gt;0,E920&lt;0),"Recovery",
  TRUE,"Undefined"
)</f>
        <v>Slowdown</v>
      </c>
      <c r="Q920" t="str">
        <f t="shared" si="136"/>
        <v>Expansion</v>
      </c>
      <c r="R920">
        <f t="shared" si="130"/>
        <v>1</v>
      </c>
      <c r="S920">
        <f t="shared" si="131"/>
        <v>1</v>
      </c>
      <c r="T920">
        <f t="shared" si="132"/>
        <v>1</v>
      </c>
      <c r="U920">
        <f t="shared" si="133"/>
        <v>1</v>
      </c>
      <c r="V920" t="str" cm="1">
        <f t="array" ref="V920">_xlfn.IFS(
  AND(S920&gt;0,U920&gt;0),"Expansion",
  AND(S920&lt;0,U920&gt;0),"Slowdown",
  AND(S920&lt;0,U920&lt;0),"Contraction",
  AND(S920&gt;0,U920&lt;0),"Recovery",
  TRUE,"Undefined"
)</f>
        <v>Expansion</v>
      </c>
      <c r="W920">
        <f t="shared" si="134"/>
        <v>0</v>
      </c>
      <c r="X920">
        <f t="shared" si="135"/>
        <v>0</v>
      </c>
      <c r="Y920">
        <v>0</v>
      </c>
    </row>
    <row r="921" spans="1:25" x14ac:dyDescent="0.35">
      <c r="A921" s="1">
        <f>Data!A921</f>
        <v>45139</v>
      </c>
      <c r="B921" s="2">
        <f>IFERROR((Data!B921/Data!B920-1)*100,"")</f>
        <v>0.48357074150797708</v>
      </c>
      <c r="C921" s="2">
        <f>IFERROR((Data!C921/Data!C920-1)*100,"")</f>
        <v>-6.6794375398271377E-2</v>
      </c>
      <c r="D921">
        <f t="shared" si="128"/>
        <v>-2.7397122179103246E-2</v>
      </c>
      <c r="E921">
        <f t="shared" si="129"/>
        <v>0.30115358134188419</v>
      </c>
      <c r="P921" t="str" cm="1">
        <f t="array" ref="P921">_xlfn.IFS(
  AND(D921&gt;0,E921&gt;0),"Expansion",
  AND(D921&lt;0,E921&gt;0),"Slowdown",
  AND(D921&lt;0,E921&lt;0),"Contraction",
  AND(D921&gt;0,E921&lt;0),"Recovery",
  TRUE,"Undefined"
)</f>
        <v>Slowdown</v>
      </c>
      <c r="Q921" t="str">
        <f t="shared" si="136"/>
        <v>Slowdown</v>
      </c>
      <c r="R921">
        <f t="shared" si="130"/>
        <v>1</v>
      </c>
      <c r="S921">
        <f t="shared" si="131"/>
        <v>1</v>
      </c>
      <c r="T921">
        <f t="shared" si="132"/>
        <v>1</v>
      </c>
      <c r="U921">
        <f t="shared" si="133"/>
        <v>1</v>
      </c>
      <c r="V921" t="str" cm="1">
        <f t="array" ref="V921">_xlfn.IFS(
  AND(S921&gt;0,U921&gt;0),"Expansion",
  AND(S921&lt;0,U921&gt;0),"Slowdown",
  AND(S921&lt;0,U921&lt;0),"Contraction",
  AND(S921&gt;0,U921&lt;0),"Recovery",
  TRUE,"Undefined"
)</f>
        <v>Expansion</v>
      </c>
      <c r="W921">
        <f t="shared" si="134"/>
        <v>0</v>
      </c>
      <c r="X921">
        <f t="shared" si="135"/>
        <v>0</v>
      </c>
      <c r="Y921">
        <v>0</v>
      </c>
    </row>
    <row r="922" spans="1:25" x14ac:dyDescent="0.35">
      <c r="A922" s="1">
        <f>Data!A922</f>
        <v>45170</v>
      </c>
      <c r="B922" s="2">
        <f>IFERROR((Data!B922/Data!B921-1)*100,"")</f>
        <v>0.39009154409603841</v>
      </c>
      <c r="C922" s="2">
        <f>IFERROR((Data!C922/Data!C921-1)*100,"")</f>
        <v>0.18028685244741993</v>
      </c>
      <c r="D922">
        <f t="shared" si="128"/>
        <v>0.29988407666154221</v>
      </c>
      <c r="E922">
        <f t="shared" si="129"/>
        <v>0.35645898554629668</v>
      </c>
      <c r="P922" t="str" cm="1">
        <f t="array" ref="P922">_xlfn.IFS(
  AND(D922&gt;0,E922&gt;0),"Expansion",
  AND(D922&lt;0,E922&gt;0),"Slowdown",
  AND(D922&lt;0,E922&lt;0),"Contraction",
  AND(D922&gt;0,E922&lt;0),"Recovery",
  TRUE,"Undefined"
)</f>
        <v>Expansion</v>
      </c>
      <c r="Q922" t="str">
        <f t="shared" si="136"/>
        <v>Slowdown</v>
      </c>
      <c r="R922">
        <f t="shared" si="130"/>
        <v>1</v>
      </c>
      <c r="S922">
        <f t="shared" si="131"/>
        <v>1</v>
      </c>
      <c r="T922">
        <f t="shared" si="132"/>
        <v>1</v>
      </c>
      <c r="U922">
        <f t="shared" si="133"/>
        <v>1</v>
      </c>
      <c r="V922" t="str" cm="1">
        <f t="array" ref="V922">_xlfn.IFS(
  AND(S922&gt;0,U922&gt;0),"Expansion",
  AND(S922&lt;0,U922&gt;0),"Slowdown",
  AND(S922&lt;0,U922&lt;0),"Contraction",
  AND(S922&gt;0,U922&lt;0),"Recovery",
  TRUE,"Undefined"
)</f>
        <v>Expansion</v>
      </c>
      <c r="W922">
        <f t="shared" si="134"/>
        <v>0</v>
      </c>
      <c r="X922">
        <f t="shared" si="135"/>
        <v>0</v>
      </c>
      <c r="Y922">
        <v>0</v>
      </c>
    </row>
    <row r="923" spans="1:25" x14ac:dyDescent="0.35">
      <c r="A923" s="1">
        <f>Data!A923</f>
        <v>45200</v>
      </c>
      <c r="B923" s="2">
        <f>IFERROR((Data!B923/Data!B922-1)*100,"")</f>
        <v>0.13668493471667986</v>
      </c>
      <c r="C923" s="2">
        <f>IFERROR((Data!C923/Data!C922-1)*100,"")</f>
        <v>-0.54661847871385616</v>
      </c>
      <c r="D923">
        <f t="shared" si="128"/>
        <v>-0.14437533388823587</v>
      </c>
      <c r="E923">
        <f t="shared" si="129"/>
        <v>0.33678240677356513</v>
      </c>
      <c r="P923" t="str" cm="1">
        <f t="array" ref="P923">_xlfn.IFS(
  AND(D923&gt;0,E923&gt;0),"Expansion",
  AND(D923&lt;0,E923&gt;0),"Slowdown",
  AND(D923&lt;0,E923&lt;0),"Contraction",
  AND(D923&gt;0,E923&lt;0),"Recovery",
  TRUE,"Undefined"
)</f>
        <v>Slowdown</v>
      </c>
      <c r="Q923" t="str">
        <f t="shared" si="136"/>
        <v>Slowdown</v>
      </c>
      <c r="R923">
        <f t="shared" si="130"/>
        <v>1</v>
      </c>
      <c r="S923">
        <f t="shared" si="131"/>
        <v>1</v>
      </c>
      <c r="T923">
        <f t="shared" si="132"/>
        <v>1</v>
      </c>
      <c r="U923">
        <f t="shared" si="133"/>
        <v>1</v>
      </c>
      <c r="V923" t="str" cm="1">
        <f t="array" ref="V923">_xlfn.IFS(
  AND(S923&gt;0,U923&gt;0),"Expansion",
  AND(S923&lt;0,U923&gt;0),"Slowdown",
  AND(S923&lt;0,U923&lt;0),"Contraction",
  AND(S923&gt;0,U923&lt;0),"Recovery",
  TRUE,"Undefined"
)</f>
        <v>Expansion</v>
      </c>
      <c r="W923">
        <f t="shared" si="134"/>
        <v>0</v>
      </c>
      <c r="X923">
        <f t="shared" si="135"/>
        <v>0</v>
      </c>
      <c r="Y923">
        <v>0</v>
      </c>
    </row>
    <row r="924" spans="1:25" x14ac:dyDescent="0.35">
      <c r="A924" s="1">
        <f>Data!A924</f>
        <v>45231</v>
      </c>
      <c r="B924" s="2">
        <f>IFERROR((Data!B924/Data!B923-1)*100,"")</f>
        <v>0.14689823722116024</v>
      </c>
      <c r="C924" s="2">
        <f>IFERROR((Data!C924/Data!C923-1)*100,"")</f>
        <v>0.39315648922202406</v>
      </c>
      <c r="D924">
        <f t="shared" si="128"/>
        <v>8.9416209851959447E-3</v>
      </c>
      <c r="E924">
        <f t="shared" si="129"/>
        <v>0.22455823867795952</v>
      </c>
      <c r="P924" t="str" cm="1">
        <f t="array" ref="P924">_xlfn.IFS(
  AND(D924&gt;0,E924&gt;0),"Expansion",
  AND(D924&lt;0,E924&gt;0),"Slowdown",
  AND(D924&lt;0,E924&lt;0),"Contraction",
  AND(D924&gt;0,E924&lt;0),"Recovery",
  TRUE,"Undefined"
)</f>
        <v>Expansion</v>
      </c>
      <c r="Q924" t="str">
        <f t="shared" si="136"/>
        <v>Slowdown</v>
      </c>
      <c r="R924">
        <f t="shared" si="130"/>
        <v>1</v>
      </c>
      <c r="S924">
        <f t="shared" si="131"/>
        <v>1</v>
      </c>
      <c r="T924">
        <f t="shared" si="132"/>
        <v>1</v>
      </c>
      <c r="U924">
        <f t="shared" si="133"/>
        <v>1</v>
      </c>
      <c r="V924" t="str" cm="1">
        <f t="array" ref="V924">_xlfn.IFS(
  AND(S924&gt;0,U924&gt;0),"Expansion",
  AND(S924&lt;0,U924&gt;0),"Slowdown",
  AND(S924&lt;0,U924&lt;0),"Contraction",
  AND(S924&gt;0,U924&lt;0),"Recovery",
  TRUE,"Undefined"
)</f>
        <v>Expansion</v>
      </c>
      <c r="W924">
        <f t="shared" si="134"/>
        <v>0</v>
      </c>
      <c r="X924">
        <f t="shared" si="135"/>
        <v>0</v>
      </c>
      <c r="Y924">
        <v>0</v>
      </c>
    </row>
    <row r="925" spans="1:25" x14ac:dyDescent="0.35">
      <c r="A925" s="1">
        <f>Data!A925</f>
        <v>45261</v>
      </c>
      <c r="B925" s="2">
        <f>IFERROR((Data!B925/Data!B924-1)*100,"")</f>
        <v>0.1924399963653789</v>
      </c>
      <c r="C925" s="2">
        <f>IFERROR((Data!C925/Data!C924-1)*100,"")</f>
        <v>-0.25856624619908786</v>
      </c>
      <c r="D925">
        <f t="shared" si="128"/>
        <v>-0.13734274523030665</v>
      </c>
      <c r="E925">
        <f t="shared" si="129"/>
        <v>0.15867438943440634</v>
      </c>
      <c r="P925" t="str" cm="1">
        <f t="array" ref="P925">_xlfn.IFS(
  AND(D925&gt;0,E925&gt;0),"Expansion",
  AND(D925&lt;0,E925&gt;0),"Slowdown",
  AND(D925&lt;0,E925&lt;0),"Contraction",
  AND(D925&gt;0,E925&lt;0),"Recovery",
  TRUE,"Undefined"
)</f>
        <v>Slowdown</v>
      </c>
      <c r="Q925" t="str">
        <f t="shared" si="136"/>
        <v>Slowdown</v>
      </c>
      <c r="R925">
        <f t="shared" si="130"/>
        <v>1</v>
      </c>
      <c r="S925">
        <f t="shared" si="131"/>
        <v>1</v>
      </c>
      <c r="T925">
        <f t="shared" si="132"/>
        <v>1</v>
      </c>
      <c r="U925">
        <f t="shared" si="133"/>
        <v>1</v>
      </c>
      <c r="V925" t="str" cm="1">
        <f t="array" ref="V925">_xlfn.IFS(
  AND(S925&gt;0,U925&gt;0),"Expansion",
  AND(S925&lt;0,U925&gt;0),"Slowdown",
  AND(S925&lt;0,U925&lt;0),"Contraction",
  AND(S925&gt;0,U925&lt;0),"Recovery",
  TRUE,"Undefined"
)</f>
        <v>Expansion</v>
      </c>
      <c r="W925">
        <f t="shared" si="134"/>
        <v>0</v>
      </c>
      <c r="X925">
        <f t="shared" si="135"/>
        <v>0</v>
      </c>
      <c r="Y925">
        <v>0</v>
      </c>
    </row>
    <row r="926" spans="1:25" x14ac:dyDescent="0.35">
      <c r="A926" s="1">
        <f>Data!A926</f>
        <v>45292</v>
      </c>
      <c r="B926" s="2">
        <f>IFERROR((Data!B926/Data!B925-1)*100,"")</f>
        <v>0.30996854969052023</v>
      </c>
      <c r="C926" s="2">
        <f>IFERROR((Data!C926/Data!C925-1)*100,"")</f>
        <v>-1.3725223179007373</v>
      </c>
      <c r="D926">
        <f t="shared" si="128"/>
        <v>-0.41264402495926705</v>
      </c>
      <c r="E926">
        <f t="shared" si="129"/>
        <v>0.21643559442568647</v>
      </c>
      <c r="P926" t="str" cm="1">
        <f t="array" ref="P926">_xlfn.IFS(
  AND(D926&gt;0,E926&gt;0),"Expansion",
  AND(D926&lt;0,E926&gt;0),"Slowdown",
  AND(D926&lt;0,E926&lt;0),"Contraction",
  AND(D926&gt;0,E926&lt;0),"Recovery",
  TRUE,"Undefined"
)</f>
        <v>Slowdown</v>
      </c>
      <c r="Q926" t="str">
        <f t="shared" si="136"/>
        <v>Slowdown</v>
      </c>
      <c r="R926">
        <f t="shared" si="130"/>
        <v>-1</v>
      </c>
      <c r="S926">
        <f t="shared" si="131"/>
        <v>-1</v>
      </c>
      <c r="T926">
        <f t="shared" si="132"/>
        <v>1</v>
      </c>
      <c r="U926">
        <f t="shared" si="133"/>
        <v>1</v>
      </c>
      <c r="V926" t="str" cm="1">
        <f t="array" ref="V926">_xlfn.IFS(
  AND(S926&gt;0,U926&gt;0),"Expansion",
  AND(S926&lt;0,U926&gt;0),"Slowdown",
  AND(S926&lt;0,U926&lt;0),"Contraction",
  AND(S926&gt;0,U926&lt;0),"Recovery",
  TRUE,"Undefined"
)</f>
        <v>Slowdown</v>
      </c>
      <c r="W926">
        <f t="shared" si="134"/>
        <v>0</v>
      </c>
      <c r="X926">
        <f t="shared" si="135"/>
        <v>0</v>
      </c>
      <c r="Y926">
        <v>0</v>
      </c>
    </row>
    <row r="927" spans="1:25" x14ac:dyDescent="0.35">
      <c r="A927" s="1">
        <f>Data!A927</f>
        <v>45323</v>
      </c>
      <c r="B927" s="2">
        <f>IFERROR((Data!B927/Data!B926-1)*100,"")</f>
        <v>0.40975401843086345</v>
      </c>
      <c r="C927" s="2">
        <f>IFERROR((Data!C927/Data!C926-1)*100,"")</f>
        <v>1.0710293956096573</v>
      </c>
      <c r="D927">
        <f t="shared" si="128"/>
        <v>-0.18668638949672264</v>
      </c>
      <c r="E927">
        <f t="shared" si="129"/>
        <v>0.30405418816225421</v>
      </c>
      <c r="P927" t="str" cm="1">
        <f t="array" ref="P927">_xlfn.IFS(
  AND(D927&gt;0,E927&gt;0),"Expansion",
  AND(D927&lt;0,E927&gt;0),"Slowdown",
  AND(D927&lt;0,E927&lt;0),"Contraction",
  AND(D927&gt;0,E927&lt;0),"Recovery",
  TRUE,"Undefined"
)</f>
        <v>Slowdown</v>
      </c>
      <c r="Q927" t="str">
        <f t="shared" si="136"/>
        <v>Slowdown</v>
      </c>
      <c r="R927">
        <f t="shared" si="130"/>
        <v>1</v>
      </c>
      <c r="S927">
        <f t="shared" si="131"/>
        <v>1</v>
      </c>
      <c r="T927">
        <f t="shared" si="132"/>
        <v>1</v>
      </c>
      <c r="U927">
        <f t="shared" si="133"/>
        <v>1</v>
      </c>
      <c r="V927" t="str" cm="1">
        <f t="array" ref="V927">_xlfn.IFS(
  AND(S927&gt;0,U927&gt;0),"Expansion",
  AND(S927&lt;0,U927&gt;0),"Slowdown",
  AND(S927&lt;0,U927&lt;0),"Contraction",
  AND(S927&gt;0,U927&lt;0),"Recovery",
  TRUE,"Undefined"
)</f>
        <v>Expansion</v>
      </c>
      <c r="W927">
        <f t="shared" si="134"/>
        <v>0</v>
      </c>
      <c r="X927">
        <f t="shared" si="135"/>
        <v>0</v>
      </c>
      <c r="Y927">
        <v>0</v>
      </c>
    </row>
    <row r="928" spans="1:25" x14ac:dyDescent="0.35">
      <c r="A928" s="1">
        <f>Data!A928</f>
        <v>45352</v>
      </c>
      <c r="B928" s="2">
        <f>IFERROR((Data!B928/Data!B927-1)*100,"")</f>
        <v>0.44313383735252732</v>
      </c>
      <c r="C928" s="2">
        <f>IFERROR((Data!C928/Data!C927-1)*100,"")</f>
        <v>0.17200977214937296</v>
      </c>
      <c r="D928">
        <f t="shared" si="128"/>
        <v>-4.3161050047235694E-2</v>
      </c>
      <c r="E928">
        <f t="shared" si="129"/>
        <v>0.38761880182463698</v>
      </c>
      <c r="P928" t="str" cm="1">
        <f t="array" ref="P928">_xlfn.IFS(
  AND(D928&gt;0,E928&gt;0),"Expansion",
  AND(D928&lt;0,E928&gt;0),"Slowdown",
  AND(D928&lt;0,E928&lt;0),"Contraction",
  AND(D928&gt;0,E928&lt;0),"Recovery",
  TRUE,"Undefined"
)</f>
        <v>Slowdown</v>
      </c>
      <c r="Q928" t="str">
        <f t="shared" si="136"/>
        <v>Slowdown</v>
      </c>
      <c r="R928">
        <f t="shared" si="130"/>
        <v>1</v>
      </c>
      <c r="S928">
        <f t="shared" si="131"/>
        <v>1</v>
      </c>
      <c r="T928">
        <f t="shared" si="132"/>
        <v>1</v>
      </c>
      <c r="U928">
        <f t="shared" si="133"/>
        <v>1</v>
      </c>
      <c r="V928" t="str" cm="1">
        <f t="array" ref="V928">_xlfn.IFS(
  AND(S928&gt;0,U928&gt;0),"Expansion",
  AND(S928&lt;0,U928&gt;0),"Slowdown",
  AND(S928&lt;0,U928&lt;0),"Contraction",
  AND(S928&gt;0,U928&lt;0),"Recovery",
  TRUE,"Undefined"
)</f>
        <v>Expansion</v>
      </c>
      <c r="W928">
        <f t="shared" si="134"/>
        <v>0</v>
      </c>
      <c r="X928">
        <f t="shared" si="135"/>
        <v>0</v>
      </c>
      <c r="Y928">
        <v>0</v>
      </c>
    </row>
    <row r="929" spans="1:25" x14ac:dyDescent="0.35">
      <c r="A929" s="1">
        <f>Data!A929</f>
        <v>45383</v>
      </c>
      <c r="B929" s="2">
        <f>IFERROR((Data!B929/Data!B928-1)*100,"")</f>
        <v>0.21706766556210955</v>
      </c>
      <c r="C929" s="2">
        <f>IFERROR((Data!C929/Data!C928-1)*100,"")</f>
        <v>-0.2131249533384838</v>
      </c>
      <c r="D929">
        <f t="shared" si="128"/>
        <v>0.34330473814018214</v>
      </c>
      <c r="E929">
        <f t="shared" si="129"/>
        <v>0.35665184044850012</v>
      </c>
      <c r="P929" t="str" cm="1">
        <f t="array" ref="P929">_xlfn.IFS(
  AND(D929&gt;0,E929&gt;0),"Expansion",
  AND(D929&lt;0,E929&gt;0),"Slowdown",
  AND(D929&lt;0,E929&lt;0),"Contraction",
  AND(D929&gt;0,E929&lt;0),"Recovery",
  TRUE,"Undefined"
)</f>
        <v>Expansion</v>
      </c>
      <c r="Q929" t="str">
        <f t="shared" si="136"/>
        <v>Slowdown</v>
      </c>
      <c r="R929">
        <f t="shared" si="130"/>
        <v>1</v>
      </c>
      <c r="S929">
        <f t="shared" si="131"/>
        <v>1</v>
      </c>
      <c r="T929">
        <f t="shared" si="132"/>
        <v>1</v>
      </c>
      <c r="U929">
        <f t="shared" si="133"/>
        <v>1</v>
      </c>
      <c r="V929" t="str" cm="1">
        <f t="array" ref="V929">_xlfn.IFS(
  AND(S929&gt;0,U929&gt;0),"Expansion",
  AND(S929&lt;0,U929&gt;0),"Slowdown",
  AND(S929&lt;0,U929&lt;0),"Contraction",
  AND(S929&gt;0,U929&lt;0),"Recovery",
  TRUE,"Undefined"
)</f>
        <v>Expansion</v>
      </c>
      <c r="W929">
        <f t="shared" si="134"/>
        <v>0</v>
      </c>
      <c r="X929">
        <f t="shared" si="135"/>
        <v>0</v>
      </c>
      <c r="Y929">
        <v>0</v>
      </c>
    </row>
    <row r="930" spans="1:25" x14ac:dyDescent="0.35">
      <c r="A930" s="1">
        <f>Data!A930</f>
        <v>45413</v>
      </c>
      <c r="B930" s="2">
        <f>IFERROR((Data!B930/Data!B929-1)*100,"")</f>
        <v>4.8558732105941083E-2</v>
      </c>
      <c r="C930" s="2">
        <f>IFERROR((Data!C930/Data!C929-1)*100,"")</f>
        <v>0.61809555541811889</v>
      </c>
      <c r="D930">
        <f t="shared" si="128"/>
        <v>0.19232679140966935</v>
      </c>
      <c r="E930">
        <f t="shared" si="129"/>
        <v>0.23625341167352598</v>
      </c>
      <c r="P930" t="str" cm="1">
        <f t="array" ref="P930">_xlfn.IFS(
  AND(D930&gt;0,E930&gt;0),"Expansion",
  AND(D930&lt;0,E930&gt;0),"Slowdown",
  AND(D930&lt;0,E930&lt;0),"Contraction",
  AND(D930&gt;0,E930&lt;0),"Recovery",
  TRUE,"Undefined"
)</f>
        <v>Expansion</v>
      </c>
      <c r="Q930" t="str">
        <f t="shared" si="136"/>
        <v>Slowdown</v>
      </c>
      <c r="R930">
        <f t="shared" si="130"/>
        <v>1</v>
      </c>
      <c r="S930">
        <f t="shared" si="131"/>
        <v>1</v>
      </c>
      <c r="T930">
        <f t="shared" si="132"/>
        <v>1</v>
      </c>
      <c r="U930">
        <f t="shared" si="133"/>
        <v>1</v>
      </c>
      <c r="V930" t="str" cm="1">
        <f t="array" ref="V930">_xlfn.IFS(
  AND(S930&gt;0,U930&gt;0),"Expansion",
  AND(S930&lt;0,U930&gt;0),"Slowdown",
  AND(S930&lt;0,U930&lt;0),"Contraction",
  AND(S930&gt;0,U930&lt;0),"Recovery",
  TRUE,"Undefined"
)</f>
        <v>Expansion</v>
      </c>
      <c r="W930">
        <f t="shared" si="134"/>
        <v>0</v>
      </c>
      <c r="X930">
        <f t="shared" si="135"/>
        <v>0</v>
      </c>
      <c r="Y930">
        <v>0</v>
      </c>
    </row>
    <row r="931" spans="1:25" x14ac:dyDescent="0.35">
      <c r="A931" s="1">
        <f>Data!A931</f>
        <v>45444</v>
      </c>
      <c r="B931" s="2">
        <f>IFERROR((Data!B931/Data!B930-1)*100,"")</f>
        <v>-4.1829647960411886E-2</v>
      </c>
      <c r="C931" s="2">
        <f>IFERROR((Data!C931/Data!C930-1)*100,"")</f>
        <v>3.0734759029571457E-2</v>
      </c>
      <c r="D931">
        <f t="shared" si="128"/>
        <v>0.14523512036973552</v>
      </c>
      <c r="E931">
        <f t="shared" si="129"/>
        <v>7.4598916569212914E-2</v>
      </c>
      <c r="P931" t="str" cm="1">
        <f t="array" ref="P931">_xlfn.IFS(
  AND(D931&gt;0,E931&gt;0),"Expansion",
  AND(D931&lt;0,E931&gt;0),"Slowdown",
  AND(D931&lt;0,E931&lt;0),"Contraction",
  AND(D931&gt;0,E931&lt;0),"Recovery",
  TRUE,"Undefined"
)</f>
        <v>Expansion</v>
      </c>
      <c r="Q931" t="str">
        <f t="shared" si="136"/>
        <v>Expansion</v>
      </c>
      <c r="R931">
        <f t="shared" si="130"/>
        <v>1</v>
      </c>
      <c r="S931">
        <f t="shared" si="131"/>
        <v>1</v>
      </c>
      <c r="T931">
        <f t="shared" si="132"/>
        <v>1</v>
      </c>
      <c r="U931">
        <f t="shared" si="133"/>
        <v>1</v>
      </c>
      <c r="V931" t="str" cm="1">
        <f t="array" ref="V931">_xlfn.IFS(
  AND(S931&gt;0,U931&gt;0),"Expansion",
  AND(S931&lt;0,U931&gt;0),"Slowdown",
  AND(S931&lt;0,U931&lt;0),"Contraction",
  AND(S931&gt;0,U931&lt;0),"Recovery",
  TRUE,"Undefined"
)</f>
        <v>Expansion</v>
      </c>
      <c r="W931">
        <f t="shared" si="134"/>
        <v>0</v>
      </c>
      <c r="X931">
        <f t="shared" si="135"/>
        <v>0</v>
      </c>
      <c r="Y931">
        <v>0</v>
      </c>
    </row>
    <row r="932" spans="1:25" x14ac:dyDescent="0.35">
      <c r="A932" s="1">
        <f>Data!A932</f>
        <v>45474</v>
      </c>
      <c r="B932" s="2">
        <f>IFERROR((Data!B932/Data!B931-1)*100,"")</f>
        <v>0.16770805381991494</v>
      </c>
      <c r="C932" s="2">
        <f>IFERROR((Data!C932/Data!C931-1)*100,"")</f>
        <v>-0.91016314151486366</v>
      </c>
      <c r="D932">
        <f t="shared" si="128"/>
        <v>-8.7110942355724433E-2</v>
      </c>
      <c r="E932">
        <f t="shared" si="129"/>
        <v>5.8145712655148042E-2</v>
      </c>
      <c r="P932" t="str" cm="1">
        <f t="array" ref="P932">_xlfn.IFS(
  AND(D932&gt;0,E932&gt;0),"Expansion",
  AND(D932&lt;0,E932&gt;0),"Slowdown",
  AND(D932&lt;0,E932&lt;0),"Contraction",
  AND(D932&gt;0,E932&lt;0),"Recovery",
  TRUE,"Undefined"
)</f>
        <v>Slowdown</v>
      </c>
      <c r="Q932" t="str">
        <f t="shared" si="136"/>
        <v>Expansion</v>
      </c>
      <c r="R932">
        <f t="shared" si="130"/>
        <v>1</v>
      </c>
      <c r="S932">
        <f t="shared" si="131"/>
        <v>1</v>
      </c>
      <c r="T932">
        <f t="shared" si="132"/>
        <v>1</v>
      </c>
      <c r="U932">
        <f t="shared" si="133"/>
        <v>1</v>
      </c>
      <c r="V932" t="str" cm="1">
        <f t="array" ref="V932">_xlfn.IFS(
  AND(S932&gt;0,U932&gt;0),"Expansion",
  AND(S932&lt;0,U932&gt;0),"Slowdown",
  AND(S932&lt;0,U932&lt;0),"Contraction",
  AND(S932&gt;0,U932&lt;0),"Recovery",
  TRUE,"Undefined"
)</f>
        <v>Expansion</v>
      </c>
      <c r="W932">
        <f t="shared" si="134"/>
        <v>0</v>
      </c>
      <c r="X932">
        <f t="shared" si="135"/>
        <v>0</v>
      </c>
      <c r="Y932">
        <v>0</v>
      </c>
    </row>
    <row r="933" spans="1:25" x14ac:dyDescent="0.35">
      <c r="A933" s="1">
        <f>Data!A933</f>
        <v>45505</v>
      </c>
      <c r="B933" s="2">
        <f>IFERROR((Data!B933/Data!B932-1)*100,"")</f>
        <v>0.15722217438585151</v>
      </c>
      <c r="C933" s="2">
        <f>IFERROR((Data!C933/Data!C932-1)*100,"")</f>
        <v>0.45531064048562886</v>
      </c>
      <c r="D933">
        <f t="shared" si="128"/>
        <v>-0.14137258066655445</v>
      </c>
      <c r="E933">
        <f t="shared" si="129"/>
        <v>9.4366860081784854E-2</v>
      </c>
      <c r="P933" t="str" cm="1">
        <f t="array" ref="P933">_xlfn.IFS(
  AND(D933&gt;0,E933&gt;0),"Expansion",
  AND(D933&lt;0,E933&gt;0),"Slowdown",
  AND(D933&lt;0,E933&lt;0),"Contraction",
  AND(D933&gt;0,E933&lt;0),"Recovery",
  TRUE,"Undefined"
)</f>
        <v>Slowdown</v>
      </c>
      <c r="Q933" t="str">
        <f t="shared" si="136"/>
        <v>Expansion</v>
      </c>
      <c r="R933">
        <f t="shared" si="130"/>
        <v>1</v>
      </c>
      <c r="S933">
        <f t="shared" si="131"/>
        <v>1</v>
      </c>
      <c r="T933">
        <f t="shared" si="132"/>
        <v>1</v>
      </c>
      <c r="U933">
        <f t="shared" si="133"/>
        <v>1</v>
      </c>
      <c r="V933" t="str" cm="1">
        <f t="array" ref="V933">_xlfn.IFS(
  AND(S933&gt;0,U933&gt;0),"Expansion",
  AND(S933&lt;0,U933&gt;0),"Slowdown",
  AND(S933&lt;0,U933&lt;0),"Contraction",
  AND(S933&gt;0,U933&lt;0),"Recovery",
  TRUE,"Undefined"
)</f>
        <v>Expansion</v>
      </c>
      <c r="W933">
        <f t="shared" si="134"/>
        <v>0</v>
      </c>
      <c r="X933">
        <f t="shared" si="135"/>
        <v>0</v>
      </c>
      <c r="Y933">
        <v>0</v>
      </c>
    </row>
    <row r="934" spans="1:25" x14ac:dyDescent="0.35">
      <c r="A934" s="1">
        <f>Data!A934</f>
        <v>45536</v>
      </c>
      <c r="B934" s="2">
        <f>IFERROR((Data!B934/Data!B933-1)*100,"")</f>
        <v>0.21333367296902939</v>
      </c>
      <c r="C934" s="2">
        <f>IFERROR((Data!C934/Data!C933-1)*100,"")</f>
        <v>-0.61982915616607404</v>
      </c>
      <c r="D934">
        <f t="shared" si="128"/>
        <v>-0.35822721906510296</v>
      </c>
      <c r="E934">
        <f t="shared" si="129"/>
        <v>0.17942130039159862</v>
      </c>
      <c r="P934" t="str" cm="1">
        <f t="array" ref="P934">_xlfn.IFS(
  AND(D934&gt;0,E934&gt;0),"Expansion",
  AND(D934&lt;0,E934&gt;0),"Slowdown",
  AND(D934&lt;0,E934&lt;0),"Contraction",
  AND(D934&gt;0,E934&lt;0),"Recovery",
  TRUE,"Undefined"
)</f>
        <v>Slowdown</v>
      </c>
      <c r="Q934" t="str">
        <f t="shared" si="136"/>
        <v>Slowdown</v>
      </c>
      <c r="R934">
        <f t="shared" si="130"/>
        <v>-1</v>
      </c>
      <c r="S934">
        <f t="shared" si="131"/>
        <v>-1</v>
      </c>
      <c r="T934">
        <f t="shared" si="132"/>
        <v>1</v>
      </c>
      <c r="U934">
        <f t="shared" si="133"/>
        <v>1</v>
      </c>
      <c r="V934" t="str" cm="1">
        <f t="array" ref="V934">_xlfn.IFS(
  AND(S934&gt;0,U934&gt;0),"Expansion",
  AND(S934&lt;0,U934&gt;0),"Slowdown",
  AND(S934&lt;0,U934&lt;0),"Contraction",
  AND(S934&gt;0,U934&lt;0),"Recovery",
  TRUE,"Undefined"
)</f>
        <v>Slowdown</v>
      </c>
      <c r="W934">
        <f t="shared" si="134"/>
        <v>0</v>
      </c>
      <c r="X934">
        <f t="shared" si="135"/>
        <v>0</v>
      </c>
      <c r="Y934">
        <v>0</v>
      </c>
    </row>
    <row r="935" spans="1:25" x14ac:dyDescent="0.35">
      <c r="A935" s="1">
        <f>Data!A935</f>
        <v>45566</v>
      </c>
      <c r="B935" s="2">
        <f>IFERROR((Data!B935/Data!B934-1)*100,"")</f>
        <v>0.28563984596416958</v>
      </c>
      <c r="C935" s="2">
        <f>IFERROR((Data!C935/Data!C934-1)*100,"")</f>
        <v>-0.33955057890919793</v>
      </c>
      <c r="D935">
        <f t="shared" si="128"/>
        <v>-0.16802303152988105</v>
      </c>
      <c r="E935">
        <f t="shared" si="129"/>
        <v>0.21873189777301683</v>
      </c>
      <c r="P935" t="str" cm="1">
        <f t="array" ref="P935">_xlfn.IFS(
  AND(D935&gt;0,E935&gt;0),"Expansion",
  AND(D935&lt;0,E935&gt;0),"Slowdown",
  AND(D935&lt;0,E935&lt;0),"Contraction",
  AND(D935&gt;0,E935&lt;0),"Recovery",
  TRUE,"Undefined"
)</f>
        <v>Slowdown</v>
      </c>
      <c r="Q935" t="str">
        <f t="shared" si="136"/>
        <v>Slowdown</v>
      </c>
      <c r="R935">
        <f t="shared" si="130"/>
        <v>1</v>
      </c>
      <c r="S935">
        <f t="shared" si="131"/>
        <v>1</v>
      </c>
      <c r="T935">
        <f t="shared" si="132"/>
        <v>1</v>
      </c>
      <c r="U935">
        <f t="shared" si="133"/>
        <v>1</v>
      </c>
      <c r="V935" t="str" cm="1">
        <f t="array" ref="V935">_xlfn.IFS(
  AND(S935&gt;0,U935&gt;0),"Expansion",
  AND(S935&lt;0,U935&gt;0),"Slowdown",
  AND(S935&lt;0,U935&lt;0),"Contraction",
  AND(S935&gt;0,U935&lt;0),"Recovery",
  TRUE,"Undefined"
)</f>
        <v>Expansion</v>
      </c>
      <c r="W935">
        <f t="shared" si="134"/>
        <v>0</v>
      </c>
      <c r="X935">
        <f t="shared" si="135"/>
        <v>0</v>
      </c>
      <c r="Y935">
        <v>0</v>
      </c>
    </row>
    <row r="936" spans="1:25" x14ac:dyDescent="0.35">
      <c r="A936" s="1">
        <f>Data!A936</f>
        <v>45597</v>
      </c>
      <c r="B936" s="2">
        <f>IFERROR((Data!B936/Data!B935-1)*100,"")</f>
        <v>0.28419261732848256</v>
      </c>
      <c r="C936" s="2">
        <f>IFERROR((Data!C936/Data!C935-1)*100,"")</f>
        <v>-0.17794399288223461</v>
      </c>
      <c r="D936">
        <f t="shared" si="128"/>
        <v>-0.37910790931916888</v>
      </c>
      <c r="E936">
        <f t="shared" si="129"/>
        <v>0.26105537875389384</v>
      </c>
      <c r="P936" t="str" cm="1">
        <f t="array" ref="P936">_xlfn.IFS(
  AND(D936&gt;0,E936&gt;0),"Expansion",
  AND(D936&lt;0,E936&gt;0),"Slowdown",
  AND(D936&lt;0,E936&lt;0),"Contraction",
  AND(D936&gt;0,E936&lt;0),"Recovery",
  TRUE,"Undefined"
)</f>
        <v>Slowdown</v>
      </c>
      <c r="Q936" t="str">
        <f t="shared" si="136"/>
        <v>Slowdown</v>
      </c>
      <c r="R936">
        <f t="shared" si="130"/>
        <v>-1</v>
      </c>
      <c r="S936">
        <f t="shared" si="131"/>
        <v>-1</v>
      </c>
      <c r="T936">
        <f t="shared" si="132"/>
        <v>1</v>
      </c>
      <c r="U936">
        <f t="shared" si="133"/>
        <v>1</v>
      </c>
      <c r="V936" t="str" cm="1">
        <f t="array" ref="V936">_xlfn.IFS(
  AND(S936&gt;0,U936&gt;0),"Expansion",
  AND(S936&lt;0,U936&gt;0),"Slowdown",
  AND(S936&lt;0,U936&lt;0),"Contraction",
  AND(S936&gt;0,U936&lt;0),"Recovery",
  TRUE,"Undefined"
)</f>
        <v>Slowdown</v>
      </c>
      <c r="W936">
        <f t="shared" si="134"/>
        <v>0</v>
      </c>
      <c r="X936">
        <f t="shared" si="135"/>
        <v>0</v>
      </c>
      <c r="Y936">
        <v>0</v>
      </c>
    </row>
    <row r="937" spans="1:25" x14ac:dyDescent="0.35">
      <c r="A937" s="1">
        <f>Data!A937</f>
        <v>45627</v>
      </c>
      <c r="B937" s="2">
        <f>IFERROR((Data!B937/Data!B936-1)*100,"")</f>
        <v>0.3399383308901438</v>
      </c>
      <c r="C937" s="2">
        <f>IFERROR((Data!C937/Data!C936-1)*100,"")</f>
        <v>1.0421733766397212</v>
      </c>
      <c r="D937">
        <f t="shared" si="128"/>
        <v>0.17489293494942956</v>
      </c>
      <c r="E937">
        <f t="shared" si="129"/>
        <v>0.30325693139426529</v>
      </c>
      <c r="P937" t="str" cm="1">
        <f t="array" ref="P937">_xlfn.IFS(
  AND(D937&gt;0,E937&gt;0),"Expansion",
  AND(D937&lt;0,E937&gt;0),"Slowdown",
  AND(D937&lt;0,E937&lt;0),"Contraction",
  AND(D937&gt;0,E937&lt;0),"Recovery",
  TRUE,"Undefined"
)</f>
        <v>Expansion</v>
      </c>
      <c r="Q937" t="str">
        <f t="shared" si="136"/>
        <v>Slowdown</v>
      </c>
      <c r="R937">
        <f t="shared" si="130"/>
        <v>1</v>
      </c>
      <c r="S937">
        <f t="shared" si="131"/>
        <v>1</v>
      </c>
      <c r="T937">
        <f t="shared" si="132"/>
        <v>1</v>
      </c>
      <c r="U937">
        <f t="shared" si="133"/>
        <v>1</v>
      </c>
      <c r="V937" t="str" cm="1">
        <f t="array" ref="V937">_xlfn.IFS(
  AND(S937&gt;0,U937&gt;0),"Expansion",
  AND(S937&lt;0,U937&gt;0),"Slowdown",
  AND(S937&lt;0,U937&lt;0),"Contraction",
  AND(S937&gt;0,U937&lt;0),"Recovery",
  TRUE,"Undefined"
)</f>
        <v>Expansion</v>
      </c>
      <c r="W937">
        <f t="shared" si="134"/>
        <v>0</v>
      </c>
      <c r="X937">
        <f t="shared" si="135"/>
        <v>0</v>
      </c>
      <c r="Y937">
        <v>0</v>
      </c>
    </row>
    <row r="938" spans="1:25" x14ac:dyDescent="0.35">
      <c r="A938" s="1">
        <f>Data!A938</f>
        <v>45658</v>
      </c>
      <c r="B938" s="2">
        <f>IFERROR((Data!B938/Data!B937-1)*100,"")</f>
        <v>0.42726162139017365</v>
      </c>
      <c r="C938" s="2">
        <f>IFERROR((Data!C938/Data!C937-1)*100,"")</f>
        <v>-0.26174331413283403</v>
      </c>
      <c r="D938">
        <f t="shared" si="128"/>
        <v>0.2008286898748842</v>
      </c>
      <c r="E938">
        <f t="shared" si="129"/>
        <v>0.35046418986959998</v>
      </c>
      <c r="P938" t="str" cm="1">
        <f t="array" ref="P938">_xlfn.IFS(
  AND(D938&gt;0,E938&gt;0),"Expansion",
  AND(D938&lt;0,E938&gt;0),"Slowdown",
  AND(D938&lt;0,E938&lt;0),"Contraction",
  AND(D938&gt;0,E938&lt;0),"Recovery",
  TRUE,"Undefined"
)</f>
        <v>Expansion</v>
      </c>
      <c r="Q938" t="str">
        <f t="shared" si="136"/>
        <v>Slowdown</v>
      </c>
      <c r="R938">
        <f t="shared" si="130"/>
        <v>1</v>
      </c>
      <c r="S938">
        <f t="shared" si="131"/>
        <v>1</v>
      </c>
      <c r="T938">
        <f t="shared" si="132"/>
        <v>1</v>
      </c>
      <c r="U938">
        <f t="shared" si="133"/>
        <v>1</v>
      </c>
      <c r="V938" t="str" cm="1">
        <f t="array" ref="V938">_xlfn.IFS(
  AND(S938&gt;0,U938&gt;0),"Expansion",
  AND(S938&lt;0,U938&gt;0),"Slowdown",
  AND(S938&lt;0,U938&lt;0),"Contraction",
  AND(S938&gt;0,U938&lt;0),"Recovery",
  TRUE,"Undefined"
)</f>
        <v>Expansion</v>
      </c>
      <c r="W938">
        <f t="shared" si="134"/>
        <v>0</v>
      </c>
      <c r="X938">
        <f t="shared" si="135"/>
        <v>0</v>
      </c>
      <c r="Y938">
        <v>0</v>
      </c>
    </row>
    <row r="939" spans="1:25" x14ac:dyDescent="0.35">
      <c r="A939" s="1">
        <f>Data!A939</f>
        <v>45689</v>
      </c>
      <c r="B939" s="2">
        <f>IFERROR((Data!B939/Data!B938-1)*100,"")</f>
        <v>0.22510589068882592</v>
      </c>
      <c r="C939" s="2">
        <f>IFERROR((Data!C939/Data!C938-1)*100,"")</f>
        <v>1.033931046612846</v>
      </c>
      <c r="D939">
        <f t="shared" si="128"/>
        <v>0.60478703637324438</v>
      </c>
      <c r="E939">
        <f t="shared" si="129"/>
        <v>0.33076861432304777</v>
      </c>
      <c r="P939" t="str" cm="1">
        <f t="array" ref="P939">_xlfn.IFS(
  AND(D939&gt;0,E939&gt;0),"Expansion",
  AND(D939&lt;0,E939&gt;0),"Slowdown",
  AND(D939&lt;0,E939&lt;0),"Contraction",
  AND(D939&gt;0,E939&lt;0),"Recovery",
  TRUE,"Undefined"
)</f>
        <v>Expansion</v>
      </c>
      <c r="Q939" t="str">
        <f t="shared" si="136"/>
        <v>Expansion</v>
      </c>
      <c r="R939">
        <f t="shared" si="130"/>
        <v>1</v>
      </c>
      <c r="S939">
        <f t="shared" si="131"/>
        <v>1</v>
      </c>
      <c r="T939">
        <f t="shared" si="132"/>
        <v>1</v>
      </c>
      <c r="U939">
        <f t="shared" si="133"/>
        <v>1</v>
      </c>
      <c r="V939" t="str" cm="1">
        <f t="array" ref="V939">_xlfn.IFS(
  AND(S939&gt;0,U939&gt;0),"Expansion",
  AND(S939&lt;0,U939&gt;0),"Slowdown",
  AND(S939&lt;0,U939&lt;0),"Contraction",
  AND(S939&gt;0,U939&lt;0),"Recovery",
  TRUE,"Undefined"
)</f>
        <v>Expansion</v>
      </c>
      <c r="W939">
        <f t="shared" si="134"/>
        <v>0</v>
      </c>
      <c r="X939">
        <f t="shared" si="135"/>
        <v>0</v>
      </c>
      <c r="Y939">
        <v>0</v>
      </c>
    </row>
    <row r="940" spans="1:25" x14ac:dyDescent="0.35">
      <c r="A940" s="1">
        <f>Data!A940</f>
        <v>45717</v>
      </c>
      <c r="B940" s="2">
        <f>IFERROR((Data!B940/Data!B939-1)*100,"")</f>
        <v>3.315826188146076E-2</v>
      </c>
      <c r="C940" s="2">
        <f>IFERROR((Data!C940/Data!C939-1)*100,"")</f>
        <v>-5.8259552736761311E-2</v>
      </c>
      <c r="D940">
        <f t="shared" si="128"/>
        <v>0.23797605991441687</v>
      </c>
      <c r="E940">
        <f t="shared" si="129"/>
        <v>0.22850859132015344</v>
      </c>
      <c r="P940" t="str" cm="1">
        <f t="array" ref="P940">_xlfn.IFS(
  AND(D940&gt;0,E940&gt;0),"Expansion",
  AND(D940&lt;0,E940&gt;0),"Slowdown",
  AND(D940&lt;0,E940&lt;0),"Contraction",
  AND(D940&gt;0,E940&lt;0),"Recovery",
  TRUE,"Undefined"
)</f>
        <v>Expansion</v>
      </c>
      <c r="Q940" t="str">
        <f t="shared" si="136"/>
        <v>Expansion</v>
      </c>
      <c r="R940">
        <f t="shared" si="130"/>
        <v>1</v>
      </c>
      <c r="S940">
        <f t="shared" si="131"/>
        <v>1</v>
      </c>
      <c r="T940">
        <f t="shared" si="132"/>
        <v>1</v>
      </c>
      <c r="U940">
        <f t="shared" si="133"/>
        <v>1</v>
      </c>
      <c r="V940" t="str" cm="1">
        <f t="array" ref="V940">_xlfn.IFS(
  AND(S940&gt;0,U940&gt;0),"Expansion",
  AND(S940&lt;0,U940&gt;0),"Slowdown",
  AND(S940&lt;0,U940&lt;0),"Contraction",
  AND(S940&gt;0,U940&lt;0),"Recovery",
  TRUE,"Undefined"
)</f>
        <v>Expansion</v>
      </c>
      <c r="W940">
        <f t="shared" si="134"/>
        <v>0</v>
      </c>
      <c r="X940">
        <f t="shared" si="135"/>
        <v>0</v>
      </c>
      <c r="Y940">
        <v>0</v>
      </c>
    </row>
    <row r="941" spans="1:25" x14ac:dyDescent="0.35">
      <c r="A941" s="1">
        <f>Data!A941</f>
        <v>45748</v>
      </c>
      <c r="B941" s="2">
        <f>IFERROR((Data!B941/Data!B940-1)*100,"")</f>
        <v>0.16167112278562268</v>
      </c>
      <c r="C941" s="2">
        <f>IFERROR((Data!C941/Data!C940-1)*100,"")</f>
        <v>8.6599023756828153E-2</v>
      </c>
      <c r="D941">
        <f t="shared" si="128"/>
        <v>0.35409017254430425</v>
      </c>
      <c r="E941">
        <f t="shared" si="129"/>
        <v>0.13997842511863645</v>
      </c>
      <c r="P941" t="str" cm="1">
        <f t="array" ref="P941">_xlfn.IFS(
  AND(D941&gt;0,E941&gt;0),"Expansion",
  AND(D941&lt;0,E941&gt;0),"Slowdown",
  AND(D941&lt;0,E941&lt;0),"Contraction",
  AND(D941&gt;0,E941&lt;0),"Recovery",
  TRUE,"Undefined"
)</f>
        <v>Expansion</v>
      </c>
      <c r="Q941" t="str">
        <f t="shared" si="136"/>
        <v>Expansion</v>
      </c>
      <c r="R941">
        <f t="shared" si="130"/>
        <v>1</v>
      </c>
      <c r="S941">
        <f t="shared" si="131"/>
        <v>1</v>
      </c>
      <c r="T941">
        <f t="shared" si="132"/>
        <v>1</v>
      </c>
      <c r="U941">
        <f t="shared" si="133"/>
        <v>1</v>
      </c>
      <c r="V941" t="str" cm="1">
        <f t="array" ref="V941">_xlfn.IFS(
  AND(S941&gt;0,U941&gt;0),"Expansion",
  AND(S941&lt;0,U941&gt;0),"Slowdown",
  AND(S941&lt;0,U941&lt;0),"Contraction",
  AND(S941&gt;0,U941&lt;0),"Recovery",
  TRUE,"Undefined"
)</f>
        <v>Expansion</v>
      </c>
      <c r="W941">
        <f t="shared" si="134"/>
        <v>0</v>
      </c>
      <c r="X941">
        <f t="shared" si="135"/>
        <v>0</v>
      </c>
      <c r="Y941">
        <v>0</v>
      </c>
    </row>
    <row r="942" spans="1:25" x14ac:dyDescent="0.35">
      <c r="A942" s="1">
        <f>Data!A942</f>
        <v>45778</v>
      </c>
      <c r="B942" s="2">
        <f>IFERROR((Data!B942/Data!B941-1)*100,"")</f>
        <v>9.9281303270037924E-2</v>
      </c>
      <c r="C942" s="2">
        <f>IFERROR((Data!C942/Data!C941-1)*100,"")</f>
        <v>-0.16058871982903566</v>
      </c>
      <c r="D942">
        <f t="shared" si="128"/>
        <v>-4.4083082936322938E-2</v>
      </c>
      <c r="E942">
        <f t="shared" si="129"/>
        <v>9.8036895979040459E-2</v>
      </c>
      <c r="P942" t="str" cm="1">
        <f t="array" ref="P942">_xlfn.IFS(
  AND(D942&gt;0,E942&gt;0),"Expansion",
  AND(D942&lt;0,E942&gt;0),"Slowdown",
  AND(D942&lt;0,E942&lt;0),"Contraction",
  AND(D942&gt;0,E942&lt;0),"Recovery",
  TRUE,"Undefined"
)</f>
        <v>Slowdown</v>
      </c>
      <c r="Q942" t="str">
        <f t="shared" si="136"/>
        <v>Expansion</v>
      </c>
      <c r="R942">
        <f t="shared" si="130"/>
        <v>1</v>
      </c>
      <c r="S942">
        <f t="shared" si="131"/>
        <v>1</v>
      </c>
      <c r="T942">
        <f t="shared" si="132"/>
        <v>1</v>
      </c>
      <c r="U942">
        <f t="shared" si="133"/>
        <v>1</v>
      </c>
      <c r="V942" t="str" cm="1">
        <f t="array" ref="V942">_xlfn.IFS(
  AND(S942&gt;0,U942&gt;0),"Expansion",
  AND(S942&lt;0,U942&gt;0),"Slowdown",
  AND(S942&lt;0,U942&lt;0),"Contraction",
  AND(S942&gt;0,U942&lt;0),"Recovery",
  TRUE,"Undefined"
)</f>
        <v>Expansion</v>
      </c>
      <c r="W942">
        <f t="shared" si="134"/>
        <v>0</v>
      </c>
      <c r="X942">
        <f t="shared" si="135"/>
        <v>0</v>
      </c>
      <c r="Y942">
        <v>0</v>
      </c>
    </row>
    <row r="943" spans="1:25" x14ac:dyDescent="0.35">
      <c r="A943" s="1">
        <f>Data!A943</f>
        <v>45809</v>
      </c>
      <c r="B943" s="2">
        <f>IFERROR((Data!B943/Data!B942-1)*100,"")</f>
        <v>0.25419499719294691</v>
      </c>
      <c r="C943" s="2">
        <f>IFERROR((Data!C943/Data!C942-1)*100,"")</f>
        <v>0.50809434905982886</v>
      </c>
      <c r="D943">
        <f t="shared" si="128"/>
        <v>0.14470155099587378</v>
      </c>
      <c r="E943">
        <f t="shared" si="129"/>
        <v>0.17171580774953585</v>
      </c>
      <c r="P943" t="str" cm="1">
        <f t="array" ref="P943">_xlfn.IFS(
  AND(D943&gt;0,E943&gt;0),"Expansion",
  AND(D943&lt;0,E943&gt;0),"Slowdown",
  AND(D943&lt;0,E943&lt;0),"Contraction",
  AND(D943&gt;0,E943&lt;0),"Recovery",
  TRUE,"Undefined"
)</f>
        <v>Expansion</v>
      </c>
      <c r="Q943" t="str">
        <f t="shared" si="136"/>
        <v>Expansion</v>
      </c>
      <c r="R943">
        <f t="shared" si="130"/>
        <v>1</v>
      </c>
      <c r="S943">
        <f t="shared" si="131"/>
        <v>1</v>
      </c>
      <c r="T943">
        <f t="shared" si="132"/>
        <v>1</v>
      </c>
      <c r="U943">
        <f t="shared" si="133"/>
        <v>1</v>
      </c>
      <c r="V943" t="str" cm="1">
        <f t="array" ref="V943">_xlfn.IFS(
  AND(S943&gt;0,U943&gt;0),"Expansion",
  AND(S943&lt;0,U943&gt;0),"Slowdown",
  AND(S943&lt;0,U943&lt;0),"Contraction",
  AND(S943&gt;0,U943&lt;0),"Recovery",
  TRUE,"Undefined"
)</f>
        <v>Expansion</v>
      </c>
      <c r="W943">
        <f t="shared" si="134"/>
        <v>0</v>
      </c>
      <c r="X943">
        <f t="shared" si="135"/>
        <v>0</v>
      </c>
      <c r="Y943">
        <v>0</v>
      </c>
    </row>
    <row r="944" spans="1:25" x14ac:dyDescent="0.35">
      <c r="A944" s="1">
        <f>Data!A944</f>
        <v>45839</v>
      </c>
      <c r="B944" s="2">
        <f>IFERROR((Data!B944/Data!B943-1)*100,"")</f>
        <v>0.22835098853577485</v>
      </c>
      <c r="C944" s="2">
        <f>IFERROR((Data!C944/Data!C943-1)*100,"")</f>
        <v>0.4094463359233913</v>
      </c>
      <c r="D944">
        <f t="shared" si="128"/>
        <v>0.25231732171806148</v>
      </c>
      <c r="E944">
        <f t="shared" si="129"/>
        <v>0.19394242966625322</v>
      </c>
      <c r="P944" t="str" cm="1">
        <f t="array" ref="P944">_xlfn.IFS(
  AND(D944&gt;0,E944&gt;0),"Expansion",
  AND(D944&lt;0,E944&gt;0),"Slowdown",
  AND(D944&lt;0,E944&lt;0),"Contraction",
  AND(D944&gt;0,E944&lt;0),"Recovery",
  TRUE,"Undefined"
)</f>
        <v>Expansion</v>
      </c>
      <c r="Q944" t="str">
        <f t="shared" si="136"/>
        <v>Expansion</v>
      </c>
      <c r="R944">
        <f t="shared" si="130"/>
        <v>1</v>
      </c>
      <c r="S944">
        <f t="shared" si="131"/>
        <v>1</v>
      </c>
      <c r="T944">
        <f t="shared" si="132"/>
        <v>1</v>
      </c>
      <c r="U944">
        <f t="shared" si="133"/>
        <v>1</v>
      </c>
      <c r="V944" t="str" cm="1">
        <f t="array" ref="V944">_xlfn.IFS(
  AND(S944&gt;0,U944&gt;0),"Expansion",
  AND(S944&lt;0,U944&gt;0),"Slowdown",
  AND(S944&lt;0,U944&lt;0),"Contraction",
  AND(S944&gt;0,U944&lt;0),"Recovery",
  TRUE,"Undefined"
)</f>
        <v>Expansion</v>
      </c>
      <c r="W944">
        <f t="shared" si="134"/>
        <v>0</v>
      </c>
      <c r="X944">
        <f t="shared" si="135"/>
        <v>0</v>
      </c>
      <c r="Y944">
        <v>0</v>
      </c>
    </row>
    <row r="945" spans="1:25" x14ac:dyDescent="0.35">
      <c r="A945" s="1">
        <f>Data!A945</f>
        <v>45870</v>
      </c>
      <c r="B945" s="2">
        <f>IFERROR((Data!B945/Data!B944-1)*100,"")</f>
        <v>0.34826442022666271</v>
      </c>
      <c r="C945" s="2">
        <f>IFERROR((Data!C945/Data!C944-1)*100,"")</f>
        <v>-0.26429426659076993</v>
      </c>
      <c r="D945">
        <f t="shared" si="128"/>
        <v>0.21774880613081674</v>
      </c>
      <c r="E945">
        <f t="shared" si="129"/>
        <v>0.27693680198512816</v>
      </c>
      <c r="P945" t="str" cm="1">
        <f t="array" ref="P945">_xlfn.IFS(
  AND(D945&gt;0,E945&gt;0),"Expansion",
  AND(D945&lt;0,E945&gt;0),"Slowdown",
  AND(D945&lt;0,E945&lt;0),"Contraction",
  AND(D945&gt;0,E945&lt;0),"Recovery",
  TRUE,"Undefined"
)</f>
        <v>Expansion</v>
      </c>
      <c r="Q945" t="str">
        <f t="shared" si="136"/>
        <v>Expansion</v>
      </c>
      <c r="R945">
        <f t="shared" si="130"/>
        <v>1</v>
      </c>
      <c r="S945">
        <f t="shared" si="131"/>
        <v>1</v>
      </c>
      <c r="T945">
        <f t="shared" si="132"/>
        <v>1</v>
      </c>
      <c r="U945">
        <f t="shared" si="133"/>
        <v>1</v>
      </c>
      <c r="V945" t="str" cm="1">
        <f t="array" ref="V945">_xlfn.IFS(
  AND(S945&gt;0,U945&gt;0),"Expansion",
  AND(S945&lt;0,U945&gt;0),"Slowdown",
  AND(S945&lt;0,U945&lt;0),"Contraction",
  AND(S945&gt;0,U945&lt;0),"Recovery",
  TRUE,"Undefined"
)</f>
        <v>Expansion</v>
      </c>
      <c r="W945">
        <f t="shared" si="134"/>
        <v>0</v>
      </c>
      <c r="X945">
        <f t="shared" si="135"/>
        <v>0</v>
      </c>
      <c r="Y945">
        <v>0</v>
      </c>
    </row>
    <row r="946" spans="1:25" x14ac:dyDescent="0.35">
      <c r="A946" s="1">
        <f>Data!A946</f>
        <v>45901</v>
      </c>
      <c r="B946" s="2">
        <f>IFERROR((Data!B946/Data!B945-1)*100,"")</f>
        <v>0.29509018191040681</v>
      </c>
      <c r="C946" s="2">
        <f>IFERROR((Data!C946/Data!C945-1)*100,"")</f>
        <v>4.2607751855605613E-2</v>
      </c>
      <c r="D946">
        <f t="shared" si="128"/>
        <v>6.2586607062742328E-2</v>
      </c>
      <c r="E946">
        <f t="shared" si="129"/>
        <v>0.29056853022428147</v>
      </c>
      <c r="P946" t="str" cm="1">
        <f t="array" ref="P946">_xlfn.IFS(
  AND(D946&gt;0,E946&gt;0),"Expansion",
  AND(D946&lt;0,E946&gt;0),"Slowdown",
  AND(D946&lt;0,E946&lt;0),"Contraction",
  AND(D946&gt;0,E946&lt;0),"Recovery",
  TRUE,"Undefined"
)</f>
        <v>Expansion</v>
      </c>
      <c r="Q946" t="str">
        <f t="shared" si="136"/>
        <v>Expansion</v>
      </c>
      <c r="R946">
        <f t="shared" si="130"/>
        <v>1</v>
      </c>
      <c r="S946">
        <f t="shared" si="131"/>
        <v>1</v>
      </c>
      <c r="T946">
        <f t="shared" si="132"/>
        <v>1</v>
      </c>
      <c r="U946">
        <f t="shared" si="133"/>
        <v>1</v>
      </c>
      <c r="V946" t="str" cm="1">
        <f t="array" ref="V946">_xlfn.IFS(
  AND(S946&gt;0,U946&gt;0),"Expansion",
  AND(S946&lt;0,U946&gt;0),"Slowdown",
  AND(S946&lt;0,U946&lt;0),"Contraction",
  AND(S946&gt;0,U946&lt;0),"Recovery",
  TRUE,"Undefined"
)</f>
        <v>Expansion</v>
      </c>
      <c r="W946">
        <f t="shared" si="134"/>
        <v>0</v>
      </c>
      <c r="X946">
        <f t="shared" si="135"/>
        <v>0</v>
      </c>
      <c r="Y946">
        <v>0</v>
      </c>
    </row>
    <row r="947" spans="1:25" x14ac:dyDescent="0.35">
      <c r="A947" s="1">
        <f>Data!A947</f>
        <v>45931</v>
      </c>
      <c r="B947" s="2">
        <f>IFERROR((Data!B947/Data!B946-1)*100,"")</f>
        <v>-100</v>
      </c>
      <c r="C947" s="2">
        <f>IFERROR((Data!C947/Data!C946-1)*100,"")</f>
        <v>-0.45294487941143213</v>
      </c>
      <c r="D947">
        <f t="shared" si="128"/>
        <v>-0.22487713138219881</v>
      </c>
      <c r="E947">
        <f t="shared" si="129"/>
        <v>-33.118881799287642</v>
      </c>
      <c r="P947" t="str" cm="1">
        <f t="array" ref="P947">_xlfn.IFS(
  AND(D947&gt;0,E947&gt;0),"Expansion",
  AND(D947&lt;0,E947&gt;0),"Slowdown",
  AND(D947&lt;0,E947&lt;0),"Contraction",
  AND(D947&gt;0,E947&lt;0),"Recovery",
  TRUE,"Undefined"
)</f>
        <v>Contraction</v>
      </c>
      <c r="Q947" t="str">
        <f t="shared" si="136"/>
        <v>Expansion</v>
      </c>
      <c r="R947">
        <f t="shared" si="130"/>
        <v>1</v>
      </c>
      <c r="S947">
        <f t="shared" si="131"/>
        <v>1</v>
      </c>
      <c r="T947">
        <f t="shared" si="132"/>
        <v>-1</v>
      </c>
      <c r="U947">
        <f t="shared" si="133"/>
        <v>-1</v>
      </c>
      <c r="V947" t="str" cm="1">
        <f t="array" ref="V947">_xlfn.IFS(
  AND(S947&gt;0,U947&gt;0),"Expansion",
  AND(S947&lt;0,U947&gt;0),"Slowdown",
  AND(S947&lt;0,U947&lt;0),"Contraction",
  AND(S947&gt;0,U947&lt;0),"Recovery",
  TRUE,"Undefined"
)</f>
        <v>Recovery</v>
      </c>
      <c r="W947">
        <f t="shared" si="134"/>
        <v>0</v>
      </c>
      <c r="X947">
        <f t="shared" si="135"/>
        <v>0</v>
      </c>
      <c r="Y947">
        <v>0</v>
      </c>
    </row>
    <row r="948" spans="1:25" x14ac:dyDescent="0.35">
      <c r="A948" s="1">
        <f>Data!A948</f>
        <v>45962</v>
      </c>
      <c r="B948" s="2" t="str">
        <f>IFERROR((Data!B948/Data!B947-1)*100,"")</f>
        <v/>
      </c>
      <c r="C948" s="2">
        <f>IFERROR((Data!C948/Data!C947-1)*100,"")</f>
        <v>0.15117456710225241</v>
      </c>
      <c r="D948">
        <f t="shared" si="128"/>
        <v>-8.6387520151191374E-2</v>
      </c>
      <c r="E948">
        <f t="shared" si="129"/>
        <v>-33.234969939363197</v>
      </c>
      <c r="P948" t="str" cm="1">
        <f t="array" ref="P948">_xlfn.IFS(
  AND(D948&gt;0,E948&gt;0),"Expansion",
  AND(D948&lt;0,E948&gt;0),"Slowdown",
  AND(D948&lt;0,E948&lt;0),"Contraction",
  AND(D948&gt;0,E948&lt;0),"Recovery",
  TRUE,"Undefined"
)</f>
        <v>Contraction</v>
      </c>
      <c r="Q948" t="str">
        <f t="shared" si="136"/>
        <v>Expansion</v>
      </c>
      <c r="R948">
        <f t="shared" si="130"/>
        <v>1</v>
      </c>
      <c r="S948">
        <f t="shared" si="131"/>
        <v>1</v>
      </c>
      <c r="T948">
        <f t="shared" si="132"/>
        <v>-1</v>
      </c>
      <c r="U948">
        <f t="shared" si="133"/>
        <v>-1</v>
      </c>
      <c r="V948" t="str" cm="1">
        <f t="array" ref="V948">_xlfn.IFS(
  AND(S948&gt;0,U948&gt;0),"Expansion",
  AND(S948&lt;0,U948&gt;0),"Slowdown",
  AND(S948&lt;0,U948&lt;0),"Contraction",
  AND(S948&gt;0,U948&lt;0),"Recovery",
  TRUE,"Undefined"
)</f>
        <v>Recovery</v>
      </c>
      <c r="W948">
        <f t="shared" si="134"/>
        <v>0</v>
      </c>
      <c r="X948">
        <f t="shared" si="135"/>
        <v>0</v>
      </c>
      <c r="Y948">
        <v>0</v>
      </c>
    </row>
    <row r="949" spans="1:25" x14ac:dyDescent="0.35">
      <c r="A949" s="1">
        <f>Data!A949</f>
        <v>45992</v>
      </c>
      <c r="B949" s="2">
        <f>IFERROR((Data!B949/Data!B948-1)*100,"")</f>
        <v>0.29778842870460398</v>
      </c>
      <c r="C949" s="2">
        <f>IFERROR((Data!C949/Data!C948-1)*100,"")</f>
        <v>0.31333704944234153</v>
      </c>
      <c r="D949">
        <f t="shared" si="128"/>
        <v>3.8555790443872695E-3</v>
      </c>
      <c r="E949">
        <f t="shared" si="129"/>
        <v>-33.234070523765133</v>
      </c>
      <c r="P949" t="str" cm="1">
        <f t="array" ref="P949">_xlfn.IFS(
  AND(D949&gt;0,E949&gt;0),"Expansion",
  AND(D949&lt;0,E949&gt;0),"Slowdown",
  AND(D949&lt;0,E949&lt;0),"Contraction",
  AND(D949&gt;0,E949&lt;0),"Recovery",
  TRUE,"Undefined"
)</f>
        <v>Recovery</v>
      </c>
      <c r="Q949" t="str">
        <f t="shared" si="136"/>
        <v>Expansion</v>
      </c>
      <c r="R949">
        <f t="shared" si="130"/>
        <v>1</v>
      </c>
      <c r="S949">
        <f t="shared" si="131"/>
        <v>1</v>
      </c>
      <c r="T949">
        <f t="shared" si="132"/>
        <v>-1</v>
      </c>
      <c r="U949">
        <f t="shared" si="133"/>
        <v>-1</v>
      </c>
      <c r="V949" t="str" cm="1">
        <f t="array" ref="V949">_xlfn.IFS(
  AND(S949&gt;0,U949&gt;0),"Expansion",
  AND(S949&lt;0,U949&gt;0),"Slowdown",
  AND(S949&lt;0,U949&lt;0),"Contraction",
  AND(S949&gt;0,U949&lt;0),"Recovery",
  TRUE,"Undefined"
)</f>
        <v>Recovery</v>
      </c>
      <c r="W949">
        <f t="shared" si="134"/>
        <v>0</v>
      </c>
      <c r="X949">
        <f t="shared" si="135"/>
        <v>0</v>
      </c>
      <c r="Y949">
        <v>0</v>
      </c>
    </row>
    <row r="950" spans="1:25" x14ac:dyDescent="0.35">
      <c r="A950" s="1">
        <f>Data!A950</f>
        <v>46023</v>
      </c>
      <c r="B950" s="2">
        <f>IFERROR((Data!B950/Data!B949-1)*100,"")</f>
        <v>0.170842649932057</v>
      </c>
      <c r="C950" s="2">
        <f>IFERROR((Data!C950/Data!C949-1)*100,"")</f>
        <v>0.7063467944424584</v>
      </c>
      <c r="D950">
        <f t="shared" si="128"/>
        <v>0.3902861369956841</v>
      </c>
      <c r="E950">
        <f t="shared" si="129"/>
        <v>0.15621035954555365</v>
      </c>
      <c r="P950" t="str" cm="1">
        <f t="array" ref="P950">_xlfn.IFS(
  AND(D950&gt;0,E950&gt;0),"Expansion",
  AND(D950&lt;0,E950&gt;0),"Slowdown",
  AND(D950&lt;0,E950&lt;0),"Contraction",
  AND(D950&gt;0,E950&lt;0),"Recovery",
  TRUE,"Undefined"
)</f>
        <v>Expansion</v>
      </c>
      <c r="Q950" t="str">
        <f t="shared" si="136"/>
        <v>Expansion</v>
      </c>
      <c r="R950">
        <f t="shared" si="130"/>
        <v>1</v>
      </c>
      <c r="S950">
        <f t="shared" si="131"/>
        <v>1</v>
      </c>
      <c r="T950">
        <f t="shared" si="132"/>
        <v>1</v>
      </c>
      <c r="U950">
        <f t="shared" si="133"/>
        <v>1</v>
      </c>
      <c r="V950" t="str" cm="1">
        <f t="array" ref="V950">_xlfn.IFS(
  AND(S950&gt;0,U950&gt;0),"Expansion",
  AND(S950&lt;0,U950&gt;0),"Slowdown",
  AND(S950&lt;0,U950&lt;0),"Contraction",
  AND(S950&gt;0,U950&lt;0),"Recovery",
  TRUE,"Undefined"
)</f>
        <v>Expansion</v>
      </c>
      <c r="W950">
        <f t="shared" si="134"/>
        <v>0</v>
      </c>
      <c r="X950">
        <f t="shared" si="135"/>
        <v>0</v>
      </c>
      <c r="Y950">
        <v>0</v>
      </c>
    </row>
    <row r="951" spans="1:25" x14ac:dyDescent="0.35">
      <c r="A951" s="1">
        <f>Data!A951</f>
        <v>46054</v>
      </c>
      <c r="B951" s="2">
        <f>IFERROR((Data!B951/Data!B950-1)*100,"")</f>
        <v>0.26700307420970404</v>
      </c>
      <c r="C951" s="2">
        <f>IFERROR((Data!C951/Data!C950-1)*100,"")</f>
        <v>0.15107967768366315</v>
      </c>
      <c r="D951">
        <f t="shared" si="128"/>
        <v>0.39025450718948768</v>
      </c>
      <c r="E951">
        <f t="shared" si="129"/>
        <v>0.24521138428212166</v>
      </c>
      <c r="P951" t="str" cm="1">
        <f t="array" ref="P951">_xlfn.IFS(
  AND(D951&gt;0,E951&gt;0),"Expansion",
  AND(D951&lt;0,E951&gt;0),"Slowdown",
  AND(D951&lt;0,E951&lt;0),"Contraction",
  AND(D951&gt;0,E951&lt;0),"Recovery",
  TRUE,"Undefined"
)</f>
        <v>Expansion</v>
      </c>
      <c r="Q951" t="str">
        <f t="shared" si="136"/>
        <v>Expansion</v>
      </c>
      <c r="R951">
        <f t="shared" si="130"/>
        <v>1</v>
      </c>
      <c r="S951">
        <f t="shared" si="131"/>
        <v>1</v>
      </c>
      <c r="T951">
        <f t="shared" si="132"/>
        <v>1</v>
      </c>
      <c r="U951">
        <f t="shared" si="133"/>
        <v>1</v>
      </c>
      <c r="V951" t="str" cm="1">
        <f t="array" ref="V951">_xlfn.IFS(
  AND(S951&gt;0,U951&gt;0),"Expansion",
  AND(S951&lt;0,U951&gt;0),"Slowdown",
  AND(S951&lt;0,U951&lt;0),"Contraction",
  AND(S951&gt;0,U951&lt;0),"Recovery",
  TRUE,"Undefined"
)</f>
        <v>Expansion</v>
      </c>
      <c r="W951">
        <f t="shared" si="134"/>
        <v>0</v>
      </c>
      <c r="X951">
        <f t="shared" si="135"/>
        <v>0</v>
      </c>
      <c r="Y9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816E-CF67-407D-99AC-3B2CA77B7AC6}">
  <dimension ref="A4:B951"/>
  <sheetViews>
    <sheetView workbookViewId="0">
      <selection activeCell="B6" sqref="B6"/>
    </sheetView>
  </sheetViews>
  <sheetFormatPr defaultRowHeight="14.5" x14ac:dyDescent="0.35"/>
  <cols>
    <col min="1" max="1" width="10.08984375" style="3" bestFit="1" customWidth="1"/>
  </cols>
  <sheetData>
    <row r="4" spans="1:2" x14ac:dyDescent="0.35">
      <c r="A4" s="3" t="s">
        <v>39</v>
      </c>
      <c r="B4" t="s">
        <v>40</v>
      </c>
    </row>
    <row r="5" spans="1:2" x14ac:dyDescent="0.35">
      <c r="A5" s="3">
        <v>17258</v>
      </c>
      <c r="B5" t="s">
        <v>20</v>
      </c>
    </row>
    <row r="6" spans="1:2" x14ac:dyDescent="0.35">
      <c r="A6" s="3">
        <v>17288</v>
      </c>
      <c r="B6" t="s">
        <v>20</v>
      </c>
    </row>
    <row r="7" spans="1:2" x14ac:dyDescent="0.35">
      <c r="A7" s="3">
        <v>17319</v>
      </c>
      <c r="B7" t="s">
        <v>20</v>
      </c>
    </row>
    <row r="8" spans="1:2" x14ac:dyDescent="0.35">
      <c r="A8" s="3">
        <v>17349</v>
      </c>
      <c r="B8" t="s">
        <v>20</v>
      </c>
    </row>
    <row r="9" spans="1:2" x14ac:dyDescent="0.35">
      <c r="A9" s="3">
        <v>17380</v>
      </c>
      <c r="B9" t="s">
        <v>20</v>
      </c>
    </row>
    <row r="10" spans="1:2" x14ac:dyDescent="0.35">
      <c r="A10" s="3">
        <v>17411</v>
      </c>
      <c r="B10" t="s">
        <v>20</v>
      </c>
    </row>
    <row r="11" spans="1:2" x14ac:dyDescent="0.35">
      <c r="A11" s="3">
        <v>17441</v>
      </c>
      <c r="B11" t="s">
        <v>20</v>
      </c>
    </row>
    <row r="12" spans="1:2" x14ac:dyDescent="0.35">
      <c r="A12" s="3">
        <v>17472</v>
      </c>
      <c r="B12" t="s">
        <v>20</v>
      </c>
    </row>
    <row r="13" spans="1:2" x14ac:dyDescent="0.35">
      <c r="A13" s="3">
        <v>17502</v>
      </c>
      <c r="B13" t="s">
        <v>20</v>
      </c>
    </row>
    <row r="14" spans="1:2" x14ac:dyDescent="0.35">
      <c r="A14" s="3">
        <v>17533</v>
      </c>
      <c r="B14" t="s">
        <v>20</v>
      </c>
    </row>
    <row r="15" spans="1:2" x14ac:dyDescent="0.35">
      <c r="A15" s="3">
        <v>17564</v>
      </c>
      <c r="B15" t="s">
        <v>20</v>
      </c>
    </row>
    <row r="16" spans="1:2" x14ac:dyDescent="0.35">
      <c r="A16" s="3">
        <v>17593</v>
      </c>
      <c r="B16" t="s">
        <v>20</v>
      </c>
    </row>
    <row r="17" spans="1:2" x14ac:dyDescent="0.35">
      <c r="A17" s="3">
        <v>17624</v>
      </c>
      <c r="B17" t="s">
        <v>20</v>
      </c>
    </row>
    <row r="18" spans="1:2" x14ac:dyDescent="0.35">
      <c r="A18" s="3">
        <v>17654</v>
      </c>
      <c r="B18" t="s">
        <v>20</v>
      </c>
    </row>
    <row r="19" spans="1:2" x14ac:dyDescent="0.35">
      <c r="A19" s="3">
        <v>17685</v>
      </c>
      <c r="B19" t="s">
        <v>20</v>
      </c>
    </row>
    <row r="20" spans="1:2" x14ac:dyDescent="0.35">
      <c r="A20" s="3">
        <v>17715</v>
      </c>
      <c r="B20" t="s">
        <v>20</v>
      </c>
    </row>
    <row r="21" spans="1:2" x14ac:dyDescent="0.35">
      <c r="A21" s="3">
        <v>17746</v>
      </c>
      <c r="B21" t="s">
        <v>20</v>
      </c>
    </row>
    <row r="22" spans="1:2" x14ac:dyDescent="0.35">
      <c r="A22" s="3">
        <v>17777</v>
      </c>
      <c r="B22" t="s">
        <v>36</v>
      </c>
    </row>
    <row r="23" spans="1:2" x14ac:dyDescent="0.35">
      <c r="A23" s="3">
        <v>17807</v>
      </c>
      <c r="B23" t="s">
        <v>37</v>
      </c>
    </row>
    <row r="24" spans="1:2" x14ac:dyDescent="0.35">
      <c r="A24" s="3">
        <v>17838</v>
      </c>
      <c r="B24" t="s">
        <v>38</v>
      </c>
    </row>
    <row r="25" spans="1:2" x14ac:dyDescent="0.35">
      <c r="A25" s="3">
        <v>17868</v>
      </c>
      <c r="B25" t="s">
        <v>38</v>
      </c>
    </row>
    <row r="26" spans="1:2" x14ac:dyDescent="0.35">
      <c r="A26" s="3">
        <v>17899</v>
      </c>
      <c r="B26" t="s">
        <v>38</v>
      </c>
    </row>
    <row r="27" spans="1:2" x14ac:dyDescent="0.35">
      <c r="A27" s="3">
        <v>17930</v>
      </c>
      <c r="B27" t="s">
        <v>38</v>
      </c>
    </row>
    <row r="28" spans="1:2" x14ac:dyDescent="0.35">
      <c r="A28" s="3">
        <v>17958</v>
      </c>
      <c r="B28" t="s">
        <v>38</v>
      </c>
    </row>
    <row r="29" spans="1:2" x14ac:dyDescent="0.35">
      <c r="A29" s="3">
        <v>17989</v>
      </c>
      <c r="B29" t="s">
        <v>38</v>
      </c>
    </row>
    <row r="30" spans="1:2" x14ac:dyDescent="0.35">
      <c r="A30" s="3">
        <v>18019</v>
      </c>
      <c r="B30" t="s">
        <v>36</v>
      </c>
    </row>
    <row r="31" spans="1:2" x14ac:dyDescent="0.35">
      <c r="A31" s="3">
        <v>18050</v>
      </c>
      <c r="B31" t="s">
        <v>36</v>
      </c>
    </row>
    <row r="32" spans="1:2" x14ac:dyDescent="0.35">
      <c r="A32" s="3">
        <v>18080</v>
      </c>
      <c r="B32" t="s">
        <v>38</v>
      </c>
    </row>
    <row r="33" spans="1:2" x14ac:dyDescent="0.35">
      <c r="A33" s="3">
        <v>18111</v>
      </c>
      <c r="B33" t="s">
        <v>37</v>
      </c>
    </row>
    <row r="34" spans="1:2" x14ac:dyDescent="0.35">
      <c r="A34" s="3">
        <v>18142</v>
      </c>
      <c r="B34" t="s">
        <v>37</v>
      </c>
    </row>
    <row r="35" spans="1:2" x14ac:dyDescent="0.35">
      <c r="A35" s="3">
        <v>18172</v>
      </c>
      <c r="B35" t="s">
        <v>38</v>
      </c>
    </row>
    <row r="36" spans="1:2" x14ac:dyDescent="0.35">
      <c r="A36" s="3">
        <v>18203</v>
      </c>
      <c r="B36" t="s">
        <v>20</v>
      </c>
    </row>
    <row r="37" spans="1:2" x14ac:dyDescent="0.35">
      <c r="A37" s="3">
        <v>18233</v>
      </c>
      <c r="B37" t="s">
        <v>37</v>
      </c>
    </row>
    <row r="38" spans="1:2" x14ac:dyDescent="0.35">
      <c r="A38" s="3">
        <v>18264</v>
      </c>
      <c r="B38" t="s">
        <v>37</v>
      </c>
    </row>
    <row r="39" spans="1:2" x14ac:dyDescent="0.35">
      <c r="A39" s="3">
        <v>18295</v>
      </c>
      <c r="B39" t="s">
        <v>37</v>
      </c>
    </row>
    <row r="40" spans="1:2" x14ac:dyDescent="0.35">
      <c r="A40" s="3">
        <v>18323</v>
      </c>
      <c r="B40" t="s">
        <v>20</v>
      </c>
    </row>
    <row r="41" spans="1:2" x14ac:dyDescent="0.35">
      <c r="A41" s="3">
        <v>18354</v>
      </c>
      <c r="B41" t="s">
        <v>20</v>
      </c>
    </row>
    <row r="42" spans="1:2" x14ac:dyDescent="0.35">
      <c r="A42" s="3">
        <v>18384</v>
      </c>
      <c r="B42" t="s">
        <v>20</v>
      </c>
    </row>
    <row r="43" spans="1:2" x14ac:dyDescent="0.35">
      <c r="A43" s="3">
        <v>18415</v>
      </c>
      <c r="B43" t="s">
        <v>20</v>
      </c>
    </row>
    <row r="44" spans="1:2" x14ac:dyDescent="0.35">
      <c r="A44" s="3">
        <v>18445</v>
      </c>
      <c r="B44" t="s">
        <v>20</v>
      </c>
    </row>
    <row r="45" spans="1:2" x14ac:dyDescent="0.35">
      <c r="A45" s="3">
        <v>18476</v>
      </c>
      <c r="B45" t="s">
        <v>20</v>
      </c>
    </row>
    <row r="46" spans="1:2" x14ac:dyDescent="0.35">
      <c r="A46" s="3">
        <v>18507</v>
      </c>
      <c r="B46" t="s">
        <v>20</v>
      </c>
    </row>
    <row r="47" spans="1:2" x14ac:dyDescent="0.35">
      <c r="A47" s="3">
        <v>18537</v>
      </c>
      <c r="B47" t="s">
        <v>20</v>
      </c>
    </row>
    <row r="48" spans="1:2" x14ac:dyDescent="0.35">
      <c r="A48" s="3">
        <v>18568</v>
      </c>
      <c r="B48" t="s">
        <v>20</v>
      </c>
    </row>
    <row r="49" spans="1:2" x14ac:dyDescent="0.35">
      <c r="A49" s="3">
        <v>18598</v>
      </c>
      <c r="B49" t="s">
        <v>20</v>
      </c>
    </row>
    <row r="50" spans="1:2" x14ac:dyDescent="0.35">
      <c r="A50" s="3">
        <v>18629</v>
      </c>
      <c r="B50" t="s">
        <v>20</v>
      </c>
    </row>
    <row r="51" spans="1:2" x14ac:dyDescent="0.35">
      <c r="A51" s="3">
        <v>18660</v>
      </c>
      <c r="B51" t="s">
        <v>20</v>
      </c>
    </row>
    <row r="52" spans="1:2" x14ac:dyDescent="0.35">
      <c r="A52" s="3">
        <v>18688</v>
      </c>
      <c r="B52" t="s">
        <v>20</v>
      </c>
    </row>
    <row r="53" spans="1:2" x14ac:dyDescent="0.35">
      <c r="A53" s="3">
        <v>18719</v>
      </c>
      <c r="B53" t="s">
        <v>20</v>
      </c>
    </row>
    <row r="54" spans="1:2" x14ac:dyDescent="0.35">
      <c r="A54" s="3">
        <v>18749</v>
      </c>
      <c r="B54" t="s">
        <v>20</v>
      </c>
    </row>
    <row r="55" spans="1:2" x14ac:dyDescent="0.35">
      <c r="A55" s="3">
        <v>18780</v>
      </c>
      <c r="B55" t="s">
        <v>20</v>
      </c>
    </row>
    <row r="56" spans="1:2" x14ac:dyDescent="0.35">
      <c r="A56" s="3">
        <v>18810</v>
      </c>
      <c r="B56" t="s">
        <v>38</v>
      </c>
    </row>
    <row r="57" spans="1:2" x14ac:dyDescent="0.35">
      <c r="A57" s="3">
        <v>18841</v>
      </c>
      <c r="B57" t="s">
        <v>38</v>
      </c>
    </row>
    <row r="58" spans="1:2" x14ac:dyDescent="0.35">
      <c r="A58" s="3">
        <v>18872</v>
      </c>
      <c r="B58" t="s">
        <v>36</v>
      </c>
    </row>
    <row r="59" spans="1:2" x14ac:dyDescent="0.35">
      <c r="A59" s="3">
        <v>18902</v>
      </c>
      <c r="B59" t="s">
        <v>20</v>
      </c>
    </row>
    <row r="60" spans="1:2" x14ac:dyDescent="0.35">
      <c r="A60" s="3">
        <v>18933</v>
      </c>
      <c r="B60" t="s">
        <v>20</v>
      </c>
    </row>
    <row r="61" spans="1:2" x14ac:dyDescent="0.35">
      <c r="A61" s="3">
        <v>18963</v>
      </c>
      <c r="B61" t="s">
        <v>20</v>
      </c>
    </row>
    <row r="62" spans="1:2" x14ac:dyDescent="0.35">
      <c r="A62" s="3">
        <v>18994</v>
      </c>
      <c r="B62" t="s">
        <v>20</v>
      </c>
    </row>
    <row r="63" spans="1:2" x14ac:dyDescent="0.35">
      <c r="A63" s="3">
        <v>19025</v>
      </c>
      <c r="B63" t="s">
        <v>20</v>
      </c>
    </row>
    <row r="64" spans="1:2" x14ac:dyDescent="0.35">
      <c r="A64" s="3">
        <v>19054</v>
      </c>
      <c r="B64" t="s">
        <v>37</v>
      </c>
    </row>
    <row r="65" spans="1:2" x14ac:dyDescent="0.35">
      <c r="A65" s="3">
        <v>19085</v>
      </c>
      <c r="B65" t="s">
        <v>20</v>
      </c>
    </row>
    <row r="66" spans="1:2" x14ac:dyDescent="0.35">
      <c r="A66" s="3">
        <v>19115</v>
      </c>
      <c r="B66" t="s">
        <v>36</v>
      </c>
    </row>
    <row r="67" spans="1:2" x14ac:dyDescent="0.35">
      <c r="A67" s="3">
        <v>19146</v>
      </c>
      <c r="B67" t="s">
        <v>36</v>
      </c>
    </row>
    <row r="68" spans="1:2" x14ac:dyDescent="0.35">
      <c r="A68" s="3">
        <v>19176</v>
      </c>
      <c r="B68" t="s">
        <v>36</v>
      </c>
    </row>
    <row r="69" spans="1:2" x14ac:dyDescent="0.35">
      <c r="A69" s="3">
        <v>19207</v>
      </c>
      <c r="B69" t="s">
        <v>20</v>
      </c>
    </row>
    <row r="70" spans="1:2" x14ac:dyDescent="0.35">
      <c r="A70" s="3">
        <v>19238</v>
      </c>
      <c r="B70" t="s">
        <v>20</v>
      </c>
    </row>
    <row r="71" spans="1:2" x14ac:dyDescent="0.35">
      <c r="A71" s="3">
        <v>19268</v>
      </c>
      <c r="B71" t="s">
        <v>20</v>
      </c>
    </row>
    <row r="72" spans="1:2" x14ac:dyDescent="0.35">
      <c r="A72" s="3">
        <v>19299</v>
      </c>
      <c r="B72" t="s">
        <v>20</v>
      </c>
    </row>
    <row r="73" spans="1:2" x14ac:dyDescent="0.35">
      <c r="A73" s="3">
        <v>19329</v>
      </c>
      <c r="B73" t="s">
        <v>20</v>
      </c>
    </row>
    <row r="74" spans="1:2" x14ac:dyDescent="0.35">
      <c r="A74" s="3">
        <v>19360</v>
      </c>
      <c r="B74" t="s">
        <v>37</v>
      </c>
    </row>
    <row r="75" spans="1:2" x14ac:dyDescent="0.35">
      <c r="A75" s="3">
        <v>19391</v>
      </c>
      <c r="B75" t="s">
        <v>37</v>
      </c>
    </row>
    <row r="76" spans="1:2" x14ac:dyDescent="0.35">
      <c r="A76" s="3">
        <v>19419</v>
      </c>
      <c r="B76" t="s">
        <v>37</v>
      </c>
    </row>
    <row r="77" spans="1:2" x14ac:dyDescent="0.35">
      <c r="A77" s="3">
        <v>19450</v>
      </c>
      <c r="B77" t="s">
        <v>20</v>
      </c>
    </row>
    <row r="78" spans="1:2" x14ac:dyDescent="0.35">
      <c r="A78" s="3">
        <v>19480</v>
      </c>
      <c r="B78" t="s">
        <v>20</v>
      </c>
    </row>
    <row r="79" spans="1:2" x14ac:dyDescent="0.35">
      <c r="A79" s="3">
        <v>19511</v>
      </c>
      <c r="B79" t="s">
        <v>20</v>
      </c>
    </row>
    <row r="80" spans="1:2" x14ac:dyDescent="0.35">
      <c r="A80" s="3">
        <v>19541</v>
      </c>
      <c r="B80" t="s">
        <v>20</v>
      </c>
    </row>
    <row r="81" spans="1:2" x14ac:dyDescent="0.35">
      <c r="A81" s="3">
        <v>19572</v>
      </c>
      <c r="B81" t="s">
        <v>20</v>
      </c>
    </row>
    <row r="82" spans="1:2" x14ac:dyDescent="0.35">
      <c r="A82" s="3">
        <v>19603</v>
      </c>
      <c r="B82" t="s">
        <v>36</v>
      </c>
    </row>
    <row r="83" spans="1:2" x14ac:dyDescent="0.35">
      <c r="A83" s="3">
        <v>19633</v>
      </c>
      <c r="B83" t="s">
        <v>36</v>
      </c>
    </row>
    <row r="84" spans="1:2" x14ac:dyDescent="0.35">
      <c r="A84" s="3">
        <v>19664</v>
      </c>
      <c r="B84" t="s">
        <v>36</v>
      </c>
    </row>
    <row r="85" spans="1:2" x14ac:dyDescent="0.35">
      <c r="A85" s="3">
        <v>19694</v>
      </c>
      <c r="B85" t="s">
        <v>38</v>
      </c>
    </row>
    <row r="86" spans="1:2" x14ac:dyDescent="0.35">
      <c r="A86" s="3">
        <v>19725</v>
      </c>
      <c r="B86" t="s">
        <v>38</v>
      </c>
    </row>
    <row r="87" spans="1:2" x14ac:dyDescent="0.35">
      <c r="A87" s="3">
        <v>19756</v>
      </c>
      <c r="B87" t="s">
        <v>36</v>
      </c>
    </row>
    <row r="88" spans="1:2" x14ac:dyDescent="0.35">
      <c r="A88" s="3">
        <v>19784</v>
      </c>
      <c r="B88" t="s">
        <v>36</v>
      </c>
    </row>
    <row r="89" spans="1:2" x14ac:dyDescent="0.35">
      <c r="A89" s="3">
        <v>19815</v>
      </c>
      <c r="B89" t="s">
        <v>38</v>
      </c>
    </row>
    <row r="90" spans="1:2" x14ac:dyDescent="0.35">
      <c r="A90" s="3">
        <v>19845</v>
      </c>
      <c r="B90" t="s">
        <v>37</v>
      </c>
    </row>
    <row r="91" spans="1:2" x14ac:dyDescent="0.35">
      <c r="A91" s="3">
        <v>19876</v>
      </c>
      <c r="B91" t="s">
        <v>20</v>
      </c>
    </row>
    <row r="92" spans="1:2" x14ac:dyDescent="0.35">
      <c r="A92" s="3">
        <v>19906</v>
      </c>
      <c r="B92" t="s">
        <v>20</v>
      </c>
    </row>
    <row r="93" spans="1:2" x14ac:dyDescent="0.35">
      <c r="A93" s="3">
        <v>19937</v>
      </c>
      <c r="B93" t="s">
        <v>37</v>
      </c>
    </row>
    <row r="94" spans="1:2" x14ac:dyDescent="0.35">
      <c r="A94" s="3">
        <v>19968</v>
      </c>
      <c r="B94" t="s">
        <v>37</v>
      </c>
    </row>
    <row r="95" spans="1:2" x14ac:dyDescent="0.35">
      <c r="A95" s="3">
        <v>19998</v>
      </c>
      <c r="B95" t="s">
        <v>37</v>
      </c>
    </row>
    <row r="96" spans="1:2" x14ac:dyDescent="0.35">
      <c r="A96" s="3">
        <v>20029</v>
      </c>
      <c r="B96" t="s">
        <v>37</v>
      </c>
    </row>
    <row r="97" spans="1:2" x14ac:dyDescent="0.35">
      <c r="A97" s="3">
        <v>20059</v>
      </c>
      <c r="B97" t="s">
        <v>37</v>
      </c>
    </row>
    <row r="98" spans="1:2" x14ac:dyDescent="0.35">
      <c r="A98" s="3">
        <v>20090</v>
      </c>
      <c r="B98" t="s">
        <v>20</v>
      </c>
    </row>
    <row r="99" spans="1:2" x14ac:dyDescent="0.35">
      <c r="A99" s="3">
        <v>20121</v>
      </c>
      <c r="B99" t="s">
        <v>20</v>
      </c>
    </row>
    <row r="100" spans="1:2" x14ac:dyDescent="0.35">
      <c r="A100" s="3">
        <v>20149</v>
      </c>
      <c r="B100" t="s">
        <v>20</v>
      </c>
    </row>
    <row r="101" spans="1:2" x14ac:dyDescent="0.35">
      <c r="A101" s="3">
        <v>20180</v>
      </c>
      <c r="B101" t="s">
        <v>20</v>
      </c>
    </row>
    <row r="102" spans="1:2" x14ac:dyDescent="0.35">
      <c r="A102" s="3">
        <v>20210</v>
      </c>
      <c r="B102" t="s">
        <v>37</v>
      </c>
    </row>
    <row r="103" spans="1:2" x14ac:dyDescent="0.35">
      <c r="A103" s="3">
        <v>20241</v>
      </c>
      <c r="B103" t="s">
        <v>37</v>
      </c>
    </row>
    <row r="104" spans="1:2" x14ac:dyDescent="0.35">
      <c r="A104" s="3">
        <v>20271</v>
      </c>
      <c r="B104" t="s">
        <v>37</v>
      </c>
    </row>
    <row r="105" spans="1:2" x14ac:dyDescent="0.35">
      <c r="A105" s="3">
        <v>20302</v>
      </c>
      <c r="B105" t="s">
        <v>37</v>
      </c>
    </row>
    <row r="106" spans="1:2" x14ac:dyDescent="0.35">
      <c r="A106" s="3">
        <v>20333</v>
      </c>
      <c r="B106" t="s">
        <v>20</v>
      </c>
    </row>
    <row r="107" spans="1:2" x14ac:dyDescent="0.35">
      <c r="A107" s="3">
        <v>20363</v>
      </c>
      <c r="B107" t="s">
        <v>20</v>
      </c>
    </row>
    <row r="108" spans="1:2" x14ac:dyDescent="0.35">
      <c r="A108" s="3">
        <v>20394</v>
      </c>
      <c r="B108" t="s">
        <v>20</v>
      </c>
    </row>
    <row r="109" spans="1:2" x14ac:dyDescent="0.35">
      <c r="A109" s="3">
        <v>20424</v>
      </c>
      <c r="B109" t="s">
        <v>20</v>
      </c>
    </row>
    <row r="110" spans="1:2" x14ac:dyDescent="0.35">
      <c r="A110" s="3">
        <v>20455</v>
      </c>
      <c r="B110" t="s">
        <v>20</v>
      </c>
    </row>
    <row r="111" spans="1:2" x14ac:dyDescent="0.35">
      <c r="A111" s="3">
        <v>20486</v>
      </c>
      <c r="B111" t="s">
        <v>37</v>
      </c>
    </row>
    <row r="112" spans="1:2" x14ac:dyDescent="0.35">
      <c r="A112" s="3">
        <v>20515</v>
      </c>
      <c r="B112" t="s">
        <v>20</v>
      </c>
    </row>
    <row r="113" spans="1:2" x14ac:dyDescent="0.35">
      <c r="A113" s="3">
        <v>20546</v>
      </c>
      <c r="B113" t="s">
        <v>20</v>
      </c>
    </row>
    <row r="114" spans="1:2" x14ac:dyDescent="0.35">
      <c r="A114" s="3">
        <v>20576</v>
      </c>
      <c r="B114" t="s">
        <v>20</v>
      </c>
    </row>
    <row r="115" spans="1:2" x14ac:dyDescent="0.35">
      <c r="A115" s="3">
        <v>20607</v>
      </c>
      <c r="B115" t="s">
        <v>36</v>
      </c>
    </row>
    <row r="116" spans="1:2" x14ac:dyDescent="0.35">
      <c r="A116" s="3">
        <v>20637</v>
      </c>
      <c r="B116" t="s">
        <v>36</v>
      </c>
    </row>
    <row r="117" spans="1:2" x14ac:dyDescent="0.35">
      <c r="A117" s="3">
        <v>20668</v>
      </c>
      <c r="B117" t="s">
        <v>20</v>
      </c>
    </row>
    <row r="118" spans="1:2" x14ac:dyDescent="0.35">
      <c r="A118" s="3">
        <v>20699</v>
      </c>
      <c r="B118" t="s">
        <v>20</v>
      </c>
    </row>
    <row r="119" spans="1:2" x14ac:dyDescent="0.35">
      <c r="A119" s="3">
        <v>20729</v>
      </c>
      <c r="B119" t="s">
        <v>20</v>
      </c>
    </row>
    <row r="120" spans="1:2" x14ac:dyDescent="0.35">
      <c r="A120" s="3">
        <v>20760</v>
      </c>
      <c r="B120" t="s">
        <v>20</v>
      </c>
    </row>
    <row r="121" spans="1:2" x14ac:dyDescent="0.35">
      <c r="A121" s="3">
        <v>20790</v>
      </c>
      <c r="B121" t="s">
        <v>20</v>
      </c>
    </row>
    <row r="122" spans="1:2" x14ac:dyDescent="0.35">
      <c r="A122" s="3">
        <v>20821</v>
      </c>
      <c r="B122" t="s">
        <v>20</v>
      </c>
    </row>
    <row r="123" spans="1:2" x14ac:dyDescent="0.35">
      <c r="A123" s="3">
        <v>20852</v>
      </c>
      <c r="B123" t="s">
        <v>20</v>
      </c>
    </row>
    <row r="124" spans="1:2" x14ac:dyDescent="0.35">
      <c r="A124" s="3">
        <v>20880</v>
      </c>
      <c r="B124" t="s">
        <v>20</v>
      </c>
    </row>
    <row r="125" spans="1:2" x14ac:dyDescent="0.35">
      <c r="A125" s="3">
        <v>20911</v>
      </c>
      <c r="B125" t="s">
        <v>20</v>
      </c>
    </row>
    <row r="126" spans="1:2" x14ac:dyDescent="0.35">
      <c r="A126" s="3">
        <v>20941</v>
      </c>
      <c r="B126" t="s">
        <v>36</v>
      </c>
    </row>
    <row r="127" spans="1:2" x14ac:dyDescent="0.35">
      <c r="A127" s="3">
        <v>20972</v>
      </c>
      <c r="B127" t="s">
        <v>36</v>
      </c>
    </row>
    <row r="128" spans="1:2" x14ac:dyDescent="0.35">
      <c r="A128" s="3">
        <v>21002</v>
      </c>
      <c r="B128" t="s">
        <v>20</v>
      </c>
    </row>
    <row r="129" spans="1:2" x14ac:dyDescent="0.35">
      <c r="A129" s="3">
        <v>21033</v>
      </c>
      <c r="B129" t="s">
        <v>20</v>
      </c>
    </row>
    <row r="130" spans="1:2" x14ac:dyDescent="0.35">
      <c r="A130" s="3">
        <v>21064</v>
      </c>
      <c r="B130" t="s">
        <v>20</v>
      </c>
    </row>
    <row r="131" spans="1:2" x14ac:dyDescent="0.35">
      <c r="A131" s="3">
        <v>21094</v>
      </c>
      <c r="B131" t="s">
        <v>36</v>
      </c>
    </row>
    <row r="132" spans="1:2" x14ac:dyDescent="0.35">
      <c r="A132" s="3">
        <v>21125</v>
      </c>
      <c r="B132" t="s">
        <v>36</v>
      </c>
    </row>
    <row r="133" spans="1:2" x14ac:dyDescent="0.35">
      <c r="A133" s="3">
        <v>21155</v>
      </c>
      <c r="B133" t="s">
        <v>36</v>
      </c>
    </row>
    <row r="134" spans="1:2" x14ac:dyDescent="0.35">
      <c r="A134" s="3">
        <v>21186</v>
      </c>
      <c r="B134" t="s">
        <v>36</v>
      </c>
    </row>
    <row r="135" spans="1:2" x14ac:dyDescent="0.35">
      <c r="A135" s="3">
        <v>21217</v>
      </c>
      <c r="B135" t="s">
        <v>36</v>
      </c>
    </row>
    <row r="136" spans="1:2" x14ac:dyDescent="0.35">
      <c r="A136" s="3">
        <v>21245</v>
      </c>
      <c r="B136" t="s">
        <v>36</v>
      </c>
    </row>
    <row r="137" spans="1:2" x14ac:dyDescent="0.35">
      <c r="A137" s="3">
        <v>21276</v>
      </c>
      <c r="B137" t="s">
        <v>36</v>
      </c>
    </row>
    <row r="138" spans="1:2" x14ac:dyDescent="0.35">
      <c r="A138" s="3">
        <v>21306</v>
      </c>
      <c r="B138" t="s">
        <v>36</v>
      </c>
    </row>
    <row r="139" spans="1:2" x14ac:dyDescent="0.35">
      <c r="A139" s="3">
        <v>21337</v>
      </c>
      <c r="B139" t="s">
        <v>20</v>
      </c>
    </row>
    <row r="140" spans="1:2" x14ac:dyDescent="0.35">
      <c r="A140" s="3">
        <v>21367</v>
      </c>
      <c r="B140" t="s">
        <v>37</v>
      </c>
    </row>
    <row r="141" spans="1:2" x14ac:dyDescent="0.35">
      <c r="A141" s="3">
        <v>21398</v>
      </c>
      <c r="B141" t="s">
        <v>20</v>
      </c>
    </row>
    <row r="142" spans="1:2" x14ac:dyDescent="0.35">
      <c r="A142" s="3">
        <v>21429</v>
      </c>
      <c r="B142" t="s">
        <v>20</v>
      </c>
    </row>
    <row r="143" spans="1:2" x14ac:dyDescent="0.35">
      <c r="A143" s="3">
        <v>21459</v>
      </c>
      <c r="B143" t="s">
        <v>20</v>
      </c>
    </row>
    <row r="144" spans="1:2" x14ac:dyDescent="0.35">
      <c r="A144" s="3">
        <v>21490</v>
      </c>
      <c r="B144" t="s">
        <v>20</v>
      </c>
    </row>
    <row r="145" spans="1:2" x14ac:dyDescent="0.35">
      <c r="A145" s="3">
        <v>21520</v>
      </c>
      <c r="B145" t="s">
        <v>20</v>
      </c>
    </row>
    <row r="146" spans="1:2" x14ac:dyDescent="0.35">
      <c r="A146" s="3">
        <v>21551</v>
      </c>
      <c r="B146" t="s">
        <v>20</v>
      </c>
    </row>
    <row r="147" spans="1:2" x14ac:dyDescent="0.35">
      <c r="A147" s="3">
        <v>21582</v>
      </c>
      <c r="B147" t="s">
        <v>20</v>
      </c>
    </row>
    <row r="148" spans="1:2" x14ac:dyDescent="0.35">
      <c r="A148" s="3">
        <v>21610</v>
      </c>
      <c r="B148" t="s">
        <v>20</v>
      </c>
    </row>
    <row r="149" spans="1:2" x14ac:dyDescent="0.35">
      <c r="A149" s="3">
        <v>21641</v>
      </c>
      <c r="B149" t="s">
        <v>37</v>
      </c>
    </row>
    <row r="150" spans="1:2" x14ac:dyDescent="0.35">
      <c r="A150" s="3">
        <v>21671</v>
      </c>
      <c r="B150" t="s">
        <v>20</v>
      </c>
    </row>
    <row r="151" spans="1:2" x14ac:dyDescent="0.35">
      <c r="A151" s="3">
        <v>21702</v>
      </c>
      <c r="B151" t="s">
        <v>20</v>
      </c>
    </row>
    <row r="152" spans="1:2" x14ac:dyDescent="0.35">
      <c r="A152" s="3">
        <v>21732</v>
      </c>
      <c r="B152" t="s">
        <v>20</v>
      </c>
    </row>
    <row r="153" spans="1:2" x14ac:dyDescent="0.35">
      <c r="A153" s="3">
        <v>21763</v>
      </c>
      <c r="B153" t="s">
        <v>36</v>
      </c>
    </row>
    <row r="154" spans="1:2" x14ac:dyDescent="0.35">
      <c r="A154" s="3">
        <v>21794</v>
      </c>
      <c r="B154" t="s">
        <v>36</v>
      </c>
    </row>
    <row r="155" spans="1:2" x14ac:dyDescent="0.35">
      <c r="A155" s="3">
        <v>21824</v>
      </c>
      <c r="B155" t="s">
        <v>36</v>
      </c>
    </row>
    <row r="156" spans="1:2" x14ac:dyDescent="0.35">
      <c r="A156" s="3">
        <v>21855</v>
      </c>
      <c r="B156" t="s">
        <v>20</v>
      </c>
    </row>
    <row r="157" spans="1:2" x14ac:dyDescent="0.35">
      <c r="A157" s="3">
        <v>21885</v>
      </c>
      <c r="B157" t="s">
        <v>20</v>
      </c>
    </row>
    <row r="158" spans="1:2" x14ac:dyDescent="0.35">
      <c r="A158" s="3">
        <v>21916</v>
      </c>
      <c r="B158" t="s">
        <v>20</v>
      </c>
    </row>
    <row r="159" spans="1:2" x14ac:dyDescent="0.35">
      <c r="A159" s="3">
        <v>21947</v>
      </c>
      <c r="B159" t="s">
        <v>20</v>
      </c>
    </row>
    <row r="160" spans="1:2" x14ac:dyDescent="0.35">
      <c r="A160" s="3">
        <v>21976</v>
      </c>
      <c r="B160" t="s">
        <v>20</v>
      </c>
    </row>
    <row r="161" spans="1:2" x14ac:dyDescent="0.35">
      <c r="A161" s="3">
        <v>22007</v>
      </c>
      <c r="B161" t="s">
        <v>36</v>
      </c>
    </row>
    <row r="162" spans="1:2" x14ac:dyDescent="0.35">
      <c r="A162" s="3">
        <v>22037</v>
      </c>
      <c r="B162" t="s">
        <v>36</v>
      </c>
    </row>
    <row r="163" spans="1:2" x14ac:dyDescent="0.35">
      <c r="A163" s="3">
        <v>22068</v>
      </c>
      <c r="B163" t="s">
        <v>36</v>
      </c>
    </row>
    <row r="164" spans="1:2" x14ac:dyDescent="0.35">
      <c r="A164" s="3">
        <v>22098</v>
      </c>
      <c r="B164" t="s">
        <v>36</v>
      </c>
    </row>
    <row r="165" spans="1:2" x14ac:dyDescent="0.35">
      <c r="A165" s="3">
        <v>22129</v>
      </c>
      <c r="B165" t="s">
        <v>36</v>
      </c>
    </row>
    <row r="166" spans="1:2" x14ac:dyDescent="0.35">
      <c r="A166" s="3">
        <v>22160</v>
      </c>
      <c r="B166" t="s">
        <v>36</v>
      </c>
    </row>
    <row r="167" spans="1:2" x14ac:dyDescent="0.35">
      <c r="A167" s="3">
        <v>22190</v>
      </c>
      <c r="B167" t="s">
        <v>36</v>
      </c>
    </row>
    <row r="168" spans="1:2" x14ac:dyDescent="0.35">
      <c r="A168" s="3">
        <v>22221</v>
      </c>
      <c r="B168" t="s">
        <v>36</v>
      </c>
    </row>
    <row r="169" spans="1:2" x14ac:dyDescent="0.35">
      <c r="A169" s="3">
        <v>22251</v>
      </c>
      <c r="B169" t="s">
        <v>36</v>
      </c>
    </row>
    <row r="170" spans="1:2" x14ac:dyDescent="0.35">
      <c r="A170" s="3">
        <v>22282</v>
      </c>
      <c r="B170" t="s">
        <v>36</v>
      </c>
    </row>
    <row r="171" spans="1:2" x14ac:dyDescent="0.35">
      <c r="A171" s="3">
        <v>22313</v>
      </c>
      <c r="B171" t="s">
        <v>36</v>
      </c>
    </row>
    <row r="172" spans="1:2" x14ac:dyDescent="0.35">
      <c r="A172" s="3">
        <v>22341</v>
      </c>
      <c r="B172" t="s">
        <v>20</v>
      </c>
    </row>
    <row r="173" spans="1:2" x14ac:dyDescent="0.35">
      <c r="A173" s="3">
        <v>22372</v>
      </c>
      <c r="B173" t="s">
        <v>37</v>
      </c>
    </row>
    <row r="174" spans="1:2" x14ac:dyDescent="0.35">
      <c r="A174" s="3">
        <v>22402</v>
      </c>
      <c r="B174" t="s">
        <v>20</v>
      </c>
    </row>
    <row r="175" spans="1:2" x14ac:dyDescent="0.35">
      <c r="A175" s="3">
        <v>22433</v>
      </c>
      <c r="B175" t="s">
        <v>20</v>
      </c>
    </row>
    <row r="176" spans="1:2" x14ac:dyDescent="0.35">
      <c r="A176" s="3">
        <v>22463</v>
      </c>
      <c r="B176" t="s">
        <v>20</v>
      </c>
    </row>
    <row r="177" spans="1:2" x14ac:dyDescent="0.35">
      <c r="A177" s="3">
        <v>22494</v>
      </c>
      <c r="B177" t="s">
        <v>20</v>
      </c>
    </row>
    <row r="178" spans="1:2" x14ac:dyDescent="0.35">
      <c r="A178" s="3">
        <v>22525</v>
      </c>
      <c r="B178" t="s">
        <v>20</v>
      </c>
    </row>
    <row r="179" spans="1:2" x14ac:dyDescent="0.35">
      <c r="A179" s="3">
        <v>22555</v>
      </c>
      <c r="B179" t="s">
        <v>20</v>
      </c>
    </row>
    <row r="180" spans="1:2" x14ac:dyDescent="0.35">
      <c r="A180" s="3">
        <v>22586</v>
      </c>
      <c r="B180" t="s">
        <v>20</v>
      </c>
    </row>
    <row r="181" spans="1:2" x14ac:dyDescent="0.35">
      <c r="A181" s="3">
        <v>22616</v>
      </c>
      <c r="B181" t="s">
        <v>20</v>
      </c>
    </row>
    <row r="182" spans="1:2" x14ac:dyDescent="0.35">
      <c r="A182" s="3">
        <v>22647</v>
      </c>
      <c r="B182" t="s">
        <v>20</v>
      </c>
    </row>
    <row r="183" spans="1:2" x14ac:dyDescent="0.35">
      <c r="A183" s="3">
        <v>22678</v>
      </c>
      <c r="B183" t="s">
        <v>20</v>
      </c>
    </row>
    <row r="184" spans="1:2" x14ac:dyDescent="0.35">
      <c r="A184" s="3">
        <v>22706</v>
      </c>
      <c r="B184" t="s">
        <v>20</v>
      </c>
    </row>
    <row r="185" spans="1:2" x14ac:dyDescent="0.35">
      <c r="A185" s="3">
        <v>22737</v>
      </c>
      <c r="B185" t="s">
        <v>20</v>
      </c>
    </row>
    <row r="186" spans="1:2" x14ac:dyDescent="0.35">
      <c r="A186" s="3">
        <v>22767</v>
      </c>
      <c r="B186" t="s">
        <v>20</v>
      </c>
    </row>
    <row r="187" spans="1:2" x14ac:dyDescent="0.35">
      <c r="A187" s="3">
        <v>22798</v>
      </c>
      <c r="B187" t="s">
        <v>20</v>
      </c>
    </row>
    <row r="188" spans="1:2" x14ac:dyDescent="0.35">
      <c r="A188" s="3">
        <v>22828</v>
      </c>
      <c r="B188" t="s">
        <v>20</v>
      </c>
    </row>
    <row r="189" spans="1:2" x14ac:dyDescent="0.35">
      <c r="A189" s="3">
        <v>22859</v>
      </c>
      <c r="B189" t="s">
        <v>20</v>
      </c>
    </row>
    <row r="190" spans="1:2" x14ac:dyDescent="0.35">
      <c r="A190" s="3">
        <v>22890</v>
      </c>
      <c r="B190" t="s">
        <v>20</v>
      </c>
    </row>
    <row r="191" spans="1:2" x14ac:dyDescent="0.35">
      <c r="A191" s="3">
        <v>22920</v>
      </c>
      <c r="B191" t="s">
        <v>20</v>
      </c>
    </row>
    <row r="192" spans="1:2" x14ac:dyDescent="0.35">
      <c r="A192" s="3">
        <v>22951</v>
      </c>
      <c r="B192" t="s">
        <v>20</v>
      </c>
    </row>
    <row r="193" spans="1:2" x14ac:dyDescent="0.35">
      <c r="A193" s="3">
        <v>22981</v>
      </c>
      <c r="B193" t="s">
        <v>37</v>
      </c>
    </row>
    <row r="194" spans="1:2" x14ac:dyDescent="0.35">
      <c r="A194" s="3">
        <v>23012</v>
      </c>
      <c r="B194" t="s">
        <v>20</v>
      </c>
    </row>
    <row r="195" spans="1:2" x14ac:dyDescent="0.35">
      <c r="A195" s="3">
        <v>23043</v>
      </c>
      <c r="B195" t="s">
        <v>20</v>
      </c>
    </row>
    <row r="196" spans="1:2" x14ac:dyDescent="0.35">
      <c r="A196" s="3">
        <v>23071</v>
      </c>
      <c r="B196" t="s">
        <v>20</v>
      </c>
    </row>
    <row r="197" spans="1:2" x14ac:dyDescent="0.35">
      <c r="A197" s="3">
        <v>23102</v>
      </c>
      <c r="B197" t="s">
        <v>20</v>
      </c>
    </row>
    <row r="198" spans="1:2" x14ac:dyDescent="0.35">
      <c r="A198" s="3">
        <v>23132</v>
      </c>
      <c r="B198" t="s">
        <v>20</v>
      </c>
    </row>
    <row r="199" spans="1:2" x14ac:dyDescent="0.35">
      <c r="A199" s="3">
        <v>23163</v>
      </c>
      <c r="B199" t="s">
        <v>20</v>
      </c>
    </row>
    <row r="200" spans="1:2" x14ac:dyDescent="0.35">
      <c r="A200" s="3">
        <v>23193</v>
      </c>
      <c r="B200" t="s">
        <v>20</v>
      </c>
    </row>
    <row r="201" spans="1:2" x14ac:dyDescent="0.35">
      <c r="A201" s="3">
        <v>23224</v>
      </c>
      <c r="B201" t="s">
        <v>20</v>
      </c>
    </row>
    <row r="202" spans="1:2" x14ac:dyDescent="0.35">
      <c r="A202" s="3">
        <v>23255</v>
      </c>
      <c r="B202" t="s">
        <v>20</v>
      </c>
    </row>
    <row r="203" spans="1:2" x14ac:dyDescent="0.35">
      <c r="A203" s="3">
        <v>23285</v>
      </c>
      <c r="B203" t="s">
        <v>20</v>
      </c>
    </row>
    <row r="204" spans="1:2" x14ac:dyDescent="0.35">
      <c r="A204" s="3">
        <v>23316</v>
      </c>
      <c r="B204" t="s">
        <v>20</v>
      </c>
    </row>
    <row r="205" spans="1:2" x14ac:dyDescent="0.35">
      <c r="A205" s="3">
        <v>23346</v>
      </c>
      <c r="B205" t="s">
        <v>20</v>
      </c>
    </row>
    <row r="206" spans="1:2" x14ac:dyDescent="0.35">
      <c r="A206" s="3">
        <v>23377</v>
      </c>
      <c r="B206" t="s">
        <v>20</v>
      </c>
    </row>
    <row r="207" spans="1:2" x14ac:dyDescent="0.35">
      <c r="A207" s="3">
        <v>23408</v>
      </c>
      <c r="B207" t="s">
        <v>20</v>
      </c>
    </row>
    <row r="208" spans="1:2" x14ac:dyDescent="0.35">
      <c r="A208" s="3">
        <v>23437</v>
      </c>
      <c r="B208" t="s">
        <v>20</v>
      </c>
    </row>
    <row r="209" spans="1:2" x14ac:dyDescent="0.35">
      <c r="A209" s="3">
        <v>23468</v>
      </c>
      <c r="B209" t="s">
        <v>20</v>
      </c>
    </row>
    <row r="210" spans="1:2" x14ac:dyDescent="0.35">
      <c r="A210" s="3">
        <v>23498</v>
      </c>
      <c r="B210" t="s">
        <v>20</v>
      </c>
    </row>
    <row r="211" spans="1:2" x14ac:dyDescent="0.35">
      <c r="A211" s="3">
        <v>23529</v>
      </c>
      <c r="B211" t="s">
        <v>20</v>
      </c>
    </row>
    <row r="212" spans="1:2" x14ac:dyDescent="0.35">
      <c r="A212" s="3">
        <v>23559</v>
      </c>
      <c r="B212" t="s">
        <v>20</v>
      </c>
    </row>
    <row r="213" spans="1:2" x14ac:dyDescent="0.35">
      <c r="A213" s="3">
        <v>23590</v>
      </c>
      <c r="B213" t="s">
        <v>20</v>
      </c>
    </row>
    <row r="214" spans="1:2" x14ac:dyDescent="0.35">
      <c r="A214" s="3">
        <v>23621</v>
      </c>
      <c r="B214" t="s">
        <v>20</v>
      </c>
    </row>
    <row r="215" spans="1:2" x14ac:dyDescent="0.35">
      <c r="A215" s="3">
        <v>23651</v>
      </c>
      <c r="B215" t="s">
        <v>20</v>
      </c>
    </row>
    <row r="216" spans="1:2" x14ac:dyDescent="0.35">
      <c r="A216" s="3">
        <v>23682</v>
      </c>
      <c r="B216" t="s">
        <v>20</v>
      </c>
    </row>
    <row r="217" spans="1:2" x14ac:dyDescent="0.35">
      <c r="A217" s="3">
        <v>23712</v>
      </c>
      <c r="B217" t="s">
        <v>20</v>
      </c>
    </row>
    <row r="218" spans="1:2" x14ac:dyDescent="0.35">
      <c r="A218" s="3">
        <v>23743</v>
      </c>
      <c r="B218" t="s">
        <v>20</v>
      </c>
    </row>
    <row r="219" spans="1:2" x14ac:dyDescent="0.35">
      <c r="A219" s="3">
        <v>23774</v>
      </c>
      <c r="B219" t="s">
        <v>20</v>
      </c>
    </row>
    <row r="220" spans="1:2" x14ac:dyDescent="0.35">
      <c r="A220" s="3">
        <v>23802</v>
      </c>
      <c r="B220" t="s">
        <v>20</v>
      </c>
    </row>
    <row r="221" spans="1:2" x14ac:dyDescent="0.35">
      <c r="A221" s="3">
        <v>23833</v>
      </c>
      <c r="B221" t="s">
        <v>20</v>
      </c>
    </row>
    <row r="222" spans="1:2" x14ac:dyDescent="0.35">
      <c r="A222" s="3">
        <v>23863</v>
      </c>
      <c r="B222" t="s">
        <v>20</v>
      </c>
    </row>
    <row r="223" spans="1:2" x14ac:dyDescent="0.35">
      <c r="A223" s="3">
        <v>23894</v>
      </c>
      <c r="B223" t="s">
        <v>20</v>
      </c>
    </row>
    <row r="224" spans="1:2" x14ac:dyDescent="0.35">
      <c r="A224" s="3">
        <v>23924</v>
      </c>
      <c r="B224" t="s">
        <v>20</v>
      </c>
    </row>
    <row r="225" spans="1:2" x14ac:dyDescent="0.35">
      <c r="A225" s="3">
        <v>23955</v>
      </c>
      <c r="B225" t="s">
        <v>20</v>
      </c>
    </row>
    <row r="226" spans="1:2" x14ac:dyDescent="0.35">
      <c r="A226" s="3">
        <v>23986</v>
      </c>
      <c r="B226" t="s">
        <v>20</v>
      </c>
    </row>
    <row r="227" spans="1:2" x14ac:dyDescent="0.35">
      <c r="A227" s="3">
        <v>24016</v>
      </c>
      <c r="B227" t="s">
        <v>20</v>
      </c>
    </row>
    <row r="228" spans="1:2" x14ac:dyDescent="0.35">
      <c r="A228" s="3">
        <v>24047</v>
      </c>
      <c r="B228" t="s">
        <v>20</v>
      </c>
    </row>
    <row r="229" spans="1:2" x14ac:dyDescent="0.35">
      <c r="A229" s="3">
        <v>24077</v>
      </c>
      <c r="B229" t="s">
        <v>20</v>
      </c>
    </row>
    <row r="230" spans="1:2" x14ac:dyDescent="0.35">
      <c r="A230" s="3">
        <v>24108</v>
      </c>
      <c r="B230" t="s">
        <v>20</v>
      </c>
    </row>
    <row r="231" spans="1:2" x14ac:dyDescent="0.35">
      <c r="A231" s="3">
        <v>24139</v>
      </c>
      <c r="B231" t="s">
        <v>20</v>
      </c>
    </row>
    <row r="232" spans="1:2" x14ac:dyDescent="0.35">
      <c r="A232" s="3">
        <v>24167</v>
      </c>
      <c r="B232" t="s">
        <v>20</v>
      </c>
    </row>
    <row r="233" spans="1:2" x14ac:dyDescent="0.35">
      <c r="A233" s="3">
        <v>24198</v>
      </c>
      <c r="B233" t="s">
        <v>20</v>
      </c>
    </row>
    <row r="234" spans="1:2" x14ac:dyDescent="0.35">
      <c r="A234" s="3">
        <v>24228</v>
      </c>
      <c r="B234" t="s">
        <v>20</v>
      </c>
    </row>
    <row r="235" spans="1:2" x14ac:dyDescent="0.35">
      <c r="A235" s="3">
        <v>24259</v>
      </c>
      <c r="B235" t="s">
        <v>20</v>
      </c>
    </row>
    <row r="236" spans="1:2" x14ac:dyDescent="0.35">
      <c r="A236" s="3">
        <v>24289</v>
      </c>
      <c r="B236" t="s">
        <v>20</v>
      </c>
    </row>
    <row r="237" spans="1:2" x14ac:dyDescent="0.35">
      <c r="A237" s="3">
        <v>24320</v>
      </c>
      <c r="B237" t="s">
        <v>20</v>
      </c>
    </row>
    <row r="238" spans="1:2" x14ac:dyDescent="0.35">
      <c r="A238" s="3">
        <v>24351</v>
      </c>
      <c r="B238" t="s">
        <v>20</v>
      </c>
    </row>
    <row r="239" spans="1:2" x14ac:dyDescent="0.35">
      <c r="A239" s="3">
        <v>24381</v>
      </c>
      <c r="B239" t="s">
        <v>20</v>
      </c>
    </row>
    <row r="240" spans="1:2" x14ac:dyDescent="0.35">
      <c r="A240" s="3">
        <v>24412</v>
      </c>
      <c r="B240" t="s">
        <v>20</v>
      </c>
    </row>
    <row r="241" spans="1:2" x14ac:dyDescent="0.35">
      <c r="A241" s="3">
        <v>24442</v>
      </c>
      <c r="B241" t="s">
        <v>20</v>
      </c>
    </row>
    <row r="242" spans="1:2" x14ac:dyDescent="0.35">
      <c r="A242" s="3">
        <v>24473</v>
      </c>
      <c r="B242" t="s">
        <v>20</v>
      </c>
    </row>
    <row r="243" spans="1:2" x14ac:dyDescent="0.35">
      <c r="A243" s="3">
        <v>24504</v>
      </c>
      <c r="B243" t="s">
        <v>20</v>
      </c>
    </row>
    <row r="244" spans="1:2" x14ac:dyDescent="0.35">
      <c r="A244" s="3">
        <v>24532</v>
      </c>
      <c r="B244" t="s">
        <v>36</v>
      </c>
    </row>
    <row r="245" spans="1:2" x14ac:dyDescent="0.35">
      <c r="A245" s="3">
        <v>24563</v>
      </c>
      <c r="B245" t="s">
        <v>20</v>
      </c>
    </row>
    <row r="246" spans="1:2" x14ac:dyDescent="0.35">
      <c r="A246" s="3">
        <v>24593</v>
      </c>
      <c r="B246" t="s">
        <v>20</v>
      </c>
    </row>
    <row r="247" spans="1:2" x14ac:dyDescent="0.35">
      <c r="A247" s="3">
        <v>24624</v>
      </c>
      <c r="B247" t="s">
        <v>20</v>
      </c>
    </row>
    <row r="248" spans="1:2" x14ac:dyDescent="0.35">
      <c r="A248" s="3">
        <v>24654</v>
      </c>
      <c r="B248" t="s">
        <v>36</v>
      </c>
    </row>
    <row r="249" spans="1:2" x14ac:dyDescent="0.35">
      <c r="A249" s="3">
        <v>24685</v>
      </c>
      <c r="B249" t="s">
        <v>20</v>
      </c>
    </row>
    <row r="250" spans="1:2" x14ac:dyDescent="0.35">
      <c r="A250" s="3">
        <v>24716</v>
      </c>
      <c r="B250" t="s">
        <v>20</v>
      </c>
    </row>
    <row r="251" spans="1:2" x14ac:dyDescent="0.35">
      <c r="A251" s="3">
        <v>24746</v>
      </c>
      <c r="B251" t="s">
        <v>20</v>
      </c>
    </row>
    <row r="252" spans="1:2" x14ac:dyDescent="0.35">
      <c r="A252" s="3">
        <v>24777</v>
      </c>
      <c r="B252" t="s">
        <v>20</v>
      </c>
    </row>
    <row r="253" spans="1:2" x14ac:dyDescent="0.35">
      <c r="A253" s="3">
        <v>24807</v>
      </c>
      <c r="B253" t="s">
        <v>20</v>
      </c>
    </row>
    <row r="254" spans="1:2" x14ac:dyDescent="0.35">
      <c r="A254" s="3">
        <v>24838</v>
      </c>
      <c r="B254" t="s">
        <v>20</v>
      </c>
    </row>
    <row r="255" spans="1:2" x14ac:dyDescent="0.35">
      <c r="A255" s="3">
        <v>24869</v>
      </c>
      <c r="B255" t="s">
        <v>20</v>
      </c>
    </row>
    <row r="256" spans="1:2" x14ac:dyDescent="0.35">
      <c r="A256" s="3">
        <v>24898</v>
      </c>
      <c r="B256" t="s">
        <v>20</v>
      </c>
    </row>
    <row r="257" spans="1:2" x14ac:dyDescent="0.35">
      <c r="A257" s="3">
        <v>24929</v>
      </c>
      <c r="B257" t="s">
        <v>20</v>
      </c>
    </row>
    <row r="258" spans="1:2" x14ac:dyDescent="0.35">
      <c r="A258" s="3">
        <v>24959</v>
      </c>
      <c r="B258" t="s">
        <v>20</v>
      </c>
    </row>
    <row r="259" spans="1:2" x14ac:dyDescent="0.35">
      <c r="A259" s="3">
        <v>24990</v>
      </c>
      <c r="B259" t="s">
        <v>20</v>
      </c>
    </row>
    <row r="260" spans="1:2" x14ac:dyDescent="0.35">
      <c r="A260" s="3">
        <v>25020</v>
      </c>
      <c r="B260" t="s">
        <v>20</v>
      </c>
    </row>
    <row r="261" spans="1:2" x14ac:dyDescent="0.35">
      <c r="A261" s="3">
        <v>25051</v>
      </c>
      <c r="B261" t="s">
        <v>20</v>
      </c>
    </row>
    <row r="262" spans="1:2" x14ac:dyDescent="0.35">
      <c r="A262" s="3">
        <v>25082</v>
      </c>
      <c r="B262" t="s">
        <v>20</v>
      </c>
    </row>
    <row r="263" spans="1:2" x14ac:dyDescent="0.35">
      <c r="A263" s="3">
        <v>25112</v>
      </c>
      <c r="B263" t="s">
        <v>20</v>
      </c>
    </row>
    <row r="264" spans="1:2" x14ac:dyDescent="0.35">
      <c r="A264" s="3">
        <v>25143</v>
      </c>
      <c r="B264" t="s">
        <v>20</v>
      </c>
    </row>
    <row r="265" spans="1:2" x14ac:dyDescent="0.35">
      <c r="A265" s="3">
        <v>25173</v>
      </c>
      <c r="B265" t="s">
        <v>20</v>
      </c>
    </row>
    <row r="266" spans="1:2" x14ac:dyDescent="0.35">
      <c r="A266" s="3">
        <v>25204</v>
      </c>
      <c r="B266" t="s">
        <v>20</v>
      </c>
    </row>
    <row r="267" spans="1:2" x14ac:dyDescent="0.35">
      <c r="A267" s="3">
        <v>25235</v>
      </c>
      <c r="B267" t="s">
        <v>20</v>
      </c>
    </row>
    <row r="268" spans="1:2" x14ac:dyDescent="0.35">
      <c r="A268" s="3">
        <v>25263</v>
      </c>
      <c r="B268" t="s">
        <v>20</v>
      </c>
    </row>
    <row r="269" spans="1:2" x14ac:dyDescent="0.35">
      <c r="A269" s="3">
        <v>25294</v>
      </c>
      <c r="B269" t="s">
        <v>20</v>
      </c>
    </row>
    <row r="270" spans="1:2" x14ac:dyDescent="0.35">
      <c r="A270" s="3">
        <v>25324</v>
      </c>
      <c r="B270" t="s">
        <v>20</v>
      </c>
    </row>
    <row r="271" spans="1:2" x14ac:dyDescent="0.35">
      <c r="A271" s="3">
        <v>25355</v>
      </c>
      <c r="B271" t="s">
        <v>20</v>
      </c>
    </row>
    <row r="272" spans="1:2" x14ac:dyDescent="0.35">
      <c r="A272" s="3">
        <v>25385</v>
      </c>
      <c r="B272" t="s">
        <v>20</v>
      </c>
    </row>
    <row r="273" spans="1:2" x14ac:dyDescent="0.35">
      <c r="A273" s="3">
        <v>25416</v>
      </c>
      <c r="B273" t="s">
        <v>20</v>
      </c>
    </row>
    <row r="274" spans="1:2" x14ac:dyDescent="0.35">
      <c r="A274" s="3">
        <v>25447</v>
      </c>
      <c r="B274" t="s">
        <v>20</v>
      </c>
    </row>
    <row r="275" spans="1:2" x14ac:dyDescent="0.35">
      <c r="A275" s="3">
        <v>25477</v>
      </c>
      <c r="B275" t="s">
        <v>20</v>
      </c>
    </row>
    <row r="276" spans="1:2" x14ac:dyDescent="0.35">
      <c r="A276" s="3">
        <v>25508</v>
      </c>
      <c r="B276" t="s">
        <v>36</v>
      </c>
    </row>
    <row r="277" spans="1:2" x14ac:dyDescent="0.35">
      <c r="A277" s="3">
        <v>25538</v>
      </c>
      <c r="B277" t="s">
        <v>36</v>
      </c>
    </row>
    <row r="278" spans="1:2" x14ac:dyDescent="0.35">
      <c r="A278" s="3">
        <v>25569</v>
      </c>
      <c r="B278" t="s">
        <v>36</v>
      </c>
    </row>
    <row r="279" spans="1:2" x14ac:dyDescent="0.35">
      <c r="A279" s="3">
        <v>25600</v>
      </c>
      <c r="B279" t="s">
        <v>36</v>
      </c>
    </row>
    <row r="280" spans="1:2" x14ac:dyDescent="0.35">
      <c r="A280" s="3">
        <v>25628</v>
      </c>
      <c r="B280" t="s">
        <v>36</v>
      </c>
    </row>
    <row r="281" spans="1:2" x14ac:dyDescent="0.35">
      <c r="A281" s="3">
        <v>25659</v>
      </c>
      <c r="B281" t="s">
        <v>20</v>
      </c>
    </row>
    <row r="282" spans="1:2" x14ac:dyDescent="0.35">
      <c r="A282" s="3">
        <v>25689</v>
      </c>
      <c r="B282" t="s">
        <v>20</v>
      </c>
    </row>
    <row r="283" spans="1:2" x14ac:dyDescent="0.35">
      <c r="A283" s="3">
        <v>25720</v>
      </c>
      <c r="B283" t="s">
        <v>20</v>
      </c>
    </row>
    <row r="284" spans="1:2" x14ac:dyDescent="0.35">
      <c r="A284" s="3">
        <v>25750</v>
      </c>
      <c r="B284" t="s">
        <v>20</v>
      </c>
    </row>
    <row r="285" spans="1:2" x14ac:dyDescent="0.35">
      <c r="A285" s="3">
        <v>25781</v>
      </c>
      <c r="B285" t="s">
        <v>20</v>
      </c>
    </row>
    <row r="286" spans="1:2" x14ac:dyDescent="0.35">
      <c r="A286" s="3">
        <v>25812</v>
      </c>
      <c r="B286" t="s">
        <v>20</v>
      </c>
    </row>
    <row r="287" spans="1:2" x14ac:dyDescent="0.35">
      <c r="A287" s="3">
        <v>25842</v>
      </c>
      <c r="B287" t="s">
        <v>36</v>
      </c>
    </row>
    <row r="288" spans="1:2" x14ac:dyDescent="0.35">
      <c r="A288" s="3">
        <v>25873</v>
      </c>
      <c r="B288" t="s">
        <v>36</v>
      </c>
    </row>
    <row r="289" spans="1:2" x14ac:dyDescent="0.35">
      <c r="A289" s="3">
        <v>25903</v>
      </c>
      <c r="B289" t="s">
        <v>20</v>
      </c>
    </row>
    <row r="290" spans="1:2" x14ac:dyDescent="0.35">
      <c r="A290" s="3">
        <v>25934</v>
      </c>
      <c r="B290" t="s">
        <v>20</v>
      </c>
    </row>
    <row r="291" spans="1:2" x14ac:dyDescent="0.35">
      <c r="A291" s="3">
        <v>25965</v>
      </c>
      <c r="B291" t="s">
        <v>20</v>
      </c>
    </row>
    <row r="292" spans="1:2" x14ac:dyDescent="0.35">
      <c r="A292" s="3">
        <v>25993</v>
      </c>
      <c r="B292" t="s">
        <v>20</v>
      </c>
    </row>
    <row r="293" spans="1:2" x14ac:dyDescent="0.35">
      <c r="A293" s="3">
        <v>26024</v>
      </c>
      <c r="B293" t="s">
        <v>20</v>
      </c>
    </row>
    <row r="294" spans="1:2" x14ac:dyDescent="0.35">
      <c r="A294" s="3">
        <v>26054</v>
      </c>
      <c r="B294" t="s">
        <v>20</v>
      </c>
    </row>
    <row r="295" spans="1:2" x14ac:dyDescent="0.35">
      <c r="A295" s="3">
        <v>26085</v>
      </c>
      <c r="B295" t="s">
        <v>20</v>
      </c>
    </row>
    <row r="296" spans="1:2" x14ac:dyDescent="0.35">
      <c r="A296" s="3">
        <v>26115</v>
      </c>
      <c r="B296" t="s">
        <v>20</v>
      </c>
    </row>
    <row r="297" spans="1:2" x14ac:dyDescent="0.35">
      <c r="A297" s="3">
        <v>26146</v>
      </c>
      <c r="B297" t="s">
        <v>20</v>
      </c>
    </row>
    <row r="298" spans="1:2" x14ac:dyDescent="0.35">
      <c r="A298" s="3">
        <v>26177</v>
      </c>
      <c r="B298" t="s">
        <v>20</v>
      </c>
    </row>
    <row r="299" spans="1:2" x14ac:dyDescent="0.35">
      <c r="A299" s="3">
        <v>26207</v>
      </c>
      <c r="B299" t="s">
        <v>20</v>
      </c>
    </row>
    <row r="300" spans="1:2" x14ac:dyDescent="0.35">
      <c r="A300" s="3">
        <v>26238</v>
      </c>
      <c r="B300" t="s">
        <v>20</v>
      </c>
    </row>
    <row r="301" spans="1:2" x14ac:dyDescent="0.35">
      <c r="A301" s="3">
        <v>26268</v>
      </c>
      <c r="B301" t="s">
        <v>20</v>
      </c>
    </row>
    <row r="302" spans="1:2" x14ac:dyDescent="0.35">
      <c r="A302" s="3">
        <v>26299</v>
      </c>
      <c r="B302" t="s">
        <v>20</v>
      </c>
    </row>
    <row r="303" spans="1:2" x14ac:dyDescent="0.35">
      <c r="A303" s="3">
        <v>26330</v>
      </c>
      <c r="B303" t="s">
        <v>20</v>
      </c>
    </row>
    <row r="304" spans="1:2" x14ac:dyDescent="0.35">
      <c r="A304" s="3">
        <v>26359</v>
      </c>
      <c r="B304" t="s">
        <v>20</v>
      </c>
    </row>
    <row r="305" spans="1:2" x14ac:dyDescent="0.35">
      <c r="A305" s="3">
        <v>26390</v>
      </c>
      <c r="B305" t="s">
        <v>20</v>
      </c>
    </row>
    <row r="306" spans="1:2" x14ac:dyDescent="0.35">
      <c r="A306" s="3">
        <v>26420</v>
      </c>
      <c r="B306" t="s">
        <v>20</v>
      </c>
    </row>
    <row r="307" spans="1:2" x14ac:dyDescent="0.35">
      <c r="A307" s="3">
        <v>26451</v>
      </c>
      <c r="B307" t="s">
        <v>20</v>
      </c>
    </row>
    <row r="308" spans="1:2" x14ac:dyDescent="0.35">
      <c r="A308" s="3">
        <v>26481</v>
      </c>
      <c r="B308" t="s">
        <v>20</v>
      </c>
    </row>
    <row r="309" spans="1:2" x14ac:dyDescent="0.35">
      <c r="A309" s="3">
        <v>26512</v>
      </c>
      <c r="B309" t="s">
        <v>20</v>
      </c>
    </row>
    <row r="310" spans="1:2" x14ac:dyDescent="0.35">
      <c r="A310" s="3">
        <v>26543</v>
      </c>
      <c r="B310" t="s">
        <v>20</v>
      </c>
    </row>
    <row r="311" spans="1:2" x14ac:dyDescent="0.35">
      <c r="A311" s="3">
        <v>26573</v>
      </c>
      <c r="B311" t="s">
        <v>20</v>
      </c>
    </row>
    <row r="312" spans="1:2" x14ac:dyDescent="0.35">
      <c r="A312" s="3">
        <v>26604</v>
      </c>
      <c r="B312" t="s">
        <v>20</v>
      </c>
    </row>
    <row r="313" spans="1:2" x14ac:dyDescent="0.35">
      <c r="A313" s="3">
        <v>26634</v>
      </c>
      <c r="B313" t="s">
        <v>20</v>
      </c>
    </row>
    <row r="314" spans="1:2" x14ac:dyDescent="0.35">
      <c r="A314" s="3">
        <v>26665</v>
      </c>
      <c r="B314" t="s">
        <v>20</v>
      </c>
    </row>
    <row r="315" spans="1:2" x14ac:dyDescent="0.35">
      <c r="A315" s="3">
        <v>26696</v>
      </c>
      <c r="B315" t="s">
        <v>20</v>
      </c>
    </row>
    <row r="316" spans="1:2" x14ac:dyDescent="0.35">
      <c r="A316" s="3">
        <v>26724</v>
      </c>
      <c r="B316" t="s">
        <v>20</v>
      </c>
    </row>
    <row r="317" spans="1:2" x14ac:dyDescent="0.35">
      <c r="A317" s="3">
        <v>26755</v>
      </c>
      <c r="B317" t="s">
        <v>20</v>
      </c>
    </row>
    <row r="318" spans="1:2" x14ac:dyDescent="0.35">
      <c r="A318" s="3">
        <v>26785</v>
      </c>
      <c r="B318" t="s">
        <v>20</v>
      </c>
    </row>
    <row r="319" spans="1:2" x14ac:dyDescent="0.35">
      <c r="A319" s="3">
        <v>26816</v>
      </c>
      <c r="B319" t="s">
        <v>20</v>
      </c>
    </row>
    <row r="320" spans="1:2" x14ac:dyDescent="0.35">
      <c r="A320" s="3">
        <v>26846</v>
      </c>
      <c r="B320" t="s">
        <v>20</v>
      </c>
    </row>
    <row r="321" spans="1:2" x14ac:dyDescent="0.35">
      <c r="A321" s="3">
        <v>26877</v>
      </c>
      <c r="B321" t="s">
        <v>20</v>
      </c>
    </row>
    <row r="322" spans="1:2" x14ac:dyDescent="0.35">
      <c r="A322" s="3">
        <v>26908</v>
      </c>
      <c r="B322" t="s">
        <v>20</v>
      </c>
    </row>
    <row r="323" spans="1:2" x14ac:dyDescent="0.35">
      <c r="A323" s="3">
        <v>26938</v>
      </c>
      <c r="B323" t="s">
        <v>20</v>
      </c>
    </row>
    <row r="324" spans="1:2" x14ac:dyDescent="0.35">
      <c r="A324" s="3">
        <v>26969</v>
      </c>
      <c r="B324" t="s">
        <v>20</v>
      </c>
    </row>
    <row r="325" spans="1:2" x14ac:dyDescent="0.35">
      <c r="A325" s="3">
        <v>26999</v>
      </c>
      <c r="B325" t="s">
        <v>20</v>
      </c>
    </row>
    <row r="326" spans="1:2" x14ac:dyDescent="0.35">
      <c r="A326" s="3">
        <v>27030</v>
      </c>
      <c r="B326" t="s">
        <v>20</v>
      </c>
    </row>
    <row r="327" spans="1:2" x14ac:dyDescent="0.35">
      <c r="A327" s="3">
        <v>27061</v>
      </c>
      <c r="B327" t="s">
        <v>36</v>
      </c>
    </row>
    <row r="328" spans="1:2" x14ac:dyDescent="0.35">
      <c r="A328" s="3">
        <v>27089</v>
      </c>
      <c r="B328" t="s">
        <v>36</v>
      </c>
    </row>
    <row r="329" spans="1:2" x14ac:dyDescent="0.35">
      <c r="A329" s="3">
        <v>27120</v>
      </c>
      <c r="B329" t="s">
        <v>20</v>
      </c>
    </row>
    <row r="330" spans="1:2" x14ac:dyDescent="0.35">
      <c r="A330" s="3">
        <v>27150</v>
      </c>
      <c r="B330" t="s">
        <v>20</v>
      </c>
    </row>
    <row r="331" spans="1:2" x14ac:dyDescent="0.35">
      <c r="A331" s="3">
        <v>27181</v>
      </c>
      <c r="B331" t="s">
        <v>20</v>
      </c>
    </row>
    <row r="332" spans="1:2" x14ac:dyDescent="0.35">
      <c r="A332" s="3">
        <v>27211</v>
      </c>
      <c r="B332" t="s">
        <v>20</v>
      </c>
    </row>
    <row r="333" spans="1:2" x14ac:dyDescent="0.35">
      <c r="A333" s="3">
        <v>27242</v>
      </c>
      <c r="B333" t="s">
        <v>36</v>
      </c>
    </row>
    <row r="334" spans="1:2" x14ac:dyDescent="0.35">
      <c r="A334" s="3">
        <v>27273</v>
      </c>
      <c r="B334" t="s">
        <v>36</v>
      </c>
    </row>
    <row r="335" spans="1:2" x14ac:dyDescent="0.35">
      <c r="A335" s="3">
        <v>27303</v>
      </c>
      <c r="B335" t="s">
        <v>36</v>
      </c>
    </row>
    <row r="336" spans="1:2" x14ac:dyDescent="0.35">
      <c r="A336" s="3">
        <v>27334</v>
      </c>
      <c r="B336" t="s">
        <v>36</v>
      </c>
    </row>
    <row r="337" spans="1:2" x14ac:dyDescent="0.35">
      <c r="A337" s="3">
        <v>27364</v>
      </c>
      <c r="B337" t="s">
        <v>36</v>
      </c>
    </row>
    <row r="338" spans="1:2" x14ac:dyDescent="0.35">
      <c r="A338" s="3">
        <v>27395</v>
      </c>
      <c r="B338" t="s">
        <v>36</v>
      </c>
    </row>
    <row r="339" spans="1:2" x14ac:dyDescent="0.35">
      <c r="A339" s="3">
        <v>27426</v>
      </c>
      <c r="B339" t="s">
        <v>36</v>
      </c>
    </row>
    <row r="340" spans="1:2" x14ac:dyDescent="0.35">
      <c r="A340" s="3">
        <v>27454</v>
      </c>
      <c r="B340" t="s">
        <v>36</v>
      </c>
    </row>
    <row r="341" spans="1:2" x14ac:dyDescent="0.35">
      <c r="A341" s="3">
        <v>27485</v>
      </c>
      <c r="B341" t="s">
        <v>36</v>
      </c>
    </row>
    <row r="342" spans="1:2" x14ac:dyDescent="0.35">
      <c r="A342" s="3">
        <v>27515</v>
      </c>
      <c r="B342" t="s">
        <v>36</v>
      </c>
    </row>
    <row r="343" spans="1:2" x14ac:dyDescent="0.35">
      <c r="A343" s="3">
        <v>27546</v>
      </c>
      <c r="B343" t="s">
        <v>20</v>
      </c>
    </row>
    <row r="344" spans="1:2" x14ac:dyDescent="0.35">
      <c r="A344" s="3">
        <v>27576</v>
      </c>
      <c r="B344" t="s">
        <v>20</v>
      </c>
    </row>
    <row r="345" spans="1:2" x14ac:dyDescent="0.35">
      <c r="A345" s="3">
        <v>27607</v>
      </c>
      <c r="B345" t="s">
        <v>20</v>
      </c>
    </row>
    <row r="346" spans="1:2" x14ac:dyDescent="0.35">
      <c r="A346" s="3">
        <v>27638</v>
      </c>
      <c r="B346" t="s">
        <v>20</v>
      </c>
    </row>
    <row r="347" spans="1:2" x14ac:dyDescent="0.35">
      <c r="A347" s="3">
        <v>27668</v>
      </c>
      <c r="B347" t="s">
        <v>20</v>
      </c>
    </row>
    <row r="348" spans="1:2" x14ac:dyDescent="0.35">
      <c r="A348" s="3">
        <v>27699</v>
      </c>
      <c r="B348" t="s">
        <v>20</v>
      </c>
    </row>
    <row r="349" spans="1:2" x14ac:dyDescent="0.35">
      <c r="A349" s="3">
        <v>27729</v>
      </c>
      <c r="B349" t="s">
        <v>20</v>
      </c>
    </row>
    <row r="350" spans="1:2" x14ac:dyDescent="0.35">
      <c r="A350" s="3">
        <v>27760</v>
      </c>
      <c r="B350" t="s">
        <v>20</v>
      </c>
    </row>
    <row r="351" spans="1:2" x14ac:dyDescent="0.35">
      <c r="A351" s="3">
        <v>27791</v>
      </c>
      <c r="B351" t="s">
        <v>20</v>
      </c>
    </row>
    <row r="352" spans="1:2" x14ac:dyDescent="0.35">
      <c r="A352" s="3">
        <v>27820</v>
      </c>
      <c r="B352" t="s">
        <v>20</v>
      </c>
    </row>
    <row r="353" spans="1:2" x14ac:dyDescent="0.35">
      <c r="A353" s="3">
        <v>27851</v>
      </c>
      <c r="B353" t="s">
        <v>20</v>
      </c>
    </row>
    <row r="354" spans="1:2" x14ac:dyDescent="0.35">
      <c r="A354" s="3">
        <v>27881</v>
      </c>
      <c r="B354" t="s">
        <v>20</v>
      </c>
    </row>
    <row r="355" spans="1:2" x14ac:dyDescent="0.35">
      <c r="A355" s="3">
        <v>27912</v>
      </c>
      <c r="B355" t="s">
        <v>20</v>
      </c>
    </row>
    <row r="356" spans="1:2" x14ac:dyDescent="0.35">
      <c r="A356" s="3">
        <v>27942</v>
      </c>
      <c r="B356" t="s">
        <v>20</v>
      </c>
    </row>
    <row r="357" spans="1:2" x14ac:dyDescent="0.35">
      <c r="A357" s="3">
        <v>27973</v>
      </c>
      <c r="B357" t="s">
        <v>20</v>
      </c>
    </row>
    <row r="358" spans="1:2" x14ac:dyDescent="0.35">
      <c r="A358" s="3">
        <v>28004</v>
      </c>
      <c r="B358" t="s">
        <v>20</v>
      </c>
    </row>
    <row r="359" spans="1:2" x14ac:dyDescent="0.35">
      <c r="A359" s="3">
        <v>28034</v>
      </c>
      <c r="B359" t="s">
        <v>20</v>
      </c>
    </row>
    <row r="360" spans="1:2" x14ac:dyDescent="0.35">
      <c r="A360" s="3">
        <v>28065</v>
      </c>
      <c r="B360" t="s">
        <v>20</v>
      </c>
    </row>
    <row r="361" spans="1:2" x14ac:dyDescent="0.35">
      <c r="A361" s="3">
        <v>28095</v>
      </c>
      <c r="B361" t="s">
        <v>20</v>
      </c>
    </row>
    <row r="362" spans="1:2" x14ac:dyDescent="0.35">
      <c r="A362" s="3">
        <v>28126</v>
      </c>
      <c r="B362" t="s">
        <v>20</v>
      </c>
    </row>
    <row r="363" spans="1:2" x14ac:dyDescent="0.35">
      <c r="A363" s="3">
        <v>28157</v>
      </c>
      <c r="B363" t="s">
        <v>20</v>
      </c>
    </row>
    <row r="364" spans="1:2" x14ac:dyDescent="0.35">
      <c r="A364" s="3">
        <v>28185</v>
      </c>
      <c r="B364" t="s">
        <v>20</v>
      </c>
    </row>
    <row r="365" spans="1:2" x14ac:dyDescent="0.35">
      <c r="A365" s="3">
        <v>28216</v>
      </c>
      <c r="B365" t="s">
        <v>20</v>
      </c>
    </row>
    <row r="366" spans="1:2" x14ac:dyDescent="0.35">
      <c r="A366" s="3">
        <v>28246</v>
      </c>
      <c r="B366" t="s">
        <v>20</v>
      </c>
    </row>
    <row r="367" spans="1:2" x14ac:dyDescent="0.35">
      <c r="A367" s="3">
        <v>28277</v>
      </c>
      <c r="B367" t="s">
        <v>20</v>
      </c>
    </row>
    <row r="368" spans="1:2" x14ac:dyDescent="0.35">
      <c r="A368" s="3">
        <v>28307</v>
      </c>
      <c r="B368" t="s">
        <v>20</v>
      </c>
    </row>
    <row r="369" spans="1:2" x14ac:dyDescent="0.35">
      <c r="A369" s="3">
        <v>28338</v>
      </c>
      <c r="B369" t="s">
        <v>20</v>
      </c>
    </row>
    <row r="370" spans="1:2" x14ac:dyDescent="0.35">
      <c r="A370" s="3">
        <v>28369</v>
      </c>
      <c r="B370" t="s">
        <v>20</v>
      </c>
    </row>
    <row r="371" spans="1:2" x14ac:dyDescent="0.35">
      <c r="A371" s="3">
        <v>28399</v>
      </c>
      <c r="B371" t="s">
        <v>20</v>
      </c>
    </row>
    <row r="372" spans="1:2" x14ac:dyDescent="0.35">
      <c r="A372" s="3">
        <v>28430</v>
      </c>
      <c r="B372" t="s">
        <v>20</v>
      </c>
    </row>
    <row r="373" spans="1:2" x14ac:dyDescent="0.35">
      <c r="A373" s="3">
        <v>28460</v>
      </c>
      <c r="B373" t="s">
        <v>20</v>
      </c>
    </row>
    <row r="374" spans="1:2" x14ac:dyDescent="0.35">
      <c r="A374" s="3">
        <v>28491</v>
      </c>
      <c r="B374" t="s">
        <v>36</v>
      </c>
    </row>
    <row r="375" spans="1:2" x14ac:dyDescent="0.35">
      <c r="A375" s="3">
        <v>28522</v>
      </c>
      <c r="B375" t="s">
        <v>20</v>
      </c>
    </row>
    <row r="376" spans="1:2" x14ac:dyDescent="0.35">
      <c r="A376" s="3">
        <v>28550</v>
      </c>
      <c r="B376" t="s">
        <v>20</v>
      </c>
    </row>
    <row r="377" spans="1:2" x14ac:dyDescent="0.35">
      <c r="A377" s="3">
        <v>28581</v>
      </c>
      <c r="B377" t="s">
        <v>20</v>
      </c>
    </row>
    <row r="378" spans="1:2" x14ac:dyDescent="0.35">
      <c r="A378" s="3">
        <v>28611</v>
      </c>
      <c r="B378" t="s">
        <v>20</v>
      </c>
    </row>
    <row r="379" spans="1:2" x14ac:dyDescent="0.35">
      <c r="A379" s="3">
        <v>28642</v>
      </c>
      <c r="B379" t="s">
        <v>20</v>
      </c>
    </row>
    <row r="380" spans="1:2" x14ac:dyDescent="0.35">
      <c r="A380" s="3">
        <v>28672</v>
      </c>
      <c r="B380" t="s">
        <v>20</v>
      </c>
    </row>
    <row r="381" spans="1:2" x14ac:dyDescent="0.35">
      <c r="A381" s="3">
        <v>28703</v>
      </c>
      <c r="B381" t="s">
        <v>20</v>
      </c>
    </row>
    <row r="382" spans="1:2" x14ac:dyDescent="0.35">
      <c r="A382" s="3">
        <v>28734</v>
      </c>
      <c r="B382" t="s">
        <v>20</v>
      </c>
    </row>
    <row r="383" spans="1:2" x14ac:dyDescent="0.35">
      <c r="A383" s="3">
        <v>28764</v>
      </c>
      <c r="B383" t="s">
        <v>20</v>
      </c>
    </row>
    <row r="384" spans="1:2" x14ac:dyDescent="0.35">
      <c r="A384" s="3">
        <v>28795</v>
      </c>
      <c r="B384" t="s">
        <v>20</v>
      </c>
    </row>
    <row r="385" spans="1:2" x14ac:dyDescent="0.35">
      <c r="A385" s="3">
        <v>28825</v>
      </c>
      <c r="B385" t="s">
        <v>20</v>
      </c>
    </row>
    <row r="386" spans="1:2" x14ac:dyDescent="0.35">
      <c r="A386" s="3">
        <v>28856</v>
      </c>
      <c r="B386" t="s">
        <v>20</v>
      </c>
    </row>
    <row r="387" spans="1:2" x14ac:dyDescent="0.35">
      <c r="A387" s="3">
        <v>28887</v>
      </c>
      <c r="B387" t="s">
        <v>20</v>
      </c>
    </row>
    <row r="388" spans="1:2" x14ac:dyDescent="0.35">
      <c r="A388" s="3">
        <v>28915</v>
      </c>
      <c r="B388" t="s">
        <v>20</v>
      </c>
    </row>
    <row r="389" spans="1:2" x14ac:dyDescent="0.35">
      <c r="A389" s="3">
        <v>28946</v>
      </c>
      <c r="B389" t="s">
        <v>20</v>
      </c>
    </row>
    <row r="390" spans="1:2" x14ac:dyDescent="0.35">
      <c r="A390" s="3">
        <v>28976</v>
      </c>
      <c r="B390" t="s">
        <v>20</v>
      </c>
    </row>
    <row r="391" spans="1:2" x14ac:dyDescent="0.35">
      <c r="A391" s="3">
        <v>29007</v>
      </c>
      <c r="B391" t="s">
        <v>20</v>
      </c>
    </row>
    <row r="392" spans="1:2" x14ac:dyDescent="0.35">
      <c r="A392" s="3">
        <v>29037</v>
      </c>
      <c r="B392" t="s">
        <v>20</v>
      </c>
    </row>
    <row r="393" spans="1:2" x14ac:dyDescent="0.35">
      <c r="A393" s="3">
        <v>29068</v>
      </c>
      <c r="B393" t="s">
        <v>36</v>
      </c>
    </row>
    <row r="394" spans="1:2" x14ac:dyDescent="0.35">
      <c r="A394" s="3">
        <v>29099</v>
      </c>
      <c r="B394" t="s">
        <v>36</v>
      </c>
    </row>
    <row r="395" spans="1:2" x14ac:dyDescent="0.35">
      <c r="A395" s="3">
        <v>29129</v>
      </c>
      <c r="B395" t="s">
        <v>20</v>
      </c>
    </row>
    <row r="396" spans="1:2" x14ac:dyDescent="0.35">
      <c r="A396" s="3">
        <v>29160</v>
      </c>
      <c r="B396" t="s">
        <v>20</v>
      </c>
    </row>
    <row r="397" spans="1:2" x14ac:dyDescent="0.35">
      <c r="A397" s="3">
        <v>29190</v>
      </c>
      <c r="B397" t="s">
        <v>20</v>
      </c>
    </row>
    <row r="398" spans="1:2" x14ac:dyDescent="0.35">
      <c r="A398" s="3">
        <v>29221</v>
      </c>
      <c r="B398" t="s">
        <v>20</v>
      </c>
    </row>
    <row r="399" spans="1:2" x14ac:dyDescent="0.35">
      <c r="A399" s="3">
        <v>29252</v>
      </c>
      <c r="B399" t="s">
        <v>20</v>
      </c>
    </row>
    <row r="400" spans="1:2" x14ac:dyDescent="0.35">
      <c r="A400" s="3">
        <v>29281</v>
      </c>
      <c r="B400" t="s">
        <v>20</v>
      </c>
    </row>
    <row r="401" spans="1:2" x14ac:dyDescent="0.35">
      <c r="A401" s="3">
        <v>29312</v>
      </c>
      <c r="B401" t="s">
        <v>36</v>
      </c>
    </row>
    <row r="402" spans="1:2" x14ac:dyDescent="0.35">
      <c r="A402" s="3">
        <v>29342</v>
      </c>
      <c r="B402" t="s">
        <v>36</v>
      </c>
    </row>
    <row r="403" spans="1:2" x14ac:dyDescent="0.35">
      <c r="A403" s="3">
        <v>29373</v>
      </c>
      <c r="B403" t="s">
        <v>36</v>
      </c>
    </row>
    <row r="404" spans="1:2" x14ac:dyDescent="0.35">
      <c r="A404" s="3">
        <v>29403</v>
      </c>
      <c r="B404" t="s">
        <v>36</v>
      </c>
    </row>
    <row r="405" spans="1:2" x14ac:dyDescent="0.35">
      <c r="A405" s="3">
        <v>29434</v>
      </c>
      <c r="B405" t="s">
        <v>36</v>
      </c>
    </row>
    <row r="406" spans="1:2" x14ac:dyDescent="0.35">
      <c r="A406" s="3">
        <v>29465</v>
      </c>
      <c r="B406" t="s">
        <v>20</v>
      </c>
    </row>
    <row r="407" spans="1:2" x14ac:dyDescent="0.35">
      <c r="A407" s="3">
        <v>29495</v>
      </c>
      <c r="B407" t="s">
        <v>20</v>
      </c>
    </row>
    <row r="408" spans="1:2" x14ac:dyDescent="0.35">
      <c r="A408" s="3">
        <v>29526</v>
      </c>
      <c r="B408" t="s">
        <v>20</v>
      </c>
    </row>
    <row r="409" spans="1:2" x14ac:dyDescent="0.35">
      <c r="A409" s="3">
        <v>29556</v>
      </c>
      <c r="B409" t="s">
        <v>20</v>
      </c>
    </row>
    <row r="410" spans="1:2" x14ac:dyDescent="0.35">
      <c r="A410" s="3">
        <v>29587</v>
      </c>
      <c r="B410" t="s">
        <v>20</v>
      </c>
    </row>
    <row r="411" spans="1:2" x14ac:dyDescent="0.35">
      <c r="A411" s="3">
        <v>29618</v>
      </c>
      <c r="B411" t="s">
        <v>20</v>
      </c>
    </row>
    <row r="412" spans="1:2" x14ac:dyDescent="0.35">
      <c r="A412" s="3">
        <v>29646</v>
      </c>
      <c r="B412" t="s">
        <v>20</v>
      </c>
    </row>
    <row r="413" spans="1:2" x14ac:dyDescent="0.35">
      <c r="A413" s="3">
        <v>29677</v>
      </c>
      <c r="B413" t="s">
        <v>20</v>
      </c>
    </row>
    <row r="414" spans="1:2" x14ac:dyDescent="0.35">
      <c r="A414" s="3">
        <v>29707</v>
      </c>
      <c r="B414" t="s">
        <v>20</v>
      </c>
    </row>
    <row r="415" spans="1:2" x14ac:dyDescent="0.35">
      <c r="A415" s="3">
        <v>29738</v>
      </c>
      <c r="B415" t="s">
        <v>20</v>
      </c>
    </row>
    <row r="416" spans="1:2" x14ac:dyDescent="0.35">
      <c r="A416" s="3">
        <v>29768</v>
      </c>
      <c r="B416" t="s">
        <v>20</v>
      </c>
    </row>
    <row r="417" spans="1:2" x14ac:dyDescent="0.35">
      <c r="A417" s="3">
        <v>29799</v>
      </c>
      <c r="B417" t="s">
        <v>20</v>
      </c>
    </row>
    <row r="418" spans="1:2" x14ac:dyDescent="0.35">
      <c r="A418" s="3">
        <v>29830</v>
      </c>
      <c r="B418" t="s">
        <v>20</v>
      </c>
    </row>
    <row r="419" spans="1:2" x14ac:dyDescent="0.35">
      <c r="A419" s="3">
        <v>29860</v>
      </c>
      <c r="B419" t="s">
        <v>36</v>
      </c>
    </row>
    <row r="420" spans="1:2" x14ac:dyDescent="0.35">
      <c r="A420" s="3">
        <v>29891</v>
      </c>
      <c r="B420" t="s">
        <v>36</v>
      </c>
    </row>
    <row r="421" spans="1:2" x14ac:dyDescent="0.35">
      <c r="A421" s="3">
        <v>29921</v>
      </c>
      <c r="B421" t="s">
        <v>36</v>
      </c>
    </row>
    <row r="422" spans="1:2" x14ac:dyDescent="0.35">
      <c r="A422" s="3">
        <v>29952</v>
      </c>
      <c r="B422" t="s">
        <v>36</v>
      </c>
    </row>
    <row r="423" spans="1:2" x14ac:dyDescent="0.35">
      <c r="A423" s="3">
        <v>29983</v>
      </c>
      <c r="B423" t="s">
        <v>36</v>
      </c>
    </row>
    <row r="424" spans="1:2" x14ac:dyDescent="0.35">
      <c r="A424" s="3">
        <v>30011</v>
      </c>
      <c r="B424" t="s">
        <v>20</v>
      </c>
    </row>
    <row r="425" spans="1:2" x14ac:dyDescent="0.35">
      <c r="A425" s="3">
        <v>30042</v>
      </c>
      <c r="B425" t="s">
        <v>20</v>
      </c>
    </row>
    <row r="426" spans="1:2" x14ac:dyDescent="0.35">
      <c r="A426" s="3">
        <v>30072</v>
      </c>
      <c r="B426" t="s">
        <v>36</v>
      </c>
    </row>
    <row r="427" spans="1:2" x14ac:dyDescent="0.35">
      <c r="A427" s="3">
        <v>30103</v>
      </c>
      <c r="B427" t="s">
        <v>36</v>
      </c>
    </row>
    <row r="428" spans="1:2" x14ac:dyDescent="0.35">
      <c r="A428" s="3">
        <v>30133</v>
      </c>
      <c r="B428" t="s">
        <v>36</v>
      </c>
    </row>
    <row r="429" spans="1:2" x14ac:dyDescent="0.35">
      <c r="A429" s="3">
        <v>30164</v>
      </c>
      <c r="B429" t="s">
        <v>36</v>
      </c>
    </row>
    <row r="430" spans="1:2" x14ac:dyDescent="0.35">
      <c r="A430" s="3">
        <v>30195</v>
      </c>
      <c r="B430" t="s">
        <v>36</v>
      </c>
    </row>
    <row r="431" spans="1:2" x14ac:dyDescent="0.35">
      <c r="A431" s="3">
        <v>30225</v>
      </c>
      <c r="B431" t="s">
        <v>36</v>
      </c>
    </row>
    <row r="432" spans="1:2" x14ac:dyDescent="0.35">
      <c r="A432" s="3">
        <v>30256</v>
      </c>
      <c r="B432" t="s">
        <v>36</v>
      </c>
    </row>
    <row r="433" spans="1:2" x14ac:dyDescent="0.35">
      <c r="A433" s="3">
        <v>30286</v>
      </c>
      <c r="B433" t="s">
        <v>36</v>
      </c>
    </row>
    <row r="434" spans="1:2" x14ac:dyDescent="0.35">
      <c r="A434" s="3">
        <v>30317</v>
      </c>
      <c r="B434" t="s">
        <v>37</v>
      </c>
    </row>
    <row r="435" spans="1:2" x14ac:dyDescent="0.35">
      <c r="A435" s="3">
        <v>30348</v>
      </c>
      <c r="B435" t="s">
        <v>20</v>
      </c>
    </row>
    <row r="436" spans="1:2" x14ac:dyDescent="0.35">
      <c r="A436" s="3">
        <v>30376</v>
      </c>
      <c r="B436" t="s">
        <v>20</v>
      </c>
    </row>
    <row r="437" spans="1:2" x14ac:dyDescent="0.35">
      <c r="A437" s="3">
        <v>30407</v>
      </c>
      <c r="B437" t="s">
        <v>20</v>
      </c>
    </row>
    <row r="438" spans="1:2" x14ac:dyDescent="0.35">
      <c r="A438" s="3">
        <v>30437</v>
      </c>
      <c r="B438" t="s">
        <v>20</v>
      </c>
    </row>
    <row r="439" spans="1:2" x14ac:dyDescent="0.35">
      <c r="A439" s="3">
        <v>30468</v>
      </c>
      <c r="B439" t="s">
        <v>20</v>
      </c>
    </row>
    <row r="440" spans="1:2" x14ac:dyDescent="0.35">
      <c r="A440" s="3">
        <v>30498</v>
      </c>
      <c r="B440" t="s">
        <v>20</v>
      </c>
    </row>
    <row r="441" spans="1:2" x14ac:dyDescent="0.35">
      <c r="A441" s="3">
        <v>30529</v>
      </c>
      <c r="B441" t="s">
        <v>20</v>
      </c>
    </row>
    <row r="442" spans="1:2" x14ac:dyDescent="0.35">
      <c r="A442" s="3">
        <v>30560</v>
      </c>
      <c r="B442" t="s">
        <v>20</v>
      </c>
    </row>
    <row r="443" spans="1:2" x14ac:dyDescent="0.35">
      <c r="A443" s="3">
        <v>30590</v>
      </c>
      <c r="B443" t="s">
        <v>20</v>
      </c>
    </row>
    <row r="444" spans="1:2" x14ac:dyDescent="0.35">
      <c r="A444" s="3">
        <v>30621</v>
      </c>
      <c r="B444" t="s">
        <v>20</v>
      </c>
    </row>
    <row r="445" spans="1:2" x14ac:dyDescent="0.35">
      <c r="A445" s="3">
        <v>30651</v>
      </c>
      <c r="B445" t="s">
        <v>20</v>
      </c>
    </row>
    <row r="446" spans="1:2" x14ac:dyDescent="0.35">
      <c r="A446" s="3">
        <v>30682</v>
      </c>
      <c r="B446" t="s">
        <v>20</v>
      </c>
    </row>
    <row r="447" spans="1:2" x14ac:dyDescent="0.35">
      <c r="A447" s="3">
        <v>30713</v>
      </c>
      <c r="B447" t="s">
        <v>20</v>
      </c>
    </row>
    <row r="448" spans="1:2" x14ac:dyDescent="0.35">
      <c r="A448" s="3">
        <v>30742</v>
      </c>
      <c r="B448" t="s">
        <v>20</v>
      </c>
    </row>
    <row r="449" spans="1:2" x14ac:dyDescent="0.35">
      <c r="A449" s="3">
        <v>30773</v>
      </c>
      <c r="B449" t="s">
        <v>20</v>
      </c>
    </row>
    <row r="450" spans="1:2" x14ac:dyDescent="0.35">
      <c r="A450" s="3">
        <v>30803</v>
      </c>
      <c r="B450" t="s">
        <v>20</v>
      </c>
    </row>
    <row r="451" spans="1:2" x14ac:dyDescent="0.35">
      <c r="A451" s="3">
        <v>30834</v>
      </c>
      <c r="B451" t="s">
        <v>20</v>
      </c>
    </row>
    <row r="452" spans="1:2" x14ac:dyDescent="0.35">
      <c r="A452" s="3">
        <v>30864</v>
      </c>
      <c r="B452" t="s">
        <v>20</v>
      </c>
    </row>
    <row r="453" spans="1:2" x14ac:dyDescent="0.35">
      <c r="A453" s="3">
        <v>30895</v>
      </c>
      <c r="B453" t="s">
        <v>20</v>
      </c>
    </row>
    <row r="454" spans="1:2" x14ac:dyDescent="0.35">
      <c r="A454" s="3">
        <v>30926</v>
      </c>
      <c r="B454" t="s">
        <v>20</v>
      </c>
    </row>
    <row r="455" spans="1:2" x14ac:dyDescent="0.35">
      <c r="A455" s="3">
        <v>30956</v>
      </c>
      <c r="B455" t="s">
        <v>20</v>
      </c>
    </row>
    <row r="456" spans="1:2" x14ac:dyDescent="0.35">
      <c r="A456" s="3">
        <v>30987</v>
      </c>
      <c r="B456" t="s">
        <v>20</v>
      </c>
    </row>
    <row r="457" spans="1:2" x14ac:dyDescent="0.35">
      <c r="A457" s="3">
        <v>31017</v>
      </c>
      <c r="B457" t="s">
        <v>20</v>
      </c>
    </row>
    <row r="458" spans="1:2" x14ac:dyDescent="0.35">
      <c r="A458" s="3">
        <v>31048</v>
      </c>
      <c r="B458" t="s">
        <v>20</v>
      </c>
    </row>
    <row r="459" spans="1:2" x14ac:dyDescent="0.35">
      <c r="A459" s="3">
        <v>31079</v>
      </c>
      <c r="B459" t="s">
        <v>20</v>
      </c>
    </row>
    <row r="460" spans="1:2" x14ac:dyDescent="0.35">
      <c r="A460" s="3">
        <v>31107</v>
      </c>
      <c r="B460" t="s">
        <v>20</v>
      </c>
    </row>
    <row r="461" spans="1:2" x14ac:dyDescent="0.35">
      <c r="A461" s="3">
        <v>31138</v>
      </c>
      <c r="B461" t="s">
        <v>20</v>
      </c>
    </row>
    <row r="462" spans="1:2" x14ac:dyDescent="0.35">
      <c r="A462" s="3">
        <v>31168</v>
      </c>
      <c r="B462" t="s">
        <v>20</v>
      </c>
    </row>
    <row r="463" spans="1:2" x14ac:dyDescent="0.35">
      <c r="A463" s="3">
        <v>31199</v>
      </c>
      <c r="B463" t="s">
        <v>20</v>
      </c>
    </row>
    <row r="464" spans="1:2" x14ac:dyDescent="0.35">
      <c r="A464" s="3">
        <v>31229</v>
      </c>
      <c r="B464" t="s">
        <v>20</v>
      </c>
    </row>
    <row r="465" spans="1:2" x14ac:dyDescent="0.35">
      <c r="A465" s="3">
        <v>31260</v>
      </c>
      <c r="B465" t="s">
        <v>20</v>
      </c>
    </row>
    <row r="466" spans="1:2" x14ac:dyDescent="0.35">
      <c r="A466" s="3">
        <v>31291</v>
      </c>
      <c r="B466" t="s">
        <v>20</v>
      </c>
    </row>
    <row r="467" spans="1:2" x14ac:dyDescent="0.35">
      <c r="A467" s="3">
        <v>31321</v>
      </c>
      <c r="B467" t="s">
        <v>20</v>
      </c>
    </row>
    <row r="468" spans="1:2" x14ac:dyDescent="0.35">
      <c r="A468" s="3">
        <v>31352</v>
      </c>
      <c r="B468" t="s">
        <v>20</v>
      </c>
    </row>
    <row r="469" spans="1:2" x14ac:dyDescent="0.35">
      <c r="A469" s="3">
        <v>31382</v>
      </c>
      <c r="B469" t="s">
        <v>20</v>
      </c>
    </row>
    <row r="470" spans="1:2" x14ac:dyDescent="0.35">
      <c r="A470" s="3">
        <v>31413</v>
      </c>
      <c r="B470" t="s">
        <v>20</v>
      </c>
    </row>
    <row r="471" spans="1:2" x14ac:dyDescent="0.35">
      <c r="A471" s="3">
        <v>31444</v>
      </c>
      <c r="B471" t="s">
        <v>20</v>
      </c>
    </row>
    <row r="472" spans="1:2" x14ac:dyDescent="0.35">
      <c r="A472" s="3">
        <v>31472</v>
      </c>
      <c r="B472" t="s">
        <v>38</v>
      </c>
    </row>
    <row r="473" spans="1:2" x14ac:dyDescent="0.35">
      <c r="A473" s="3">
        <v>31503</v>
      </c>
      <c r="B473" t="s">
        <v>38</v>
      </c>
    </row>
    <row r="474" spans="1:2" x14ac:dyDescent="0.35">
      <c r="A474" s="3">
        <v>31533</v>
      </c>
      <c r="B474" t="s">
        <v>37</v>
      </c>
    </row>
    <row r="475" spans="1:2" x14ac:dyDescent="0.35">
      <c r="A475" s="3">
        <v>31564</v>
      </c>
      <c r="B475" t="s">
        <v>20</v>
      </c>
    </row>
    <row r="476" spans="1:2" x14ac:dyDescent="0.35">
      <c r="A476" s="3">
        <v>31594</v>
      </c>
      <c r="B476" t="s">
        <v>20</v>
      </c>
    </row>
    <row r="477" spans="1:2" x14ac:dyDescent="0.35">
      <c r="A477" s="3">
        <v>31625</v>
      </c>
      <c r="B477" t="s">
        <v>20</v>
      </c>
    </row>
    <row r="478" spans="1:2" x14ac:dyDescent="0.35">
      <c r="A478" s="3">
        <v>31656</v>
      </c>
      <c r="B478" t="s">
        <v>20</v>
      </c>
    </row>
    <row r="479" spans="1:2" x14ac:dyDescent="0.35">
      <c r="A479" s="3">
        <v>31686</v>
      </c>
      <c r="B479" t="s">
        <v>20</v>
      </c>
    </row>
    <row r="480" spans="1:2" x14ac:dyDescent="0.35">
      <c r="A480" s="3">
        <v>31717</v>
      </c>
      <c r="B480" t="s">
        <v>20</v>
      </c>
    </row>
    <row r="481" spans="1:2" x14ac:dyDescent="0.35">
      <c r="A481" s="3">
        <v>31747</v>
      </c>
      <c r="B481" t="s">
        <v>20</v>
      </c>
    </row>
    <row r="482" spans="1:2" x14ac:dyDescent="0.35">
      <c r="A482" s="3">
        <v>31778</v>
      </c>
      <c r="B482" t="s">
        <v>20</v>
      </c>
    </row>
    <row r="483" spans="1:2" x14ac:dyDescent="0.35">
      <c r="A483" s="3">
        <v>31809</v>
      </c>
      <c r="B483" t="s">
        <v>20</v>
      </c>
    </row>
    <row r="484" spans="1:2" x14ac:dyDescent="0.35">
      <c r="A484" s="3">
        <v>31837</v>
      </c>
      <c r="B484" t="s">
        <v>20</v>
      </c>
    </row>
    <row r="485" spans="1:2" x14ac:dyDescent="0.35">
      <c r="A485" s="3">
        <v>31868</v>
      </c>
      <c r="B485" t="s">
        <v>20</v>
      </c>
    </row>
    <row r="486" spans="1:2" x14ac:dyDescent="0.35">
      <c r="A486" s="3">
        <v>31898</v>
      </c>
      <c r="B486" t="s">
        <v>20</v>
      </c>
    </row>
    <row r="487" spans="1:2" x14ac:dyDescent="0.35">
      <c r="A487" s="3">
        <v>31929</v>
      </c>
      <c r="B487" t="s">
        <v>20</v>
      </c>
    </row>
    <row r="488" spans="1:2" x14ac:dyDescent="0.35">
      <c r="A488" s="3">
        <v>31959</v>
      </c>
      <c r="B488" t="s">
        <v>20</v>
      </c>
    </row>
    <row r="489" spans="1:2" x14ac:dyDescent="0.35">
      <c r="A489" s="3">
        <v>31990</v>
      </c>
      <c r="B489" t="s">
        <v>20</v>
      </c>
    </row>
    <row r="490" spans="1:2" x14ac:dyDescent="0.35">
      <c r="A490" s="3">
        <v>32021</v>
      </c>
      <c r="B490" t="s">
        <v>20</v>
      </c>
    </row>
    <row r="491" spans="1:2" x14ac:dyDescent="0.35">
      <c r="A491" s="3">
        <v>32051</v>
      </c>
      <c r="B491" t="s">
        <v>20</v>
      </c>
    </row>
    <row r="492" spans="1:2" x14ac:dyDescent="0.35">
      <c r="A492" s="3">
        <v>32082</v>
      </c>
      <c r="B492" t="s">
        <v>20</v>
      </c>
    </row>
    <row r="493" spans="1:2" x14ac:dyDescent="0.35">
      <c r="A493" s="3">
        <v>32112</v>
      </c>
      <c r="B493" t="s">
        <v>20</v>
      </c>
    </row>
    <row r="494" spans="1:2" x14ac:dyDescent="0.35">
      <c r="A494" s="3">
        <v>32143</v>
      </c>
      <c r="B494" t="s">
        <v>20</v>
      </c>
    </row>
    <row r="495" spans="1:2" x14ac:dyDescent="0.35">
      <c r="A495" s="3">
        <v>32174</v>
      </c>
      <c r="B495" t="s">
        <v>20</v>
      </c>
    </row>
    <row r="496" spans="1:2" x14ac:dyDescent="0.35">
      <c r="A496" s="3">
        <v>32203</v>
      </c>
      <c r="B496" t="s">
        <v>20</v>
      </c>
    </row>
    <row r="497" spans="1:2" x14ac:dyDescent="0.35">
      <c r="A497" s="3">
        <v>32234</v>
      </c>
      <c r="B497" t="s">
        <v>20</v>
      </c>
    </row>
    <row r="498" spans="1:2" x14ac:dyDescent="0.35">
      <c r="A498" s="3">
        <v>32264</v>
      </c>
      <c r="B498" t="s">
        <v>20</v>
      </c>
    </row>
    <row r="499" spans="1:2" x14ac:dyDescent="0.35">
      <c r="A499" s="3">
        <v>32295</v>
      </c>
      <c r="B499" t="s">
        <v>20</v>
      </c>
    </row>
    <row r="500" spans="1:2" x14ac:dyDescent="0.35">
      <c r="A500" s="3">
        <v>32325</v>
      </c>
      <c r="B500" t="s">
        <v>20</v>
      </c>
    </row>
    <row r="501" spans="1:2" x14ac:dyDescent="0.35">
      <c r="A501" s="3">
        <v>32356</v>
      </c>
      <c r="B501" t="s">
        <v>20</v>
      </c>
    </row>
    <row r="502" spans="1:2" x14ac:dyDescent="0.35">
      <c r="A502" s="3">
        <v>32387</v>
      </c>
      <c r="B502" t="s">
        <v>20</v>
      </c>
    </row>
    <row r="503" spans="1:2" x14ac:dyDescent="0.35">
      <c r="A503" s="3">
        <v>32417</v>
      </c>
      <c r="B503" t="s">
        <v>20</v>
      </c>
    </row>
    <row r="504" spans="1:2" x14ac:dyDescent="0.35">
      <c r="A504" s="3">
        <v>32448</v>
      </c>
      <c r="B504" t="s">
        <v>20</v>
      </c>
    </row>
    <row r="505" spans="1:2" x14ac:dyDescent="0.35">
      <c r="A505" s="3">
        <v>32478</v>
      </c>
      <c r="B505" t="s">
        <v>20</v>
      </c>
    </row>
    <row r="506" spans="1:2" x14ac:dyDescent="0.35">
      <c r="A506" s="3">
        <v>32509</v>
      </c>
      <c r="B506" t="s">
        <v>20</v>
      </c>
    </row>
    <row r="507" spans="1:2" x14ac:dyDescent="0.35">
      <c r="A507" s="3">
        <v>32540</v>
      </c>
      <c r="B507" t="s">
        <v>20</v>
      </c>
    </row>
    <row r="508" spans="1:2" x14ac:dyDescent="0.35">
      <c r="A508" s="3">
        <v>32568</v>
      </c>
      <c r="B508" t="s">
        <v>20</v>
      </c>
    </row>
    <row r="509" spans="1:2" x14ac:dyDescent="0.35">
      <c r="A509" s="3">
        <v>32599</v>
      </c>
      <c r="B509" t="s">
        <v>20</v>
      </c>
    </row>
    <row r="510" spans="1:2" x14ac:dyDescent="0.35">
      <c r="A510" s="3">
        <v>32629</v>
      </c>
      <c r="B510" t="s">
        <v>20</v>
      </c>
    </row>
    <row r="511" spans="1:2" x14ac:dyDescent="0.35">
      <c r="A511" s="3">
        <v>32660</v>
      </c>
      <c r="B511" t="s">
        <v>20</v>
      </c>
    </row>
    <row r="512" spans="1:2" x14ac:dyDescent="0.35">
      <c r="A512" s="3">
        <v>32690</v>
      </c>
      <c r="B512" t="s">
        <v>36</v>
      </c>
    </row>
    <row r="513" spans="1:2" x14ac:dyDescent="0.35">
      <c r="A513" s="3">
        <v>32721</v>
      </c>
      <c r="B513" t="s">
        <v>20</v>
      </c>
    </row>
    <row r="514" spans="1:2" x14ac:dyDescent="0.35">
      <c r="A514" s="3">
        <v>32752</v>
      </c>
      <c r="B514" t="s">
        <v>20</v>
      </c>
    </row>
    <row r="515" spans="1:2" x14ac:dyDescent="0.35">
      <c r="A515" s="3">
        <v>32782</v>
      </c>
      <c r="B515" t="s">
        <v>20</v>
      </c>
    </row>
    <row r="516" spans="1:2" x14ac:dyDescent="0.35">
      <c r="A516" s="3">
        <v>32813</v>
      </c>
      <c r="B516" t="s">
        <v>20</v>
      </c>
    </row>
    <row r="517" spans="1:2" x14ac:dyDescent="0.35">
      <c r="A517" s="3">
        <v>32843</v>
      </c>
      <c r="B517" t="s">
        <v>20</v>
      </c>
    </row>
    <row r="518" spans="1:2" x14ac:dyDescent="0.35">
      <c r="A518" s="3">
        <v>32874</v>
      </c>
      <c r="B518" t="s">
        <v>20</v>
      </c>
    </row>
    <row r="519" spans="1:2" x14ac:dyDescent="0.35">
      <c r="A519" s="3">
        <v>32905</v>
      </c>
      <c r="B519" t="s">
        <v>20</v>
      </c>
    </row>
    <row r="520" spans="1:2" x14ac:dyDescent="0.35">
      <c r="A520" s="3">
        <v>32933</v>
      </c>
      <c r="B520" t="s">
        <v>20</v>
      </c>
    </row>
    <row r="521" spans="1:2" x14ac:dyDescent="0.35">
      <c r="A521" s="3">
        <v>32964</v>
      </c>
      <c r="B521" t="s">
        <v>20</v>
      </c>
    </row>
    <row r="522" spans="1:2" x14ac:dyDescent="0.35">
      <c r="A522" s="3">
        <v>32994</v>
      </c>
      <c r="B522" t="s">
        <v>20</v>
      </c>
    </row>
    <row r="523" spans="1:2" x14ac:dyDescent="0.35">
      <c r="A523" s="3">
        <v>33025</v>
      </c>
      <c r="B523" t="s">
        <v>20</v>
      </c>
    </row>
    <row r="524" spans="1:2" x14ac:dyDescent="0.35">
      <c r="A524" s="3">
        <v>33055</v>
      </c>
      <c r="B524" t="s">
        <v>20</v>
      </c>
    </row>
    <row r="525" spans="1:2" x14ac:dyDescent="0.35">
      <c r="A525" s="3">
        <v>33086</v>
      </c>
      <c r="B525" t="s">
        <v>20</v>
      </c>
    </row>
    <row r="526" spans="1:2" x14ac:dyDescent="0.35">
      <c r="A526" s="3">
        <v>33117</v>
      </c>
      <c r="B526" t="s">
        <v>20</v>
      </c>
    </row>
    <row r="527" spans="1:2" x14ac:dyDescent="0.35">
      <c r="A527" s="3">
        <v>33147</v>
      </c>
      <c r="B527" t="s">
        <v>20</v>
      </c>
    </row>
    <row r="528" spans="1:2" x14ac:dyDescent="0.35">
      <c r="A528" s="3">
        <v>33178</v>
      </c>
      <c r="B528" t="s">
        <v>36</v>
      </c>
    </row>
    <row r="529" spans="1:2" x14ac:dyDescent="0.35">
      <c r="A529" s="3">
        <v>33208</v>
      </c>
      <c r="B529" t="s">
        <v>36</v>
      </c>
    </row>
    <row r="530" spans="1:2" x14ac:dyDescent="0.35">
      <c r="A530" s="3">
        <v>33239</v>
      </c>
      <c r="B530" t="s">
        <v>36</v>
      </c>
    </row>
    <row r="531" spans="1:2" x14ac:dyDescent="0.35">
      <c r="A531" s="3">
        <v>33270</v>
      </c>
      <c r="B531" t="s">
        <v>36</v>
      </c>
    </row>
    <row r="532" spans="1:2" x14ac:dyDescent="0.35">
      <c r="A532" s="3">
        <v>33298</v>
      </c>
      <c r="B532" t="s">
        <v>36</v>
      </c>
    </row>
    <row r="533" spans="1:2" x14ac:dyDescent="0.35">
      <c r="A533" s="3">
        <v>33329</v>
      </c>
      <c r="B533" t="s">
        <v>36</v>
      </c>
    </row>
    <row r="534" spans="1:2" x14ac:dyDescent="0.35">
      <c r="A534" s="3">
        <v>33359</v>
      </c>
      <c r="B534" t="s">
        <v>20</v>
      </c>
    </row>
    <row r="535" spans="1:2" x14ac:dyDescent="0.35">
      <c r="A535" s="3">
        <v>33390</v>
      </c>
      <c r="B535" t="s">
        <v>20</v>
      </c>
    </row>
    <row r="536" spans="1:2" x14ac:dyDescent="0.35">
      <c r="A536" s="3">
        <v>33420</v>
      </c>
      <c r="B536" t="s">
        <v>20</v>
      </c>
    </row>
    <row r="537" spans="1:2" x14ac:dyDescent="0.35">
      <c r="A537" s="3">
        <v>33451</v>
      </c>
      <c r="B537" t="s">
        <v>20</v>
      </c>
    </row>
    <row r="538" spans="1:2" x14ac:dyDescent="0.35">
      <c r="A538" s="3">
        <v>33482</v>
      </c>
      <c r="B538" t="s">
        <v>20</v>
      </c>
    </row>
    <row r="539" spans="1:2" x14ac:dyDescent="0.35">
      <c r="A539" s="3">
        <v>33512</v>
      </c>
      <c r="B539" t="s">
        <v>20</v>
      </c>
    </row>
    <row r="540" spans="1:2" x14ac:dyDescent="0.35">
      <c r="A540" s="3">
        <v>33543</v>
      </c>
      <c r="B540" t="s">
        <v>20</v>
      </c>
    </row>
    <row r="541" spans="1:2" x14ac:dyDescent="0.35">
      <c r="A541" s="3">
        <v>33573</v>
      </c>
      <c r="B541" t="s">
        <v>20</v>
      </c>
    </row>
    <row r="542" spans="1:2" x14ac:dyDescent="0.35">
      <c r="A542" s="3">
        <v>33604</v>
      </c>
      <c r="B542" t="s">
        <v>36</v>
      </c>
    </row>
    <row r="543" spans="1:2" x14ac:dyDescent="0.35">
      <c r="A543" s="3">
        <v>33635</v>
      </c>
      <c r="B543" t="s">
        <v>20</v>
      </c>
    </row>
    <row r="544" spans="1:2" x14ac:dyDescent="0.35">
      <c r="A544" s="3">
        <v>33664</v>
      </c>
      <c r="B544" t="s">
        <v>20</v>
      </c>
    </row>
    <row r="545" spans="1:2" x14ac:dyDescent="0.35">
      <c r="A545" s="3">
        <v>33695</v>
      </c>
      <c r="B545" t="s">
        <v>20</v>
      </c>
    </row>
    <row r="546" spans="1:2" x14ac:dyDescent="0.35">
      <c r="A546" s="3">
        <v>33725</v>
      </c>
      <c r="B546" t="s">
        <v>20</v>
      </c>
    </row>
    <row r="547" spans="1:2" x14ac:dyDescent="0.35">
      <c r="A547" s="3">
        <v>33756</v>
      </c>
      <c r="B547" t="s">
        <v>20</v>
      </c>
    </row>
    <row r="548" spans="1:2" x14ac:dyDescent="0.35">
      <c r="A548" s="3">
        <v>33786</v>
      </c>
      <c r="B548" t="s">
        <v>20</v>
      </c>
    </row>
    <row r="549" spans="1:2" x14ac:dyDescent="0.35">
      <c r="A549" s="3">
        <v>33817</v>
      </c>
      <c r="B549" t="s">
        <v>20</v>
      </c>
    </row>
    <row r="550" spans="1:2" x14ac:dyDescent="0.35">
      <c r="A550" s="3">
        <v>33848</v>
      </c>
      <c r="B550" t="s">
        <v>20</v>
      </c>
    </row>
    <row r="551" spans="1:2" x14ac:dyDescent="0.35">
      <c r="A551" s="3">
        <v>33878</v>
      </c>
      <c r="B551" t="s">
        <v>20</v>
      </c>
    </row>
    <row r="552" spans="1:2" x14ac:dyDescent="0.35">
      <c r="A552" s="3">
        <v>33909</v>
      </c>
      <c r="B552" t="s">
        <v>20</v>
      </c>
    </row>
    <row r="553" spans="1:2" x14ac:dyDescent="0.35">
      <c r="A553" s="3">
        <v>33939</v>
      </c>
      <c r="B553" t="s">
        <v>20</v>
      </c>
    </row>
    <row r="554" spans="1:2" x14ac:dyDescent="0.35">
      <c r="A554" s="3">
        <v>33970</v>
      </c>
      <c r="B554" t="s">
        <v>20</v>
      </c>
    </row>
    <row r="555" spans="1:2" x14ac:dyDescent="0.35">
      <c r="A555" s="3">
        <v>34001</v>
      </c>
      <c r="B555" t="s">
        <v>20</v>
      </c>
    </row>
    <row r="556" spans="1:2" x14ac:dyDescent="0.35">
      <c r="A556" s="3">
        <v>34029</v>
      </c>
      <c r="B556" t="s">
        <v>20</v>
      </c>
    </row>
    <row r="557" spans="1:2" x14ac:dyDescent="0.35">
      <c r="A557" s="3">
        <v>34060</v>
      </c>
      <c r="B557" t="s">
        <v>20</v>
      </c>
    </row>
    <row r="558" spans="1:2" x14ac:dyDescent="0.35">
      <c r="A558" s="3">
        <v>34090</v>
      </c>
      <c r="B558" t="s">
        <v>20</v>
      </c>
    </row>
    <row r="559" spans="1:2" x14ac:dyDescent="0.35">
      <c r="A559" s="3">
        <v>34121</v>
      </c>
      <c r="B559" t="s">
        <v>20</v>
      </c>
    </row>
    <row r="560" spans="1:2" x14ac:dyDescent="0.35">
      <c r="A560" s="3">
        <v>34151</v>
      </c>
      <c r="B560" t="s">
        <v>20</v>
      </c>
    </row>
    <row r="561" spans="1:2" x14ac:dyDescent="0.35">
      <c r="A561" s="3">
        <v>34182</v>
      </c>
      <c r="B561" t="s">
        <v>20</v>
      </c>
    </row>
    <row r="562" spans="1:2" x14ac:dyDescent="0.35">
      <c r="A562" s="3">
        <v>34213</v>
      </c>
      <c r="B562" t="s">
        <v>20</v>
      </c>
    </row>
    <row r="563" spans="1:2" x14ac:dyDescent="0.35">
      <c r="A563" s="3">
        <v>34243</v>
      </c>
      <c r="B563" t="s">
        <v>20</v>
      </c>
    </row>
    <row r="564" spans="1:2" x14ac:dyDescent="0.35">
      <c r="A564" s="3">
        <v>34274</v>
      </c>
      <c r="B564" t="s">
        <v>20</v>
      </c>
    </row>
    <row r="565" spans="1:2" x14ac:dyDescent="0.35">
      <c r="A565" s="3">
        <v>34304</v>
      </c>
      <c r="B565" t="s">
        <v>20</v>
      </c>
    </row>
    <row r="566" spans="1:2" x14ac:dyDescent="0.35">
      <c r="A566" s="3">
        <v>34335</v>
      </c>
      <c r="B566" t="s">
        <v>20</v>
      </c>
    </row>
    <row r="567" spans="1:2" x14ac:dyDescent="0.35">
      <c r="A567" s="3">
        <v>34366</v>
      </c>
      <c r="B567" t="s">
        <v>20</v>
      </c>
    </row>
    <row r="568" spans="1:2" x14ac:dyDescent="0.35">
      <c r="A568" s="3">
        <v>34394</v>
      </c>
      <c r="B568" t="s">
        <v>20</v>
      </c>
    </row>
    <row r="569" spans="1:2" x14ac:dyDescent="0.35">
      <c r="A569" s="3">
        <v>34425</v>
      </c>
      <c r="B569" t="s">
        <v>20</v>
      </c>
    </row>
    <row r="570" spans="1:2" x14ac:dyDescent="0.35">
      <c r="A570" s="3">
        <v>34455</v>
      </c>
      <c r="B570" t="s">
        <v>20</v>
      </c>
    </row>
    <row r="571" spans="1:2" x14ac:dyDescent="0.35">
      <c r="A571" s="3">
        <v>34486</v>
      </c>
      <c r="B571" t="s">
        <v>20</v>
      </c>
    </row>
    <row r="572" spans="1:2" x14ac:dyDescent="0.35">
      <c r="A572" s="3">
        <v>34516</v>
      </c>
      <c r="B572" t="s">
        <v>20</v>
      </c>
    </row>
    <row r="573" spans="1:2" x14ac:dyDescent="0.35">
      <c r="A573" s="3">
        <v>34547</v>
      </c>
      <c r="B573" t="s">
        <v>20</v>
      </c>
    </row>
    <row r="574" spans="1:2" x14ac:dyDescent="0.35">
      <c r="A574" s="3">
        <v>34578</v>
      </c>
      <c r="B574" t="s">
        <v>20</v>
      </c>
    </row>
    <row r="575" spans="1:2" x14ac:dyDescent="0.35">
      <c r="A575" s="3">
        <v>34608</v>
      </c>
      <c r="B575" t="s">
        <v>20</v>
      </c>
    </row>
    <row r="576" spans="1:2" x14ac:dyDescent="0.35">
      <c r="A576" s="3">
        <v>34639</v>
      </c>
      <c r="B576" t="s">
        <v>20</v>
      </c>
    </row>
    <row r="577" spans="1:2" x14ac:dyDescent="0.35">
      <c r="A577" s="3">
        <v>34669</v>
      </c>
      <c r="B577" t="s">
        <v>20</v>
      </c>
    </row>
    <row r="578" spans="1:2" x14ac:dyDescent="0.35">
      <c r="A578" s="3">
        <v>34700</v>
      </c>
      <c r="B578" t="s">
        <v>20</v>
      </c>
    </row>
    <row r="579" spans="1:2" x14ac:dyDescent="0.35">
      <c r="A579" s="3">
        <v>34731</v>
      </c>
      <c r="B579" t="s">
        <v>20</v>
      </c>
    </row>
    <row r="580" spans="1:2" x14ac:dyDescent="0.35">
      <c r="A580" s="3">
        <v>34759</v>
      </c>
      <c r="B580" t="s">
        <v>20</v>
      </c>
    </row>
    <row r="581" spans="1:2" x14ac:dyDescent="0.35">
      <c r="A581" s="3">
        <v>34790</v>
      </c>
      <c r="B581" t="s">
        <v>20</v>
      </c>
    </row>
    <row r="582" spans="1:2" x14ac:dyDescent="0.35">
      <c r="A582" s="3">
        <v>34820</v>
      </c>
      <c r="B582" t="s">
        <v>20</v>
      </c>
    </row>
    <row r="583" spans="1:2" x14ac:dyDescent="0.35">
      <c r="A583" s="3">
        <v>34851</v>
      </c>
      <c r="B583" t="s">
        <v>20</v>
      </c>
    </row>
    <row r="584" spans="1:2" x14ac:dyDescent="0.35">
      <c r="A584" s="3">
        <v>34881</v>
      </c>
      <c r="B584" t="s">
        <v>20</v>
      </c>
    </row>
    <row r="585" spans="1:2" x14ac:dyDescent="0.35">
      <c r="A585" s="3">
        <v>34912</v>
      </c>
      <c r="B585" t="s">
        <v>20</v>
      </c>
    </row>
    <row r="586" spans="1:2" x14ac:dyDescent="0.35">
      <c r="A586" s="3">
        <v>34943</v>
      </c>
      <c r="B586" t="s">
        <v>20</v>
      </c>
    </row>
    <row r="587" spans="1:2" x14ac:dyDescent="0.35">
      <c r="A587" s="3">
        <v>34973</v>
      </c>
      <c r="B587" t="s">
        <v>20</v>
      </c>
    </row>
    <row r="588" spans="1:2" x14ac:dyDescent="0.35">
      <c r="A588" s="3">
        <v>35004</v>
      </c>
      <c r="B588" t="s">
        <v>20</v>
      </c>
    </row>
    <row r="589" spans="1:2" x14ac:dyDescent="0.35">
      <c r="A589" s="3">
        <v>35034</v>
      </c>
      <c r="B589" t="s">
        <v>20</v>
      </c>
    </row>
    <row r="590" spans="1:2" x14ac:dyDescent="0.35">
      <c r="A590" s="3">
        <v>35065</v>
      </c>
      <c r="B590" t="s">
        <v>20</v>
      </c>
    </row>
    <row r="591" spans="1:2" x14ac:dyDescent="0.35">
      <c r="A591" s="3">
        <v>35096</v>
      </c>
      <c r="B591" t="s">
        <v>20</v>
      </c>
    </row>
    <row r="592" spans="1:2" x14ac:dyDescent="0.35">
      <c r="A592" s="3">
        <v>35125</v>
      </c>
      <c r="B592" t="s">
        <v>20</v>
      </c>
    </row>
    <row r="593" spans="1:2" x14ac:dyDescent="0.35">
      <c r="A593" s="3">
        <v>35156</v>
      </c>
      <c r="B593" t="s">
        <v>20</v>
      </c>
    </row>
    <row r="594" spans="1:2" x14ac:dyDescent="0.35">
      <c r="A594" s="3">
        <v>35186</v>
      </c>
      <c r="B594" t="s">
        <v>20</v>
      </c>
    </row>
    <row r="595" spans="1:2" x14ac:dyDescent="0.35">
      <c r="A595" s="3">
        <v>35217</v>
      </c>
      <c r="B595" t="s">
        <v>20</v>
      </c>
    </row>
    <row r="596" spans="1:2" x14ac:dyDescent="0.35">
      <c r="A596" s="3">
        <v>35247</v>
      </c>
      <c r="B596" t="s">
        <v>20</v>
      </c>
    </row>
    <row r="597" spans="1:2" x14ac:dyDescent="0.35">
      <c r="A597" s="3">
        <v>35278</v>
      </c>
      <c r="B597" t="s">
        <v>20</v>
      </c>
    </row>
    <row r="598" spans="1:2" x14ac:dyDescent="0.35">
      <c r="A598" s="3">
        <v>35309</v>
      </c>
      <c r="B598" t="s">
        <v>20</v>
      </c>
    </row>
    <row r="599" spans="1:2" x14ac:dyDescent="0.35">
      <c r="A599" s="3">
        <v>35339</v>
      </c>
      <c r="B599" t="s">
        <v>20</v>
      </c>
    </row>
    <row r="600" spans="1:2" x14ac:dyDescent="0.35">
      <c r="A600" s="3">
        <v>35370</v>
      </c>
      <c r="B600" t="s">
        <v>20</v>
      </c>
    </row>
    <row r="601" spans="1:2" x14ac:dyDescent="0.35">
      <c r="A601" s="3">
        <v>35400</v>
      </c>
      <c r="B601" t="s">
        <v>20</v>
      </c>
    </row>
    <row r="602" spans="1:2" x14ac:dyDescent="0.35">
      <c r="A602" s="3">
        <v>35431</v>
      </c>
      <c r="B602" t="s">
        <v>20</v>
      </c>
    </row>
    <row r="603" spans="1:2" x14ac:dyDescent="0.35">
      <c r="A603" s="3">
        <v>35462</v>
      </c>
      <c r="B603" t="s">
        <v>20</v>
      </c>
    </row>
    <row r="604" spans="1:2" x14ac:dyDescent="0.35">
      <c r="A604" s="3">
        <v>35490</v>
      </c>
      <c r="B604" t="s">
        <v>20</v>
      </c>
    </row>
    <row r="605" spans="1:2" x14ac:dyDescent="0.35">
      <c r="A605" s="3">
        <v>35521</v>
      </c>
      <c r="B605" t="s">
        <v>20</v>
      </c>
    </row>
    <row r="606" spans="1:2" x14ac:dyDescent="0.35">
      <c r="A606" s="3">
        <v>35551</v>
      </c>
      <c r="B606" t="s">
        <v>20</v>
      </c>
    </row>
    <row r="607" spans="1:2" x14ac:dyDescent="0.35">
      <c r="A607" s="3">
        <v>35582</v>
      </c>
      <c r="B607" t="s">
        <v>20</v>
      </c>
    </row>
    <row r="608" spans="1:2" x14ac:dyDescent="0.35">
      <c r="A608" s="3">
        <v>35612</v>
      </c>
      <c r="B608" t="s">
        <v>20</v>
      </c>
    </row>
    <row r="609" spans="1:2" x14ac:dyDescent="0.35">
      <c r="A609" s="3">
        <v>35643</v>
      </c>
      <c r="B609" t="s">
        <v>20</v>
      </c>
    </row>
    <row r="610" spans="1:2" x14ac:dyDescent="0.35">
      <c r="A610" s="3">
        <v>35674</v>
      </c>
      <c r="B610" t="s">
        <v>20</v>
      </c>
    </row>
    <row r="611" spans="1:2" x14ac:dyDescent="0.35">
      <c r="A611" s="3">
        <v>35704</v>
      </c>
      <c r="B611" t="s">
        <v>20</v>
      </c>
    </row>
    <row r="612" spans="1:2" x14ac:dyDescent="0.35">
      <c r="A612" s="3">
        <v>35735</v>
      </c>
      <c r="B612" t="s">
        <v>20</v>
      </c>
    </row>
    <row r="613" spans="1:2" x14ac:dyDescent="0.35">
      <c r="A613" s="3">
        <v>35765</v>
      </c>
      <c r="B613" t="s">
        <v>20</v>
      </c>
    </row>
    <row r="614" spans="1:2" x14ac:dyDescent="0.35">
      <c r="A614" s="3">
        <v>35796</v>
      </c>
      <c r="B614" t="s">
        <v>20</v>
      </c>
    </row>
    <row r="615" spans="1:2" x14ac:dyDescent="0.35">
      <c r="A615" s="3">
        <v>35827</v>
      </c>
      <c r="B615" t="s">
        <v>20</v>
      </c>
    </row>
    <row r="616" spans="1:2" x14ac:dyDescent="0.35">
      <c r="A616" s="3">
        <v>35855</v>
      </c>
      <c r="B616" t="s">
        <v>20</v>
      </c>
    </row>
    <row r="617" spans="1:2" x14ac:dyDescent="0.35">
      <c r="A617" s="3">
        <v>35886</v>
      </c>
      <c r="B617" t="s">
        <v>20</v>
      </c>
    </row>
    <row r="618" spans="1:2" x14ac:dyDescent="0.35">
      <c r="A618" s="3">
        <v>35916</v>
      </c>
      <c r="B618" t="s">
        <v>20</v>
      </c>
    </row>
    <row r="619" spans="1:2" x14ac:dyDescent="0.35">
      <c r="A619" s="3">
        <v>35947</v>
      </c>
      <c r="B619" t="s">
        <v>20</v>
      </c>
    </row>
    <row r="620" spans="1:2" x14ac:dyDescent="0.35">
      <c r="A620" s="3">
        <v>35977</v>
      </c>
      <c r="B620" t="s">
        <v>20</v>
      </c>
    </row>
    <row r="621" spans="1:2" x14ac:dyDescent="0.35">
      <c r="A621" s="3">
        <v>36008</v>
      </c>
      <c r="B621" t="s">
        <v>20</v>
      </c>
    </row>
    <row r="622" spans="1:2" x14ac:dyDescent="0.35">
      <c r="A622" s="3">
        <v>36039</v>
      </c>
      <c r="B622" t="s">
        <v>20</v>
      </c>
    </row>
    <row r="623" spans="1:2" x14ac:dyDescent="0.35">
      <c r="A623" s="3">
        <v>36069</v>
      </c>
      <c r="B623" t="s">
        <v>20</v>
      </c>
    </row>
    <row r="624" spans="1:2" x14ac:dyDescent="0.35">
      <c r="A624" s="3">
        <v>36100</v>
      </c>
      <c r="B624" t="s">
        <v>20</v>
      </c>
    </row>
    <row r="625" spans="1:2" x14ac:dyDescent="0.35">
      <c r="A625" s="3">
        <v>36130</v>
      </c>
      <c r="B625" t="s">
        <v>20</v>
      </c>
    </row>
    <row r="626" spans="1:2" x14ac:dyDescent="0.35">
      <c r="A626" s="3">
        <v>36161</v>
      </c>
      <c r="B626" t="s">
        <v>20</v>
      </c>
    </row>
    <row r="627" spans="1:2" x14ac:dyDescent="0.35">
      <c r="A627" s="3">
        <v>36192</v>
      </c>
      <c r="B627" t="s">
        <v>20</v>
      </c>
    </row>
    <row r="628" spans="1:2" x14ac:dyDescent="0.35">
      <c r="A628" s="3">
        <v>36220</v>
      </c>
      <c r="B628" t="s">
        <v>20</v>
      </c>
    </row>
    <row r="629" spans="1:2" x14ac:dyDescent="0.35">
      <c r="A629" s="3">
        <v>36251</v>
      </c>
      <c r="B629" t="s">
        <v>20</v>
      </c>
    </row>
    <row r="630" spans="1:2" x14ac:dyDescent="0.35">
      <c r="A630" s="3">
        <v>36281</v>
      </c>
      <c r="B630" t="s">
        <v>20</v>
      </c>
    </row>
    <row r="631" spans="1:2" x14ac:dyDescent="0.35">
      <c r="A631" s="3">
        <v>36312</v>
      </c>
      <c r="B631" t="s">
        <v>20</v>
      </c>
    </row>
    <row r="632" spans="1:2" x14ac:dyDescent="0.35">
      <c r="A632" s="3">
        <v>36342</v>
      </c>
      <c r="B632" t="s">
        <v>20</v>
      </c>
    </row>
    <row r="633" spans="1:2" x14ac:dyDescent="0.35">
      <c r="A633" s="3">
        <v>36373</v>
      </c>
      <c r="B633" t="s">
        <v>20</v>
      </c>
    </row>
    <row r="634" spans="1:2" x14ac:dyDescent="0.35">
      <c r="A634" s="3">
        <v>36404</v>
      </c>
      <c r="B634" t="s">
        <v>20</v>
      </c>
    </row>
    <row r="635" spans="1:2" x14ac:dyDescent="0.35">
      <c r="A635" s="3">
        <v>36434</v>
      </c>
      <c r="B635" t="s">
        <v>20</v>
      </c>
    </row>
    <row r="636" spans="1:2" x14ac:dyDescent="0.35">
      <c r="A636" s="3">
        <v>36465</v>
      </c>
      <c r="B636" t="s">
        <v>20</v>
      </c>
    </row>
    <row r="637" spans="1:2" x14ac:dyDescent="0.35">
      <c r="A637" s="3">
        <v>36495</v>
      </c>
      <c r="B637" t="s">
        <v>20</v>
      </c>
    </row>
    <row r="638" spans="1:2" x14ac:dyDescent="0.35">
      <c r="A638" s="3">
        <v>36526</v>
      </c>
      <c r="B638" t="s">
        <v>20</v>
      </c>
    </row>
    <row r="639" spans="1:2" x14ac:dyDescent="0.35">
      <c r="A639" s="3">
        <v>36557</v>
      </c>
      <c r="B639" t="s">
        <v>20</v>
      </c>
    </row>
    <row r="640" spans="1:2" x14ac:dyDescent="0.35">
      <c r="A640" s="3">
        <v>36586</v>
      </c>
      <c r="B640" t="s">
        <v>20</v>
      </c>
    </row>
    <row r="641" spans="1:2" x14ac:dyDescent="0.35">
      <c r="A641" s="3">
        <v>36617</v>
      </c>
      <c r="B641" t="s">
        <v>20</v>
      </c>
    </row>
    <row r="642" spans="1:2" x14ac:dyDescent="0.35">
      <c r="A642" s="3">
        <v>36647</v>
      </c>
      <c r="B642" t="s">
        <v>20</v>
      </c>
    </row>
    <row r="643" spans="1:2" x14ac:dyDescent="0.35">
      <c r="A643" s="3">
        <v>36678</v>
      </c>
      <c r="B643" t="s">
        <v>20</v>
      </c>
    </row>
    <row r="644" spans="1:2" x14ac:dyDescent="0.35">
      <c r="A644" s="3">
        <v>36708</v>
      </c>
      <c r="B644" t="s">
        <v>20</v>
      </c>
    </row>
    <row r="645" spans="1:2" x14ac:dyDescent="0.35">
      <c r="A645" s="3">
        <v>36739</v>
      </c>
      <c r="B645" t="s">
        <v>20</v>
      </c>
    </row>
    <row r="646" spans="1:2" x14ac:dyDescent="0.35">
      <c r="A646" s="3">
        <v>36770</v>
      </c>
      <c r="B646" t="s">
        <v>20</v>
      </c>
    </row>
    <row r="647" spans="1:2" x14ac:dyDescent="0.35">
      <c r="A647" s="3">
        <v>36800</v>
      </c>
      <c r="B647" t="s">
        <v>20</v>
      </c>
    </row>
    <row r="648" spans="1:2" x14ac:dyDescent="0.35">
      <c r="A648" s="3">
        <v>36831</v>
      </c>
      <c r="B648" t="s">
        <v>20</v>
      </c>
    </row>
    <row r="649" spans="1:2" x14ac:dyDescent="0.35">
      <c r="A649" s="3">
        <v>36861</v>
      </c>
      <c r="B649" t="s">
        <v>20</v>
      </c>
    </row>
    <row r="650" spans="1:2" x14ac:dyDescent="0.35">
      <c r="A650" s="3">
        <v>36892</v>
      </c>
      <c r="B650" t="s">
        <v>20</v>
      </c>
    </row>
    <row r="651" spans="1:2" x14ac:dyDescent="0.35">
      <c r="A651" s="3">
        <v>36923</v>
      </c>
      <c r="B651" t="s">
        <v>36</v>
      </c>
    </row>
    <row r="652" spans="1:2" x14ac:dyDescent="0.35">
      <c r="A652" s="3">
        <v>36951</v>
      </c>
      <c r="B652" t="s">
        <v>36</v>
      </c>
    </row>
    <row r="653" spans="1:2" x14ac:dyDescent="0.35">
      <c r="A653" s="3">
        <v>36982</v>
      </c>
      <c r="B653" t="s">
        <v>36</v>
      </c>
    </row>
    <row r="654" spans="1:2" x14ac:dyDescent="0.35">
      <c r="A654" s="3">
        <v>37012</v>
      </c>
      <c r="B654" t="s">
        <v>36</v>
      </c>
    </row>
    <row r="655" spans="1:2" x14ac:dyDescent="0.35">
      <c r="A655" s="3">
        <v>37043</v>
      </c>
      <c r="B655" t="s">
        <v>36</v>
      </c>
    </row>
    <row r="656" spans="1:2" x14ac:dyDescent="0.35">
      <c r="A656" s="3">
        <v>37073</v>
      </c>
      <c r="B656" t="s">
        <v>36</v>
      </c>
    </row>
    <row r="657" spans="1:2" x14ac:dyDescent="0.35">
      <c r="A657" s="3">
        <v>37104</v>
      </c>
      <c r="B657" t="s">
        <v>36</v>
      </c>
    </row>
    <row r="658" spans="1:2" x14ac:dyDescent="0.35">
      <c r="A658" s="3">
        <v>37135</v>
      </c>
      <c r="B658" t="s">
        <v>36</v>
      </c>
    </row>
    <row r="659" spans="1:2" x14ac:dyDescent="0.35">
      <c r="A659" s="3">
        <v>37165</v>
      </c>
      <c r="B659" t="s">
        <v>36</v>
      </c>
    </row>
    <row r="660" spans="1:2" x14ac:dyDescent="0.35">
      <c r="A660" s="3">
        <v>37196</v>
      </c>
      <c r="B660" t="s">
        <v>36</v>
      </c>
    </row>
    <row r="661" spans="1:2" x14ac:dyDescent="0.35">
      <c r="A661" s="3">
        <v>37226</v>
      </c>
      <c r="B661" t="s">
        <v>38</v>
      </c>
    </row>
    <row r="662" spans="1:2" x14ac:dyDescent="0.35">
      <c r="A662" s="3">
        <v>37257</v>
      </c>
      <c r="B662" t="s">
        <v>20</v>
      </c>
    </row>
    <row r="663" spans="1:2" x14ac:dyDescent="0.35">
      <c r="A663" s="3">
        <v>37288</v>
      </c>
      <c r="B663" t="s">
        <v>20</v>
      </c>
    </row>
    <row r="664" spans="1:2" x14ac:dyDescent="0.35">
      <c r="A664" s="3">
        <v>37316</v>
      </c>
      <c r="B664" t="s">
        <v>20</v>
      </c>
    </row>
    <row r="665" spans="1:2" x14ac:dyDescent="0.35">
      <c r="A665" s="3">
        <v>37347</v>
      </c>
      <c r="B665" t="s">
        <v>20</v>
      </c>
    </row>
    <row r="666" spans="1:2" x14ac:dyDescent="0.35">
      <c r="A666" s="3">
        <v>37377</v>
      </c>
      <c r="B666" t="s">
        <v>20</v>
      </c>
    </row>
    <row r="667" spans="1:2" x14ac:dyDescent="0.35">
      <c r="A667" s="3">
        <v>37408</v>
      </c>
      <c r="B667" t="s">
        <v>20</v>
      </c>
    </row>
    <row r="668" spans="1:2" x14ac:dyDescent="0.35">
      <c r="A668" s="3">
        <v>37438</v>
      </c>
      <c r="B668" t="s">
        <v>20</v>
      </c>
    </row>
    <row r="669" spans="1:2" x14ac:dyDescent="0.35">
      <c r="A669" s="3">
        <v>37469</v>
      </c>
      <c r="B669" t="s">
        <v>20</v>
      </c>
    </row>
    <row r="670" spans="1:2" x14ac:dyDescent="0.35">
      <c r="A670" s="3">
        <v>37500</v>
      </c>
      <c r="B670" t="s">
        <v>20</v>
      </c>
    </row>
    <row r="671" spans="1:2" x14ac:dyDescent="0.35">
      <c r="A671" s="3">
        <v>37530</v>
      </c>
      <c r="B671" t="s">
        <v>20</v>
      </c>
    </row>
    <row r="672" spans="1:2" x14ac:dyDescent="0.35">
      <c r="A672" s="3">
        <v>37561</v>
      </c>
      <c r="B672" t="s">
        <v>20</v>
      </c>
    </row>
    <row r="673" spans="1:2" x14ac:dyDescent="0.35">
      <c r="A673" s="3">
        <v>37591</v>
      </c>
      <c r="B673" t="s">
        <v>20</v>
      </c>
    </row>
    <row r="674" spans="1:2" x14ac:dyDescent="0.35">
      <c r="A674" s="3">
        <v>37622</v>
      </c>
      <c r="B674" t="s">
        <v>20</v>
      </c>
    </row>
    <row r="675" spans="1:2" x14ac:dyDescent="0.35">
      <c r="A675" s="3">
        <v>37653</v>
      </c>
      <c r="B675" t="s">
        <v>20</v>
      </c>
    </row>
    <row r="676" spans="1:2" x14ac:dyDescent="0.35">
      <c r="A676" s="3">
        <v>37681</v>
      </c>
      <c r="B676" t="s">
        <v>20</v>
      </c>
    </row>
    <row r="677" spans="1:2" x14ac:dyDescent="0.35">
      <c r="A677" s="3">
        <v>37712</v>
      </c>
      <c r="B677" t="s">
        <v>20</v>
      </c>
    </row>
    <row r="678" spans="1:2" x14ac:dyDescent="0.35">
      <c r="A678" s="3">
        <v>37742</v>
      </c>
      <c r="B678" t="s">
        <v>38</v>
      </c>
    </row>
    <row r="679" spans="1:2" x14ac:dyDescent="0.35">
      <c r="A679" s="3">
        <v>37773</v>
      </c>
      <c r="B679" t="s">
        <v>37</v>
      </c>
    </row>
    <row r="680" spans="1:2" x14ac:dyDescent="0.35">
      <c r="A680" s="3">
        <v>37803</v>
      </c>
      <c r="B680" t="s">
        <v>20</v>
      </c>
    </row>
    <row r="681" spans="1:2" x14ac:dyDescent="0.35">
      <c r="A681" s="3">
        <v>37834</v>
      </c>
      <c r="B681" t="s">
        <v>20</v>
      </c>
    </row>
    <row r="682" spans="1:2" x14ac:dyDescent="0.35">
      <c r="A682" s="3">
        <v>37865</v>
      </c>
      <c r="B682" t="s">
        <v>20</v>
      </c>
    </row>
    <row r="683" spans="1:2" x14ac:dyDescent="0.35">
      <c r="A683" s="3">
        <v>37895</v>
      </c>
      <c r="B683" t="s">
        <v>20</v>
      </c>
    </row>
    <row r="684" spans="1:2" x14ac:dyDescent="0.35">
      <c r="A684" s="3">
        <v>37926</v>
      </c>
      <c r="B684" t="s">
        <v>20</v>
      </c>
    </row>
    <row r="685" spans="1:2" x14ac:dyDescent="0.35">
      <c r="A685" s="3">
        <v>37956</v>
      </c>
      <c r="B685" t="s">
        <v>20</v>
      </c>
    </row>
    <row r="686" spans="1:2" x14ac:dyDescent="0.35">
      <c r="A686" s="3">
        <v>37987</v>
      </c>
      <c r="B686" t="s">
        <v>20</v>
      </c>
    </row>
    <row r="687" spans="1:2" x14ac:dyDescent="0.35">
      <c r="A687" s="3">
        <v>38018</v>
      </c>
      <c r="B687" t="s">
        <v>20</v>
      </c>
    </row>
    <row r="688" spans="1:2" x14ac:dyDescent="0.35">
      <c r="A688" s="3">
        <v>38047</v>
      </c>
      <c r="B688" t="s">
        <v>20</v>
      </c>
    </row>
    <row r="689" spans="1:2" x14ac:dyDescent="0.35">
      <c r="A689" s="3">
        <v>38078</v>
      </c>
      <c r="B689" t="s">
        <v>20</v>
      </c>
    </row>
    <row r="690" spans="1:2" x14ac:dyDescent="0.35">
      <c r="A690" s="3">
        <v>38108</v>
      </c>
      <c r="B690" t="s">
        <v>20</v>
      </c>
    </row>
    <row r="691" spans="1:2" x14ac:dyDescent="0.35">
      <c r="A691" s="3">
        <v>38139</v>
      </c>
      <c r="B691" t="s">
        <v>20</v>
      </c>
    </row>
    <row r="692" spans="1:2" x14ac:dyDescent="0.35">
      <c r="A692" s="3">
        <v>38169</v>
      </c>
      <c r="B692" t="s">
        <v>20</v>
      </c>
    </row>
    <row r="693" spans="1:2" x14ac:dyDescent="0.35">
      <c r="A693" s="3">
        <v>38200</v>
      </c>
      <c r="B693" t="s">
        <v>20</v>
      </c>
    </row>
    <row r="694" spans="1:2" x14ac:dyDescent="0.35">
      <c r="A694" s="3">
        <v>38231</v>
      </c>
      <c r="B694" t="s">
        <v>20</v>
      </c>
    </row>
    <row r="695" spans="1:2" x14ac:dyDescent="0.35">
      <c r="A695" s="3">
        <v>38261</v>
      </c>
      <c r="B695" t="s">
        <v>20</v>
      </c>
    </row>
    <row r="696" spans="1:2" x14ac:dyDescent="0.35">
      <c r="A696" s="3">
        <v>38292</v>
      </c>
      <c r="B696" t="s">
        <v>20</v>
      </c>
    </row>
    <row r="697" spans="1:2" x14ac:dyDescent="0.35">
      <c r="A697" s="3">
        <v>38322</v>
      </c>
      <c r="B697" t="s">
        <v>20</v>
      </c>
    </row>
    <row r="698" spans="1:2" x14ac:dyDescent="0.35">
      <c r="A698" s="3">
        <v>38353</v>
      </c>
      <c r="B698" t="s">
        <v>20</v>
      </c>
    </row>
    <row r="699" spans="1:2" x14ac:dyDescent="0.35">
      <c r="A699" s="3">
        <v>38384</v>
      </c>
      <c r="B699" t="s">
        <v>20</v>
      </c>
    </row>
    <row r="700" spans="1:2" x14ac:dyDescent="0.35">
      <c r="A700" s="3">
        <v>38412</v>
      </c>
      <c r="B700" t="s">
        <v>20</v>
      </c>
    </row>
    <row r="701" spans="1:2" x14ac:dyDescent="0.35">
      <c r="A701" s="3">
        <v>38443</v>
      </c>
      <c r="B701" t="s">
        <v>20</v>
      </c>
    </row>
    <row r="702" spans="1:2" x14ac:dyDescent="0.35">
      <c r="A702" s="3">
        <v>38473</v>
      </c>
      <c r="B702" t="s">
        <v>20</v>
      </c>
    </row>
    <row r="703" spans="1:2" x14ac:dyDescent="0.35">
      <c r="A703" s="3">
        <v>38504</v>
      </c>
      <c r="B703" t="s">
        <v>20</v>
      </c>
    </row>
    <row r="704" spans="1:2" x14ac:dyDescent="0.35">
      <c r="A704" s="3">
        <v>38534</v>
      </c>
      <c r="B704" t="s">
        <v>20</v>
      </c>
    </row>
    <row r="705" spans="1:2" x14ac:dyDescent="0.35">
      <c r="A705" s="3">
        <v>38565</v>
      </c>
      <c r="B705" t="s">
        <v>20</v>
      </c>
    </row>
    <row r="706" spans="1:2" x14ac:dyDescent="0.35">
      <c r="A706" s="3">
        <v>38596</v>
      </c>
      <c r="B706" t="s">
        <v>36</v>
      </c>
    </row>
    <row r="707" spans="1:2" x14ac:dyDescent="0.35">
      <c r="A707" s="3">
        <v>38626</v>
      </c>
      <c r="B707" t="s">
        <v>20</v>
      </c>
    </row>
    <row r="708" spans="1:2" x14ac:dyDescent="0.35">
      <c r="A708" s="3">
        <v>38657</v>
      </c>
      <c r="B708" t="s">
        <v>20</v>
      </c>
    </row>
    <row r="709" spans="1:2" x14ac:dyDescent="0.35">
      <c r="A709" s="3">
        <v>38687</v>
      </c>
      <c r="B709" t="s">
        <v>37</v>
      </c>
    </row>
    <row r="710" spans="1:2" x14ac:dyDescent="0.35">
      <c r="A710" s="3">
        <v>38718</v>
      </c>
      <c r="B710" t="s">
        <v>20</v>
      </c>
    </row>
    <row r="711" spans="1:2" x14ac:dyDescent="0.35">
      <c r="A711" s="3">
        <v>38749</v>
      </c>
      <c r="B711" t="s">
        <v>20</v>
      </c>
    </row>
    <row r="712" spans="1:2" x14ac:dyDescent="0.35">
      <c r="A712" s="3">
        <v>38777</v>
      </c>
      <c r="B712" t="s">
        <v>20</v>
      </c>
    </row>
    <row r="713" spans="1:2" x14ac:dyDescent="0.35">
      <c r="A713" s="3">
        <v>38808</v>
      </c>
      <c r="B713" t="s">
        <v>20</v>
      </c>
    </row>
    <row r="714" spans="1:2" x14ac:dyDescent="0.35">
      <c r="A714" s="3">
        <v>38838</v>
      </c>
      <c r="B714" t="s">
        <v>20</v>
      </c>
    </row>
    <row r="715" spans="1:2" x14ac:dyDescent="0.35">
      <c r="A715" s="3">
        <v>38869</v>
      </c>
      <c r="B715" t="s">
        <v>20</v>
      </c>
    </row>
    <row r="716" spans="1:2" x14ac:dyDescent="0.35">
      <c r="A716" s="3">
        <v>38899</v>
      </c>
      <c r="B716" t="s">
        <v>20</v>
      </c>
    </row>
    <row r="717" spans="1:2" x14ac:dyDescent="0.35">
      <c r="A717" s="3">
        <v>38930</v>
      </c>
      <c r="B717" t="s">
        <v>20</v>
      </c>
    </row>
    <row r="718" spans="1:2" x14ac:dyDescent="0.35">
      <c r="A718" s="3">
        <v>38961</v>
      </c>
      <c r="B718" t="s">
        <v>20</v>
      </c>
    </row>
    <row r="719" spans="1:2" x14ac:dyDescent="0.35">
      <c r="A719" s="3">
        <v>38991</v>
      </c>
      <c r="B719" t="s">
        <v>37</v>
      </c>
    </row>
    <row r="720" spans="1:2" x14ac:dyDescent="0.35">
      <c r="A720" s="3">
        <v>39022</v>
      </c>
      <c r="B720" t="s">
        <v>37</v>
      </c>
    </row>
    <row r="721" spans="1:2" x14ac:dyDescent="0.35">
      <c r="A721" s="3">
        <v>39052</v>
      </c>
      <c r="B721" t="s">
        <v>20</v>
      </c>
    </row>
    <row r="722" spans="1:2" x14ac:dyDescent="0.35">
      <c r="A722" s="3">
        <v>39083</v>
      </c>
      <c r="B722" t="s">
        <v>20</v>
      </c>
    </row>
    <row r="723" spans="1:2" x14ac:dyDescent="0.35">
      <c r="A723" s="3">
        <v>39114</v>
      </c>
      <c r="B723" t="s">
        <v>20</v>
      </c>
    </row>
    <row r="724" spans="1:2" x14ac:dyDescent="0.35">
      <c r="A724" s="3">
        <v>39142</v>
      </c>
      <c r="B724" t="s">
        <v>20</v>
      </c>
    </row>
    <row r="725" spans="1:2" x14ac:dyDescent="0.35">
      <c r="A725" s="3">
        <v>39173</v>
      </c>
      <c r="B725" t="s">
        <v>20</v>
      </c>
    </row>
    <row r="726" spans="1:2" x14ac:dyDescent="0.35">
      <c r="A726" s="3">
        <v>39203</v>
      </c>
      <c r="B726" t="s">
        <v>20</v>
      </c>
    </row>
    <row r="727" spans="1:2" x14ac:dyDescent="0.35">
      <c r="A727" s="3">
        <v>39234</v>
      </c>
      <c r="B727" t="s">
        <v>20</v>
      </c>
    </row>
    <row r="728" spans="1:2" x14ac:dyDescent="0.35">
      <c r="A728" s="3">
        <v>39264</v>
      </c>
      <c r="B728" t="s">
        <v>20</v>
      </c>
    </row>
    <row r="729" spans="1:2" x14ac:dyDescent="0.35">
      <c r="A729" s="3">
        <v>39295</v>
      </c>
      <c r="B729" t="s">
        <v>20</v>
      </c>
    </row>
    <row r="730" spans="1:2" x14ac:dyDescent="0.35">
      <c r="A730" s="3">
        <v>39326</v>
      </c>
      <c r="B730" t="s">
        <v>20</v>
      </c>
    </row>
    <row r="731" spans="1:2" x14ac:dyDescent="0.35">
      <c r="A731" s="3">
        <v>39356</v>
      </c>
      <c r="B731" t="s">
        <v>20</v>
      </c>
    </row>
    <row r="732" spans="1:2" x14ac:dyDescent="0.35">
      <c r="A732" s="3">
        <v>39387</v>
      </c>
      <c r="B732" t="s">
        <v>20</v>
      </c>
    </row>
    <row r="733" spans="1:2" x14ac:dyDescent="0.35">
      <c r="A733" s="3">
        <v>39417</v>
      </c>
      <c r="B733" t="s">
        <v>20</v>
      </c>
    </row>
    <row r="734" spans="1:2" x14ac:dyDescent="0.35">
      <c r="A734" s="3">
        <v>39448</v>
      </c>
      <c r="B734" t="s">
        <v>20</v>
      </c>
    </row>
    <row r="735" spans="1:2" x14ac:dyDescent="0.35">
      <c r="A735" s="3">
        <v>39479</v>
      </c>
      <c r="B735" t="s">
        <v>20</v>
      </c>
    </row>
    <row r="736" spans="1:2" x14ac:dyDescent="0.35">
      <c r="A736" s="3">
        <v>39508</v>
      </c>
      <c r="B736" t="s">
        <v>36</v>
      </c>
    </row>
    <row r="737" spans="1:2" x14ac:dyDescent="0.35">
      <c r="A737" s="3">
        <v>39539</v>
      </c>
      <c r="B737" t="s">
        <v>36</v>
      </c>
    </row>
    <row r="738" spans="1:2" x14ac:dyDescent="0.35">
      <c r="A738" s="3">
        <v>39569</v>
      </c>
      <c r="B738" t="s">
        <v>36</v>
      </c>
    </row>
    <row r="739" spans="1:2" x14ac:dyDescent="0.35">
      <c r="A739" s="3">
        <v>39600</v>
      </c>
      <c r="B739" t="s">
        <v>36</v>
      </c>
    </row>
    <row r="740" spans="1:2" x14ac:dyDescent="0.35">
      <c r="A740" s="3">
        <v>39630</v>
      </c>
      <c r="B740" t="s">
        <v>36</v>
      </c>
    </row>
    <row r="741" spans="1:2" x14ac:dyDescent="0.35">
      <c r="A741" s="3">
        <v>39661</v>
      </c>
      <c r="B741" t="s">
        <v>36</v>
      </c>
    </row>
    <row r="742" spans="1:2" x14ac:dyDescent="0.35">
      <c r="A742" s="3">
        <v>39692</v>
      </c>
      <c r="B742" t="s">
        <v>36</v>
      </c>
    </row>
    <row r="743" spans="1:2" x14ac:dyDescent="0.35">
      <c r="A743" s="3">
        <v>39722</v>
      </c>
      <c r="B743" t="s">
        <v>38</v>
      </c>
    </row>
    <row r="744" spans="1:2" x14ac:dyDescent="0.35">
      <c r="A744" s="3">
        <v>39753</v>
      </c>
      <c r="B744" t="s">
        <v>38</v>
      </c>
    </row>
    <row r="745" spans="1:2" x14ac:dyDescent="0.35">
      <c r="A745" s="3">
        <v>39783</v>
      </c>
      <c r="B745" t="s">
        <v>38</v>
      </c>
    </row>
    <row r="746" spans="1:2" x14ac:dyDescent="0.35">
      <c r="A746" s="3">
        <v>39814</v>
      </c>
      <c r="B746" t="s">
        <v>38</v>
      </c>
    </row>
    <row r="747" spans="1:2" x14ac:dyDescent="0.35">
      <c r="A747" s="3">
        <v>39845</v>
      </c>
      <c r="B747" t="s">
        <v>38</v>
      </c>
    </row>
    <row r="748" spans="1:2" x14ac:dyDescent="0.35">
      <c r="A748" s="3">
        <v>39873</v>
      </c>
      <c r="B748" t="s">
        <v>36</v>
      </c>
    </row>
    <row r="749" spans="1:2" x14ac:dyDescent="0.35">
      <c r="A749" s="3">
        <v>39904</v>
      </c>
      <c r="B749" t="s">
        <v>36</v>
      </c>
    </row>
    <row r="750" spans="1:2" x14ac:dyDescent="0.35">
      <c r="A750" s="3">
        <v>39934</v>
      </c>
      <c r="B750" t="s">
        <v>36</v>
      </c>
    </row>
    <row r="751" spans="1:2" x14ac:dyDescent="0.35">
      <c r="A751" s="3">
        <v>39965</v>
      </c>
      <c r="B751" t="s">
        <v>36</v>
      </c>
    </row>
    <row r="752" spans="1:2" x14ac:dyDescent="0.35">
      <c r="A752" s="3">
        <v>39995</v>
      </c>
      <c r="B752" t="s">
        <v>20</v>
      </c>
    </row>
    <row r="753" spans="1:2" x14ac:dyDescent="0.35">
      <c r="A753" s="3">
        <v>40026</v>
      </c>
      <c r="B753" t="s">
        <v>20</v>
      </c>
    </row>
    <row r="754" spans="1:2" x14ac:dyDescent="0.35">
      <c r="A754" s="3">
        <v>40057</v>
      </c>
      <c r="B754" t="s">
        <v>20</v>
      </c>
    </row>
    <row r="755" spans="1:2" x14ac:dyDescent="0.35">
      <c r="A755" s="3">
        <v>40087</v>
      </c>
      <c r="B755" t="s">
        <v>20</v>
      </c>
    </row>
    <row r="756" spans="1:2" x14ac:dyDescent="0.35">
      <c r="A756" s="3">
        <v>40118</v>
      </c>
      <c r="B756" t="s">
        <v>20</v>
      </c>
    </row>
    <row r="757" spans="1:2" x14ac:dyDescent="0.35">
      <c r="A757" s="3">
        <v>40148</v>
      </c>
      <c r="B757" t="s">
        <v>20</v>
      </c>
    </row>
    <row r="758" spans="1:2" x14ac:dyDescent="0.35">
      <c r="A758" s="3">
        <v>40179</v>
      </c>
      <c r="B758" t="s">
        <v>20</v>
      </c>
    </row>
    <row r="759" spans="1:2" x14ac:dyDescent="0.35">
      <c r="A759" s="3">
        <v>40210</v>
      </c>
      <c r="B759" t="s">
        <v>20</v>
      </c>
    </row>
    <row r="760" spans="1:2" x14ac:dyDescent="0.35">
      <c r="A760" s="3">
        <v>40238</v>
      </c>
      <c r="B760" t="s">
        <v>20</v>
      </c>
    </row>
    <row r="761" spans="1:2" x14ac:dyDescent="0.35">
      <c r="A761" s="3">
        <v>40269</v>
      </c>
      <c r="B761" t="s">
        <v>37</v>
      </c>
    </row>
    <row r="762" spans="1:2" x14ac:dyDescent="0.35">
      <c r="A762" s="3">
        <v>40299</v>
      </c>
      <c r="B762" t="s">
        <v>20</v>
      </c>
    </row>
    <row r="763" spans="1:2" x14ac:dyDescent="0.35">
      <c r="A763" s="3">
        <v>40330</v>
      </c>
      <c r="B763" t="s">
        <v>37</v>
      </c>
    </row>
    <row r="764" spans="1:2" x14ac:dyDescent="0.35">
      <c r="A764" s="3">
        <v>40360</v>
      </c>
      <c r="B764" t="s">
        <v>20</v>
      </c>
    </row>
    <row r="765" spans="1:2" x14ac:dyDescent="0.35">
      <c r="A765" s="3">
        <v>40391</v>
      </c>
      <c r="B765" t="s">
        <v>20</v>
      </c>
    </row>
    <row r="766" spans="1:2" x14ac:dyDescent="0.35">
      <c r="A766" s="3">
        <v>40422</v>
      </c>
      <c r="B766" t="s">
        <v>20</v>
      </c>
    </row>
    <row r="767" spans="1:2" x14ac:dyDescent="0.35">
      <c r="A767" s="3">
        <v>40452</v>
      </c>
      <c r="B767" t="s">
        <v>20</v>
      </c>
    </row>
    <row r="768" spans="1:2" x14ac:dyDescent="0.35">
      <c r="A768" s="3">
        <v>40483</v>
      </c>
      <c r="B768" t="s">
        <v>20</v>
      </c>
    </row>
    <row r="769" spans="1:2" x14ac:dyDescent="0.35">
      <c r="A769" s="3">
        <v>40513</v>
      </c>
      <c r="B769" t="s">
        <v>20</v>
      </c>
    </row>
    <row r="770" spans="1:2" x14ac:dyDescent="0.35">
      <c r="A770" s="3">
        <v>40544</v>
      </c>
      <c r="B770" t="s">
        <v>20</v>
      </c>
    </row>
    <row r="771" spans="1:2" x14ac:dyDescent="0.35">
      <c r="A771" s="3">
        <v>40575</v>
      </c>
      <c r="B771" t="s">
        <v>20</v>
      </c>
    </row>
    <row r="772" spans="1:2" x14ac:dyDescent="0.35">
      <c r="A772" s="3">
        <v>40603</v>
      </c>
      <c r="B772" t="s">
        <v>20</v>
      </c>
    </row>
    <row r="773" spans="1:2" x14ac:dyDescent="0.35">
      <c r="A773" s="3">
        <v>40634</v>
      </c>
      <c r="B773" t="s">
        <v>20</v>
      </c>
    </row>
    <row r="774" spans="1:2" x14ac:dyDescent="0.35">
      <c r="A774" s="3">
        <v>40664</v>
      </c>
      <c r="B774" t="s">
        <v>20</v>
      </c>
    </row>
    <row r="775" spans="1:2" x14ac:dyDescent="0.35">
      <c r="A775" s="3">
        <v>40695</v>
      </c>
      <c r="B775" t="s">
        <v>20</v>
      </c>
    </row>
    <row r="776" spans="1:2" x14ac:dyDescent="0.35">
      <c r="A776" s="3">
        <v>40725</v>
      </c>
      <c r="B776" t="s">
        <v>20</v>
      </c>
    </row>
    <row r="777" spans="1:2" x14ac:dyDescent="0.35">
      <c r="A777" s="3">
        <v>40756</v>
      </c>
      <c r="B777" t="s">
        <v>20</v>
      </c>
    </row>
    <row r="778" spans="1:2" x14ac:dyDescent="0.35">
      <c r="A778" s="3">
        <v>40787</v>
      </c>
      <c r="B778" t="s">
        <v>20</v>
      </c>
    </row>
    <row r="779" spans="1:2" x14ac:dyDescent="0.35">
      <c r="A779" s="3">
        <v>40817</v>
      </c>
      <c r="B779" t="s">
        <v>20</v>
      </c>
    </row>
    <row r="780" spans="1:2" x14ac:dyDescent="0.35">
      <c r="A780" s="3">
        <v>40848</v>
      </c>
      <c r="B780" t="s">
        <v>20</v>
      </c>
    </row>
    <row r="781" spans="1:2" x14ac:dyDescent="0.35">
      <c r="A781" s="3">
        <v>40878</v>
      </c>
      <c r="B781" t="s">
        <v>20</v>
      </c>
    </row>
    <row r="782" spans="1:2" x14ac:dyDescent="0.35">
      <c r="A782" s="3">
        <v>40909</v>
      </c>
      <c r="B782" t="s">
        <v>20</v>
      </c>
    </row>
    <row r="783" spans="1:2" x14ac:dyDescent="0.35">
      <c r="A783" s="3">
        <v>40940</v>
      </c>
      <c r="B783" t="s">
        <v>20</v>
      </c>
    </row>
    <row r="784" spans="1:2" x14ac:dyDescent="0.35">
      <c r="A784" s="3">
        <v>40969</v>
      </c>
      <c r="B784" t="s">
        <v>20</v>
      </c>
    </row>
    <row r="785" spans="1:2" x14ac:dyDescent="0.35">
      <c r="A785" s="3">
        <v>41000</v>
      </c>
      <c r="B785" t="s">
        <v>20</v>
      </c>
    </row>
    <row r="786" spans="1:2" x14ac:dyDescent="0.35">
      <c r="A786" s="3">
        <v>41030</v>
      </c>
      <c r="B786" t="s">
        <v>20</v>
      </c>
    </row>
    <row r="787" spans="1:2" x14ac:dyDescent="0.35">
      <c r="A787" s="3">
        <v>41061</v>
      </c>
      <c r="B787" t="s">
        <v>37</v>
      </c>
    </row>
    <row r="788" spans="1:2" x14ac:dyDescent="0.35">
      <c r="A788" s="3">
        <v>41091</v>
      </c>
      <c r="B788" t="s">
        <v>37</v>
      </c>
    </row>
    <row r="789" spans="1:2" x14ac:dyDescent="0.35">
      <c r="A789" s="3">
        <v>41122</v>
      </c>
      <c r="B789" t="s">
        <v>20</v>
      </c>
    </row>
    <row r="790" spans="1:2" x14ac:dyDescent="0.35">
      <c r="A790" s="3">
        <v>41153</v>
      </c>
      <c r="B790" t="s">
        <v>20</v>
      </c>
    </row>
    <row r="791" spans="1:2" x14ac:dyDescent="0.35">
      <c r="A791" s="3">
        <v>41183</v>
      </c>
      <c r="B791" t="s">
        <v>20</v>
      </c>
    </row>
    <row r="792" spans="1:2" x14ac:dyDescent="0.35">
      <c r="A792" s="3">
        <v>41214</v>
      </c>
      <c r="B792" t="s">
        <v>20</v>
      </c>
    </row>
    <row r="793" spans="1:2" x14ac:dyDescent="0.35">
      <c r="A793" s="3">
        <v>41244</v>
      </c>
      <c r="B793" t="s">
        <v>20</v>
      </c>
    </row>
    <row r="794" spans="1:2" x14ac:dyDescent="0.35">
      <c r="A794" s="3">
        <v>41275</v>
      </c>
      <c r="B794" t="s">
        <v>20</v>
      </c>
    </row>
    <row r="795" spans="1:2" x14ac:dyDescent="0.35">
      <c r="A795" s="3">
        <v>41306</v>
      </c>
      <c r="B795" t="s">
        <v>20</v>
      </c>
    </row>
    <row r="796" spans="1:2" x14ac:dyDescent="0.35">
      <c r="A796" s="3">
        <v>41334</v>
      </c>
      <c r="B796" t="s">
        <v>20</v>
      </c>
    </row>
    <row r="797" spans="1:2" x14ac:dyDescent="0.35">
      <c r="A797" s="3">
        <v>41365</v>
      </c>
      <c r="B797" t="s">
        <v>20</v>
      </c>
    </row>
    <row r="798" spans="1:2" x14ac:dyDescent="0.35">
      <c r="A798" s="3">
        <v>41395</v>
      </c>
      <c r="B798" t="s">
        <v>37</v>
      </c>
    </row>
    <row r="799" spans="1:2" x14ac:dyDescent="0.35">
      <c r="A799" s="3">
        <v>41426</v>
      </c>
      <c r="B799" t="s">
        <v>20</v>
      </c>
    </row>
    <row r="800" spans="1:2" x14ac:dyDescent="0.35">
      <c r="A800" s="3">
        <v>41456</v>
      </c>
      <c r="B800" t="s">
        <v>20</v>
      </c>
    </row>
    <row r="801" spans="1:2" x14ac:dyDescent="0.35">
      <c r="A801" s="3">
        <v>41487</v>
      </c>
      <c r="B801" t="s">
        <v>20</v>
      </c>
    </row>
    <row r="802" spans="1:2" x14ac:dyDescent="0.35">
      <c r="A802" s="3">
        <v>41518</v>
      </c>
      <c r="B802" t="s">
        <v>20</v>
      </c>
    </row>
    <row r="803" spans="1:2" x14ac:dyDescent="0.35">
      <c r="A803" s="3">
        <v>41548</v>
      </c>
      <c r="B803" t="s">
        <v>20</v>
      </c>
    </row>
    <row r="804" spans="1:2" x14ac:dyDescent="0.35">
      <c r="A804" s="3">
        <v>41579</v>
      </c>
      <c r="B804" t="s">
        <v>20</v>
      </c>
    </row>
    <row r="805" spans="1:2" x14ac:dyDescent="0.35">
      <c r="A805" s="3">
        <v>41609</v>
      </c>
      <c r="B805" t="s">
        <v>20</v>
      </c>
    </row>
    <row r="806" spans="1:2" x14ac:dyDescent="0.35">
      <c r="A806" s="3">
        <v>41640</v>
      </c>
      <c r="B806" t="s">
        <v>20</v>
      </c>
    </row>
    <row r="807" spans="1:2" x14ac:dyDescent="0.35">
      <c r="A807" s="3">
        <v>41671</v>
      </c>
      <c r="B807" t="s">
        <v>20</v>
      </c>
    </row>
    <row r="808" spans="1:2" x14ac:dyDescent="0.35">
      <c r="A808" s="3">
        <v>41699</v>
      </c>
      <c r="B808" t="s">
        <v>20</v>
      </c>
    </row>
    <row r="809" spans="1:2" x14ac:dyDescent="0.35">
      <c r="A809" s="3">
        <v>41730</v>
      </c>
      <c r="B809" t="s">
        <v>20</v>
      </c>
    </row>
    <row r="810" spans="1:2" x14ac:dyDescent="0.35">
      <c r="A810" s="3">
        <v>41760</v>
      </c>
      <c r="B810" t="s">
        <v>20</v>
      </c>
    </row>
    <row r="811" spans="1:2" x14ac:dyDescent="0.35">
      <c r="A811" s="3">
        <v>41791</v>
      </c>
      <c r="B811" t="s">
        <v>20</v>
      </c>
    </row>
    <row r="812" spans="1:2" x14ac:dyDescent="0.35">
      <c r="A812" s="3">
        <v>41821</v>
      </c>
      <c r="B812" t="s">
        <v>20</v>
      </c>
    </row>
    <row r="813" spans="1:2" x14ac:dyDescent="0.35">
      <c r="A813" s="3">
        <v>41852</v>
      </c>
      <c r="B813" t="s">
        <v>20</v>
      </c>
    </row>
    <row r="814" spans="1:2" x14ac:dyDescent="0.35">
      <c r="A814" s="3">
        <v>41883</v>
      </c>
      <c r="B814" t="s">
        <v>20</v>
      </c>
    </row>
    <row r="815" spans="1:2" x14ac:dyDescent="0.35">
      <c r="A815" s="3">
        <v>41913</v>
      </c>
      <c r="B815" t="s">
        <v>37</v>
      </c>
    </row>
    <row r="816" spans="1:2" x14ac:dyDescent="0.35">
      <c r="A816" s="3">
        <v>41944</v>
      </c>
      <c r="B816" t="s">
        <v>37</v>
      </c>
    </row>
    <row r="817" spans="1:2" x14ac:dyDescent="0.35">
      <c r="A817" s="3">
        <v>41974</v>
      </c>
      <c r="B817" t="s">
        <v>37</v>
      </c>
    </row>
    <row r="818" spans="1:2" x14ac:dyDescent="0.35">
      <c r="A818" s="3">
        <v>42005</v>
      </c>
      <c r="B818" t="s">
        <v>37</v>
      </c>
    </row>
    <row r="819" spans="1:2" x14ac:dyDescent="0.35">
      <c r="A819" s="3">
        <v>42036</v>
      </c>
      <c r="B819" t="s">
        <v>38</v>
      </c>
    </row>
    <row r="820" spans="1:2" x14ac:dyDescent="0.35">
      <c r="A820" s="3">
        <v>42064</v>
      </c>
      <c r="B820" t="s">
        <v>38</v>
      </c>
    </row>
    <row r="821" spans="1:2" x14ac:dyDescent="0.35">
      <c r="A821" s="3">
        <v>42095</v>
      </c>
      <c r="B821" t="s">
        <v>36</v>
      </c>
    </row>
    <row r="822" spans="1:2" x14ac:dyDescent="0.35">
      <c r="A822" s="3">
        <v>42125</v>
      </c>
      <c r="B822" t="s">
        <v>36</v>
      </c>
    </row>
    <row r="823" spans="1:2" x14ac:dyDescent="0.35">
      <c r="A823" s="3">
        <v>42156</v>
      </c>
      <c r="B823" t="s">
        <v>36</v>
      </c>
    </row>
    <row r="824" spans="1:2" x14ac:dyDescent="0.35">
      <c r="A824" s="3">
        <v>42186</v>
      </c>
      <c r="B824" t="s">
        <v>20</v>
      </c>
    </row>
    <row r="825" spans="1:2" x14ac:dyDescent="0.35">
      <c r="A825" s="3">
        <v>42217</v>
      </c>
      <c r="B825" t="s">
        <v>20</v>
      </c>
    </row>
    <row r="826" spans="1:2" x14ac:dyDescent="0.35">
      <c r="A826" s="3">
        <v>42248</v>
      </c>
      <c r="B826" t="s">
        <v>37</v>
      </c>
    </row>
    <row r="827" spans="1:2" x14ac:dyDescent="0.35">
      <c r="A827" s="3">
        <v>42278</v>
      </c>
      <c r="B827" t="s">
        <v>38</v>
      </c>
    </row>
    <row r="828" spans="1:2" x14ac:dyDescent="0.35">
      <c r="A828" s="3">
        <v>42309</v>
      </c>
      <c r="B828" t="s">
        <v>38</v>
      </c>
    </row>
    <row r="829" spans="1:2" x14ac:dyDescent="0.35">
      <c r="A829" s="3">
        <v>42339</v>
      </c>
      <c r="B829" t="s">
        <v>36</v>
      </c>
    </row>
    <row r="830" spans="1:2" x14ac:dyDescent="0.35">
      <c r="A830" s="3">
        <v>42370</v>
      </c>
      <c r="B830" t="s">
        <v>37</v>
      </c>
    </row>
    <row r="831" spans="1:2" x14ac:dyDescent="0.35">
      <c r="A831" s="3">
        <v>42401</v>
      </c>
      <c r="B831" t="s">
        <v>37</v>
      </c>
    </row>
    <row r="832" spans="1:2" x14ac:dyDescent="0.35">
      <c r="A832" s="3">
        <v>42430</v>
      </c>
      <c r="B832" t="s">
        <v>20</v>
      </c>
    </row>
    <row r="833" spans="1:2" x14ac:dyDescent="0.35">
      <c r="A833" s="3">
        <v>42461</v>
      </c>
      <c r="B833" t="s">
        <v>36</v>
      </c>
    </row>
    <row r="834" spans="1:2" x14ac:dyDescent="0.35">
      <c r="A834" s="3">
        <v>42491</v>
      </c>
      <c r="B834" t="s">
        <v>20</v>
      </c>
    </row>
    <row r="835" spans="1:2" x14ac:dyDescent="0.35">
      <c r="A835" s="3">
        <v>42522</v>
      </c>
      <c r="B835" t="s">
        <v>20</v>
      </c>
    </row>
    <row r="836" spans="1:2" x14ac:dyDescent="0.35">
      <c r="A836" s="3">
        <v>42552</v>
      </c>
      <c r="B836" t="s">
        <v>20</v>
      </c>
    </row>
    <row r="837" spans="1:2" x14ac:dyDescent="0.35">
      <c r="A837" s="3">
        <v>42583</v>
      </c>
      <c r="B837" t="s">
        <v>20</v>
      </c>
    </row>
    <row r="838" spans="1:2" x14ac:dyDescent="0.35">
      <c r="A838" s="3">
        <v>42614</v>
      </c>
      <c r="B838" t="s">
        <v>20</v>
      </c>
    </row>
    <row r="839" spans="1:2" x14ac:dyDescent="0.35">
      <c r="A839" s="3">
        <v>42644</v>
      </c>
      <c r="B839" t="s">
        <v>20</v>
      </c>
    </row>
    <row r="840" spans="1:2" x14ac:dyDescent="0.35">
      <c r="A840" s="3">
        <v>42675</v>
      </c>
      <c r="B840" t="s">
        <v>20</v>
      </c>
    </row>
    <row r="841" spans="1:2" x14ac:dyDescent="0.35">
      <c r="A841" s="3">
        <v>42705</v>
      </c>
      <c r="B841" t="s">
        <v>20</v>
      </c>
    </row>
    <row r="842" spans="1:2" x14ac:dyDescent="0.35">
      <c r="A842" s="3">
        <v>42736</v>
      </c>
      <c r="B842" t="s">
        <v>20</v>
      </c>
    </row>
    <row r="843" spans="1:2" x14ac:dyDescent="0.35">
      <c r="A843" s="3">
        <v>42767</v>
      </c>
      <c r="B843" t="s">
        <v>20</v>
      </c>
    </row>
    <row r="844" spans="1:2" x14ac:dyDescent="0.35">
      <c r="A844" s="3">
        <v>42795</v>
      </c>
      <c r="B844" t="s">
        <v>20</v>
      </c>
    </row>
    <row r="845" spans="1:2" x14ac:dyDescent="0.35">
      <c r="A845" s="3">
        <v>42826</v>
      </c>
      <c r="B845" t="s">
        <v>20</v>
      </c>
    </row>
    <row r="846" spans="1:2" x14ac:dyDescent="0.35">
      <c r="A846" s="3">
        <v>42856</v>
      </c>
      <c r="B846" t="s">
        <v>37</v>
      </c>
    </row>
    <row r="847" spans="1:2" x14ac:dyDescent="0.35">
      <c r="A847" s="3">
        <v>42887</v>
      </c>
      <c r="B847" t="s">
        <v>20</v>
      </c>
    </row>
    <row r="848" spans="1:2" x14ac:dyDescent="0.35">
      <c r="A848" s="3">
        <v>42917</v>
      </c>
      <c r="B848" t="s">
        <v>20</v>
      </c>
    </row>
    <row r="849" spans="1:2" x14ac:dyDescent="0.35">
      <c r="A849" s="3">
        <v>42948</v>
      </c>
      <c r="B849" t="s">
        <v>20</v>
      </c>
    </row>
    <row r="850" spans="1:2" x14ac:dyDescent="0.35">
      <c r="A850" s="3">
        <v>42979</v>
      </c>
      <c r="B850" t="s">
        <v>20</v>
      </c>
    </row>
    <row r="851" spans="1:2" x14ac:dyDescent="0.35">
      <c r="A851" s="3">
        <v>43009</v>
      </c>
      <c r="B851" t="s">
        <v>20</v>
      </c>
    </row>
    <row r="852" spans="1:2" x14ac:dyDescent="0.35">
      <c r="A852" s="3">
        <v>43040</v>
      </c>
      <c r="B852" t="s">
        <v>20</v>
      </c>
    </row>
    <row r="853" spans="1:2" x14ac:dyDescent="0.35">
      <c r="A853" s="3">
        <v>43070</v>
      </c>
      <c r="B853" t="s">
        <v>20</v>
      </c>
    </row>
    <row r="854" spans="1:2" x14ac:dyDescent="0.35">
      <c r="A854" s="3">
        <v>43101</v>
      </c>
      <c r="B854" t="s">
        <v>20</v>
      </c>
    </row>
    <row r="855" spans="1:2" x14ac:dyDescent="0.35">
      <c r="A855" s="3">
        <v>43132</v>
      </c>
      <c r="B855" t="s">
        <v>20</v>
      </c>
    </row>
    <row r="856" spans="1:2" x14ac:dyDescent="0.35">
      <c r="A856" s="3">
        <v>43160</v>
      </c>
      <c r="B856" t="s">
        <v>20</v>
      </c>
    </row>
    <row r="857" spans="1:2" x14ac:dyDescent="0.35">
      <c r="A857" s="3">
        <v>43191</v>
      </c>
      <c r="B857" t="s">
        <v>20</v>
      </c>
    </row>
    <row r="858" spans="1:2" x14ac:dyDescent="0.35">
      <c r="A858" s="3">
        <v>43221</v>
      </c>
      <c r="B858" t="s">
        <v>20</v>
      </c>
    </row>
    <row r="859" spans="1:2" x14ac:dyDescent="0.35">
      <c r="A859" s="3">
        <v>43252</v>
      </c>
      <c r="B859" t="s">
        <v>20</v>
      </c>
    </row>
    <row r="860" spans="1:2" x14ac:dyDescent="0.35">
      <c r="A860" s="3">
        <v>43282</v>
      </c>
      <c r="B860" t="s">
        <v>20</v>
      </c>
    </row>
    <row r="861" spans="1:2" x14ac:dyDescent="0.35">
      <c r="A861" s="3">
        <v>43313</v>
      </c>
      <c r="B861" t="s">
        <v>20</v>
      </c>
    </row>
    <row r="862" spans="1:2" x14ac:dyDescent="0.35">
      <c r="A862" s="3">
        <v>43344</v>
      </c>
      <c r="B862" t="s">
        <v>20</v>
      </c>
    </row>
    <row r="863" spans="1:2" x14ac:dyDescent="0.35">
      <c r="A863" s="3">
        <v>43374</v>
      </c>
      <c r="B863" t="s">
        <v>20</v>
      </c>
    </row>
    <row r="864" spans="1:2" x14ac:dyDescent="0.35">
      <c r="A864" s="3">
        <v>43405</v>
      </c>
      <c r="B864" t="s">
        <v>20</v>
      </c>
    </row>
    <row r="865" spans="1:2" x14ac:dyDescent="0.35">
      <c r="A865" s="3">
        <v>43435</v>
      </c>
      <c r="B865" t="s">
        <v>20</v>
      </c>
    </row>
    <row r="866" spans="1:2" x14ac:dyDescent="0.35">
      <c r="A866" s="3">
        <v>43466</v>
      </c>
      <c r="B866" t="s">
        <v>37</v>
      </c>
    </row>
    <row r="867" spans="1:2" x14ac:dyDescent="0.35">
      <c r="A867" s="3">
        <v>43497</v>
      </c>
      <c r="B867" t="s">
        <v>36</v>
      </c>
    </row>
    <row r="868" spans="1:2" x14ac:dyDescent="0.35">
      <c r="A868" s="3">
        <v>43525</v>
      </c>
      <c r="B868" t="s">
        <v>36</v>
      </c>
    </row>
    <row r="869" spans="1:2" x14ac:dyDescent="0.35">
      <c r="A869" s="3">
        <v>43556</v>
      </c>
      <c r="B869" t="s">
        <v>36</v>
      </c>
    </row>
    <row r="870" spans="1:2" x14ac:dyDescent="0.35">
      <c r="A870" s="3">
        <v>43586</v>
      </c>
      <c r="B870" t="s">
        <v>20</v>
      </c>
    </row>
    <row r="871" spans="1:2" x14ac:dyDescent="0.35">
      <c r="A871" s="3">
        <v>43617</v>
      </c>
      <c r="B871" t="s">
        <v>20</v>
      </c>
    </row>
    <row r="872" spans="1:2" x14ac:dyDescent="0.35">
      <c r="A872" s="3">
        <v>43647</v>
      </c>
      <c r="B872" t="s">
        <v>20</v>
      </c>
    </row>
    <row r="873" spans="1:2" x14ac:dyDescent="0.35">
      <c r="A873" s="3">
        <v>43678</v>
      </c>
      <c r="B873" t="s">
        <v>20</v>
      </c>
    </row>
    <row r="874" spans="1:2" x14ac:dyDescent="0.35">
      <c r="A874" s="3">
        <v>43709</v>
      </c>
      <c r="B874" t="s">
        <v>20</v>
      </c>
    </row>
    <row r="875" spans="1:2" x14ac:dyDescent="0.35">
      <c r="A875" s="3">
        <v>43739</v>
      </c>
      <c r="B875" t="s">
        <v>20</v>
      </c>
    </row>
    <row r="876" spans="1:2" x14ac:dyDescent="0.35">
      <c r="A876" s="3">
        <v>43770</v>
      </c>
      <c r="B876" t="s">
        <v>20</v>
      </c>
    </row>
    <row r="877" spans="1:2" x14ac:dyDescent="0.35">
      <c r="A877" s="3">
        <v>43800</v>
      </c>
      <c r="B877" t="s">
        <v>20</v>
      </c>
    </row>
    <row r="878" spans="1:2" x14ac:dyDescent="0.35">
      <c r="A878" s="3">
        <v>43831</v>
      </c>
      <c r="B878" t="s">
        <v>20</v>
      </c>
    </row>
    <row r="879" spans="1:2" x14ac:dyDescent="0.35">
      <c r="A879" s="3">
        <v>43862</v>
      </c>
      <c r="B879" t="s">
        <v>20</v>
      </c>
    </row>
    <row r="880" spans="1:2" x14ac:dyDescent="0.35">
      <c r="A880" s="3">
        <v>43891</v>
      </c>
      <c r="B880" t="s">
        <v>38</v>
      </c>
    </row>
    <row r="881" spans="1:2" x14ac:dyDescent="0.35">
      <c r="A881" s="3">
        <v>43922</v>
      </c>
      <c r="B881" t="s">
        <v>38</v>
      </c>
    </row>
    <row r="882" spans="1:2" x14ac:dyDescent="0.35">
      <c r="A882" s="3">
        <v>43952</v>
      </c>
      <c r="B882" t="s">
        <v>38</v>
      </c>
    </row>
    <row r="883" spans="1:2" x14ac:dyDescent="0.35">
      <c r="A883" s="3">
        <v>43983</v>
      </c>
      <c r="B883" t="s">
        <v>38</v>
      </c>
    </row>
    <row r="884" spans="1:2" x14ac:dyDescent="0.35">
      <c r="A884" s="3">
        <v>44013</v>
      </c>
      <c r="B884" t="s">
        <v>20</v>
      </c>
    </row>
    <row r="885" spans="1:2" x14ac:dyDescent="0.35">
      <c r="A885" s="3">
        <v>44044</v>
      </c>
      <c r="B885" t="s">
        <v>20</v>
      </c>
    </row>
    <row r="886" spans="1:2" x14ac:dyDescent="0.35">
      <c r="A886" s="3">
        <v>44075</v>
      </c>
      <c r="B886" t="s">
        <v>20</v>
      </c>
    </row>
    <row r="887" spans="1:2" x14ac:dyDescent="0.35">
      <c r="A887" s="3">
        <v>44105</v>
      </c>
      <c r="B887" t="s">
        <v>20</v>
      </c>
    </row>
    <row r="888" spans="1:2" x14ac:dyDescent="0.35">
      <c r="A888" s="3">
        <v>44136</v>
      </c>
      <c r="B888" t="s">
        <v>20</v>
      </c>
    </row>
    <row r="889" spans="1:2" x14ac:dyDescent="0.35">
      <c r="A889" s="3">
        <v>44166</v>
      </c>
      <c r="B889" t="s">
        <v>20</v>
      </c>
    </row>
    <row r="890" spans="1:2" x14ac:dyDescent="0.35">
      <c r="A890" s="3">
        <v>44197</v>
      </c>
      <c r="B890" t="s">
        <v>20</v>
      </c>
    </row>
    <row r="891" spans="1:2" x14ac:dyDescent="0.35">
      <c r="A891" s="3">
        <v>44228</v>
      </c>
      <c r="B891" t="s">
        <v>36</v>
      </c>
    </row>
    <row r="892" spans="1:2" x14ac:dyDescent="0.35">
      <c r="A892" s="3">
        <v>44256</v>
      </c>
      <c r="B892" t="s">
        <v>20</v>
      </c>
    </row>
    <row r="893" spans="1:2" x14ac:dyDescent="0.35">
      <c r="A893" s="3">
        <v>44287</v>
      </c>
      <c r="B893" t="s">
        <v>20</v>
      </c>
    </row>
    <row r="894" spans="1:2" x14ac:dyDescent="0.35">
      <c r="A894" s="3">
        <v>44317</v>
      </c>
      <c r="B894" t="s">
        <v>20</v>
      </c>
    </row>
    <row r="895" spans="1:2" x14ac:dyDescent="0.35">
      <c r="A895" s="3">
        <v>44348</v>
      </c>
      <c r="B895" t="s">
        <v>20</v>
      </c>
    </row>
    <row r="896" spans="1:2" x14ac:dyDescent="0.35">
      <c r="A896" s="3">
        <v>44378</v>
      </c>
      <c r="B896" t="s">
        <v>20</v>
      </c>
    </row>
    <row r="897" spans="1:2" x14ac:dyDescent="0.35">
      <c r="A897" s="3">
        <v>44409</v>
      </c>
      <c r="B897" t="s">
        <v>20</v>
      </c>
    </row>
    <row r="898" spans="1:2" x14ac:dyDescent="0.35">
      <c r="A898" s="3">
        <v>44440</v>
      </c>
      <c r="B898" t="s">
        <v>36</v>
      </c>
    </row>
    <row r="899" spans="1:2" x14ac:dyDescent="0.35">
      <c r="A899" s="3">
        <v>44470</v>
      </c>
      <c r="B899" t="s">
        <v>20</v>
      </c>
    </row>
    <row r="900" spans="1:2" x14ac:dyDescent="0.35">
      <c r="A900" s="3">
        <v>44501</v>
      </c>
      <c r="B900" t="s">
        <v>20</v>
      </c>
    </row>
    <row r="901" spans="1:2" x14ac:dyDescent="0.35">
      <c r="A901" s="3">
        <v>44531</v>
      </c>
      <c r="B901" t="s">
        <v>20</v>
      </c>
    </row>
    <row r="902" spans="1:2" x14ac:dyDescent="0.35">
      <c r="A902" s="3">
        <v>44562</v>
      </c>
      <c r="B902" t="s">
        <v>20</v>
      </c>
    </row>
    <row r="903" spans="1:2" x14ac:dyDescent="0.35">
      <c r="A903" s="3">
        <v>44593</v>
      </c>
      <c r="B903" t="s">
        <v>20</v>
      </c>
    </row>
    <row r="904" spans="1:2" x14ac:dyDescent="0.35">
      <c r="A904" s="3">
        <v>44621</v>
      </c>
      <c r="B904" t="s">
        <v>20</v>
      </c>
    </row>
    <row r="905" spans="1:2" x14ac:dyDescent="0.35">
      <c r="A905" s="3">
        <v>44652</v>
      </c>
      <c r="B905" t="s">
        <v>20</v>
      </c>
    </row>
    <row r="906" spans="1:2" x14ac:dyDescent="0.35">
      <c r="A906" s="3">
        <v>44682</v>
      </c>
      <c r="B906" t="s">
        <v>20</v>
      </c>
    </row>
    <row r="907" spans="1:2" x14ac:dyDescent="0.35">
      <c r="A907" s="3">
        <v>44713</v>
      </c>
      <c r="B907" t="s">
        <v>20</v>
      </c>
    </row>
    <row r="908" spans="1:2" x14ac:dyDescent="0.35">
      <c r="A908" s="3">
        <v>44743</v>
      </c>
      <c r="B908" t="s">
        <v>20</v>
      </c>
    </row>
    <row r="909" spans="1:2" x14ac:dyDescent="0.35">
      <c r="A909" s="3">
        <v>44774</v>
      </c>
      <c r="B909" t="s">
        <v>20</v>
      </c>
    </row>
    <row r="910" spans="1:2" x14ac:dyDescent="0.35">
      <c r="A910" s="3">
        <v>44805</v>
      </c>
      <c r="B910" t="s">
        <v>20</v>
      </c>
    </row>
    <row r="911" spans="1:2" x14ac:dyDescent="0.35">
      <c r="A911" s="3">
        <v>44835</v>
      </c>
      <c r="B911" t="s">
        <v>20</v>
      </c>
    </row>
    <row r="912" spans="1:2" x14ac:dyDescent="0.35">
      <c r="A912" s="3">
        <v>44866</v>
      </c>
      <c r="B912" t="s">
        <v>20</v>
      </c>
    </row>
    <row r="913" spans="1:2" x14ac:dyDescent="0.35">
      <c r="A913" s="3">
        <v>44896</v>
      </c>
      <c r="B913" t="s">
        <v>36</v>
      </c>
    </row>
    <row r="914" spans="1:2" x14ac:dyDescent="0.35">
      <c r="A914" s="3">
        <v>44927</v>
      </c>
      <c r="B914" t="s">
        <v>20</v>
      </c>
    </row>
    <row r="915" spans="1:2" x14ac:dyDescent="0.35">
      <c r="A915" s="3">
        <v>44958</v>
      </c>
      <c r="B915" t="s">
        <v>20</v>
      </c>
    </row>
    <row r="916" spans="1:2" x14ac:dyDescent="0.35">
      <c r="A916" s="3">
        <v>44986</v>
      </c>
      <c r="B916" t="s">
        <v>20</v>
      </c>
    </row>
    <row r="917" spans="1:2" x14ac:dyDescent="0.35">
      <c r="A917" s="3">
        <v>45017</v>
      </c>
      <c r="B917" t="s">
        <v>20</v>
      </c>
    </row>
    <row r="918" spans="1:2" x14ac:dyDescent="0.35">
      <c r="A918" s="3">
        <v>45047</v>
      </c>
      <c r="B918" t="s">
        <v>20</v>
      </c>
    </row>
    <row r="919" spans="1:2" x14ac:dyDescent="0.35">
      <c r="A919" s="3">
        <v>45078</v>
      </c>
      <c r="B919" t="s">
        <v>36</v>
      </c>
    </row>
    <row r="920" spans="1:2" x14ac:dyDescent="0.35">
      <c r="A920" s="3">
        <v>45108</v>
      </c>
      <c r="B920" t="s">
        <v>20</v>
      </c>
    </row>
    <row r="921" spans="1:2" x14ac:dyDescent="0.35">
      <c r="A921" s="3">
        <v>45139</v>
      </c>
      <c r="B921" t="s">
        <v>20</v>
      </c>
    </row>
    <row r="922" spans="1:2" x14ac:dyDescent="0.35">
      <c r="A922" s="3">
        <v>45170</v>
      </c>
      <c r="B922" t="s">
        <v>20</v>
      </c>
    </row>
    <row r="923" spans="1:2" x14ac:dyDescent="0.35">
      <c r="A923" s="3">
        <v>45200</v>
      </c>
      <c r="B923" t="s">
        <v>20</v>
      </c>
    </row>
    <row r="924" spans="1:2" x14ac:dyDescent="0.35">
      <c r="A924" s="3">
        <v>45231</v>
      </c>
      <c r="B924" t="s">
        <v>20</v>
      </c>
    </row>
    <row r="925" spans="1:2" x14ac:dyDescent="0.35">
      <c r="A925" s="3">
        <v>45261</v>
      </c>
      <c r="B925" t="s">
        <v>20</v>
      </c>
    </row>
    <row r="926" spans="1:2" x14ac:dyDescent="0.35">
      <c r="A926" s="3">
        <v>45292</v>
      </c>
      <c r="B926" t="s">
        <v>36</v>
      </c>
    </row>
    <row r="927" spans="1:2" x14ac:dyDescent="0.35">
      <c r="A927" s="3">
        <v>45323</v>
      </c>
      <c r="B927" t="s">
        <v>20</v>
      </c>
    </row>
    <row r="928" spans="1:2" x14ac:dyDescent="0.35">
      <c r="A928" s="3">
        <v>45352</v>
      </c>
      <c r="B928" t="s">
        <v>20</v>
      </c>
    </row>
    <row r="929" spans="1:2" x14ac:dyDescent="0.35">
      <c r="A929" s="3">
        <v>45383</v>
      </c>
      <c r="B929" t="s">
        <v>20</v>
      </c>
    </row>
    <row r="930" spans="1:2" x14ac:dyDescent="0.35">
      <c r="A930" s="3">
        <v>45413</v>
      </c>
      <c r="B930" t="s">
        <v>20</v>
      </c>
    </row>
    <row r="931" spans="1:2" x14ac:dyDescent="0.35">
      <c r="A931" s="3">
        <v>45444</v>
      </c>
      <c r="B931" t="s">
        <v>20</v>
      </c>
    </row>
    <row r="932" spans="1:2" x14ac:dyDescent="0.35">
      <c r="A932" s="3">
        <v>45474</v>
      </c>
      <c r="B932" t="s">
        <v>20</v>
      </c>
    </row>
    <row r="933" spans="1:2" x14ac:dyDescent="0.35">
      <c r="A933" s="3">
        <v>45505</v>
      </c>
      <c r="B933" t="s">
        <v>20</v>
      </c>
    </row>
    <row r="934" spans="1:2" x14ac:dyDescent="0.35">
      <c r="A934" s="3">
        <v>45536</v>
      </c>
      <c r="B934" t="s">
        <v>36</v>
      </c>
    </row>
    <row r="935" spans="1:2" x14ac:dyDescent="0.35">
      <c r="A935" s="3">
        <v>45566</v>
      </c>
      <c r="B935" t="s">
        <v>20</v>
      </c>
    </row>
    <row r="936" spans="1:2" x14ac:dyDescent="0.35">
      <c r="A936" s="3">
        <v>45597</v>
      </c>
      <c r="B936" t="s">
        <v>36</v>
      </c>
    </row>
    <row r="937" spans="1:2" x14ac:dyDescent="0.35">
      <c r="A937" s="3">
        <v>45627</v>
      </c>
      <c r="B937" t="s">
        <v>20</v>
      </c>
    </row>
    <row r="938" spans="1:2" x14ac:dyDescent="0.35">
      <c r="A938" s="3">
        <v>45658</v>
      </c>
      <c r="B938" t="s">
        <v>20</v>
      </c>
    </row>
    <row r="939" spans="1:2" x14ac:dyDescent="0.35">
      <c r="A939" s="3">
        <v>45689</v>
      </c>
      <c r="B939" t="s">
        <v>20</v>
      </c>
    </row>
    <row r="940" spans="1:2" x14ac:dyDescent="0.35">
      <c r="A940" s="3">
        <v>45717</v>
      </c>
      <c r="B940" t="s">
        <v>20</v>
      </c>
    </row>
    <row r="941" spans="1:2" x14ac:dyDescent="0.35">
      <c r="A941" s="3">
        <v>45748</v>
      </c>
      <c r="B941" t="s">
        <v>20</v>
      </c>
    </row>
    <row r="942" spans="1:2" x14ac:dyDescent="0.35">
      <c r="A942" s="3">
        <v>45778</v>
      </c>
      <c r="B942" t="s">
        <v>20</v>
      </c>
    </row>
    <row r="943" spans="1:2" x14ac:dyDescent="0.35">
      <c r="A943" s="3">
        <v>45809</v>
      </c>
      <c r="B943" t="s">
        <v>20</v>
      </c>
    </row>
    <row r="944" spans="1:2" x14ac:dyDescent="0.35">
      <c r="A944" s="3">
        <v>45839</v>
      </c>
      <c r="B944" t="s">
        <v>20</v>
      </c>
    </row>
    <row r="945" spans="1:2" x14ac:dyDescent="0.35">
      <c r="A945" s="3">
        <v>45870</v>
      </c>
      <c r="B945" t="s">
        <v>20</v>
      </c>
    </row>
    <row r="946" spans="1:2" x14ac:dyDescent="0.35">
      <c r="A946" s="3">
        <v>45901</v>
      </c>
      <c r="B946" t="s">
        <v>20</v>
      </c>
    </row>
    <row r="947" spans="1:2" x14ac:dyDescent="0.35">
      <c r="A947" s="3">
        <v>45931</v>
      </c>
      <c r="B947" t="s">
        <v>37</v>
      </c>
    </row>
    <row r="948" spans="1:2" x14ac:dyDescent="0.35">
      <c r="A948" s="3">
        <v>45962</v>
      </c>
      <c r="B948" t="s">
        <v>37</v>
      </c>
    </row>
    <row r="949" spans="1:2" x14ac:dyDescent="0.35">
      <c r="A949" s="3">
        <v>45992</v>
      </c>
      <c r="B949" t="s">
        <v>37</v>
      </c>
    </row>
    <row r="950" spans="1:2" x14ac:dyDescent="0.35">
      <c r="A950" s="3">
        <v>46023</v>
      </c>
      <c r="B950" t="s">
        <v>20</v>
      </c>
    </row>
    <row r="951" spans="1:2" x14ac:dyDescent="0.35">
      <c r="A951" s="3">
        <v>46054</v>
      </c>
      <c r="B95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4375-4EC1-4042-93A3-C3F236A5DAF2}">
  <dimension ref="A1:C951"/>
  <sheetViews>
    <sheetView workbookViewId="0">
      <selection activeCell="F8" sqref="F8"/>
    </sheetView>
  </sheetViews>
  <sheetFormatPr defaultRowHeight="14.5" x14ac:dyDescent="0.35"/>
  <sheetData>
    <row r="1" spans="1:3" x14ac:dyDescent="0.35">
      <c r="A1" t="s">
        <v>25</v>
      </c>
      <c r="B1" t="s">
        <v>26</v>
      </c>
      <c r="C1" t="s">
        <v>27</v>
      </c>
    </row>
    <row r="5" spans="1:3" x14ac:dyDescent="0.35">
      <c r="A5">
        <v>0</v>
      </c>
      <c r="B5">
        <v>0</v>
      </c>
      <c r="C5">
        <v>0</v>
      </c>
    </row>
    <row r="6" spans="1:3" x14ac:dyDescent="0.35">
      <c r="A6">
        <v>0</v>
      </c>
      <c r="B6">
        <v>0</v>
      </c>
      <c r="C6">
        <v>0</v>
      </c>
    </row>
    <row r="7" spans="1:3" x14ac:dyDescent="0.35">
      <c r="A7">
        <v>0</v>
      </c>
      <c r="B7">
        <v>0</v>
      </c>
      <c r="C7">
        <v>0</v>
      </c>
    </row>
    <row r="8" spans="1:3" x14ac:dyDescent="0.35">
      <c r="A8">
        <v>0</v>
      </c>
      <c r="B8">
        <v>0</v>
      </c>
      <c r="C8">
        <v>0</v>
      </c>
    </row>
    <row r="9" spans="1:3" x14ac:dyDescent="0.35">
      <c r="A9">
        <v>0</v>
      </c>
      <c r="B9">
        <v>0</v>
      </c>
      <c r="C9">
        <v>0</v>
      </c>
    </row>
    <row r="10" spans="1:3" x14ac:dyDescent="0.35">
      <c r="A10">
        <v>0</v>
      </c>
      <c r="B10">
        <v>0</v>
      </c>
      <c r="C10">
        <v>0</v>
      </c>
    </row>
    <row r="11" spans="1:3" x14ac:dyDescent="0.35">
      <c r="A11">
        <v>0</v>
      </c>
      <c r="B11">
        <v>0</v>
      </c>
      <c r="C11">
        <v>0</v>
      </c>
    </row>
    <row r="12" spans="1:3" x14ac:dyDescent="0.35">
      <c r="A12">
        <v>0</v>
      </c>
      <c r="B12">
        <v>0</v>
      </c>
      <c r="C12">
        <v>0</v>
      </c>
    </row>
    <row r="13" spans="1:3" x14ac:dyDescent="0.35">
      <c r="A13">
        <v>0</v>
      </c>
      <c r="B13">
        <v>0</v>
      </c>
      <c r="C13">
        <v>0</v>
      </c>
    </row>
    <row r="14" spans="1:3" x14ac:dyDescent="0.35">
      <c r="A14">
        <v>0</v>
      </c>
      <c r="B14">
        <v>0</v>
      </c>
      <c r="C14">
        <v>0</v>
      </c>
    </row>
    <row r="15" spans="1:3" x14ac:dyDescent="0.35">
      <c r="A15">
        <v>0</v>
      </c>
      <c r="B15">
        <v>0</v>
      </c>
      <c r="C15">
        <v>0</v>
      </c>
    </row>
    <row r="16" spans="1:3" x14ac:dyDescent="0.35">
      <c r="A16">
        <v>0</v>
      </c>
      <c r="B16">
        <v>0</v>
      </c>
      <c r="C16">
        <v>0</v>
      </c>
    </row>
    <row r="17" spans="1:3" x14ac:dyDescent="0.35">
      <c r="A17">
        <v>0</v>
      </c>
      <c r="B17">
        <v>0</v>
      </c>
      <c r="C17">
        <v>0</v>
      </c>
    </row>
    <row r="18" spans="1:3" x14ac:dyDescent="0.35">
      <c r="A18">
        <v>0</v>
      </c>
      <c r="B18">
        <v>0</v>
      </c>
      <c r="C18">
        <v>0</v>
      </c>
    </row>
    <row r="19" spans="1:3" x14ac:dyDescent="0.35">
      <c r="A19">
        <v>0</v>
      </c>
      <c r="B19">
        <v>0</v>
      </c>
      <c r="C19">
        <v>0</v>
      </c>
    </row>
    <row r="20" spans="1:3" x14ac:dyDescent="0.35">
      <c r="A20">
        <v>0</v>
      </c>
      <c r="B20">
        <v>0</v>
      </c>
      <c r="C20">
        <v>0</v>
      </c>
    </row>
    <row r="21" spans="1:3" x14ac:dyDescent="0.35">
      <c r="A21">
        <v>0</v>
      </c>
      <c r="B21">
        <v>0</v>
      </c>
      <c r="C21">
        <v>0</v>
      </c>
    </row>
    <row r="22" spans="1:3" x14ac:dyDescent="0.35">
      <c r="A22">
        <v>0</v>
      </c>
      <c r="B22">
        <v>0</v>
      </c>
      <c r="C22">
        <v>0</v>
      </c>
    </row>
    <row r="23" spans="1:3" x14ac:dyDescent="0.35">
      <c r="A23">
        <v>0</v>
      </c>
      <c r="B23">
        <v>1</v>
      </c>
      <c r="C23">
        <v>0</v>
      </c>
    </row>
    <row r="24" spans="1:3" x14ac:dyDescent="0.35">
      <c r="A24">
        <v>0</v>
      </c>
      <c r="B24">
        <v>1</v>
      </c>
      <c r="C24">
        <v>0</v>
      </c>
    </row>
    <row r="25" spans="1:3" x14ac:dyDescent="0.35">
      <c r="A25">
        <v>1</v>
      </c>
      <c r="B25">
        <v>1</v>
      </c>
      <c r="C25">
        <v>1</v>
      </c>
    </row>
    <row r="26" spans="1:3" x14ac:dyDescent="0.35">
      <c r="A26">
        <v>1</v>
      </c>
      <c r="B26">
        <v>1</v>
      </c>
      <c r="C26">
        <v>1</v>
      </c>
    </row>
    <row r="27" spans="1:3" x14ac:dyDescent="0.35">
      <c r="A27">
        <v>1</v>
      </c>
      <c r="B27">
        <v>1</v>
      </c>
      <c r="C27">
        <v>1</v>
      </c>
    </row>
    <row r="28" spans="1:3" x14ac:dyDescent="0.35">
      <c r="A28">
        <v>1</v>
      </c>
      <c r="B28">
        <v>1</v>
      </c>
      <c r="C28">
        <v>1</v>
      </c>
    </row>
    <row r="29" spans="1:3" x14ac:dyDescent="0.35">
      <c r="A29">
        <v>1</v>
      </c>
      <c r="B29">
        <v>1</v>
      </c>
      <c r="C29">
        <v>1</v>
      </c>
    </row>
    <row r="30" spans="1:3" x14ac:dyDescent="0.35">
      <c r="A30">
        <v>1</v>
      </c>
      <c r="B30">
        <v>0</v>
      </c>
      <c r="C30">
        <v>1</v>
      </c>
    </row>
    <row r="31" spans="1:3" x14ac:dyDescent="0.35">
      <c r="A31">
        <v>1</v>
      </c>
      <c r="B31">
        <v>0</v>
      </c>
      <c r="C31">
        <v>1</v>
      </c>
    </row>
    <row r="32" spans="1:3" x14ac:dyDescent="0.35">
      <c r="A32">
        <v>1</v>
      </c>
      <c r="B32">
        <v>1</v>
      </c>
      <c r="C32">
        <v>1</v>
      </c>
    </row>
    <row r="33" spans="1:3" x14ac:dyDescent="0.35">
      <c r="A33">
        <v>1</v>
      </c>
      <c r="B33">
        <v>0</v>
      </c>
      <c r="C33">
        <v>1</v>
      </c>
    </row>
    <row r="34" spans="1:3" x14ac:dyDescent="0.35">
      <c r="A34">
        <v>1</v>
      </c>
      <c r="B34">
        <v>1</v>
      </c>
      <c r="C34">
        <v>1</v>
      </c>
    </row>
    <row r="35" spans="1:3" x14ac:dyDescent="0.35">
      <c r="A35">
        <v>1</v>
      </c>
      <c r="B35">
        <v>1</v>
      </c>
      <c r="C35">
        <v>1</v>
      </c>
    </row>
    <row r="36" spans="1:3" x14ac:dyDescent="0.35">
      <c r="A36">
        <v>1</v>
      </c>
      <c r="B36">
        <v>0</v>
      </c>
      <c r="C36">
        <v>0</v>
      </c>
    </row>
    <row r="37" spans="1:3" x14ac:dyDescent="0.35">
      <c r="A37">
        <v>1</v>
      </c>
      <c r="B37">
        <v>0</v>
      </c>
      <c r="C37">
        <v>0</v>
      </c>
    </row>
    <row r="38" spans="1:3" x14ac:dyDescent="0.35">
      <c r="A38">
        <v>1</v>
      </c>
      <c r="B38">
        <v>0</v>
      </c>
      <c r="C38">
        <v>0</v>
      </c>
    </row>
    <row r="39" spans="1:3" x14ac:dyDescent="0.35">
      <c r="A39">
        <v>0</v>
      </c>
      <c r="B39">
        <v>0</v>
      </c>
      <c r="C39">
        <v>0</v>
      </c>
    </row>
    <row r="40" spans="1:3" x14ac:dyDescent="0.35">
      <c r="A40">
        <v>0</v>
      </c>
      <c r="B40">
        <v>0</v>
      </c>
      <c r="C40">
        <v>0</v>
      </c>
    </row>
    <row r="41" spans="1:3" x14ac:dyDescent="0.35">
      <c r="A41">
        <v>0</v>
      </c>
      <c r="B41">
        <v>0</v>
      </c>
      <c r="C41">
        <v>0</v>
      </c>
    </row>
    <row r="42" spans="1:3" x14ac:dyDescent="0.35">
      <c r="A42">
        <v>0</v>
      </c>
      <c r="B42">
        <v>0</v>
      </c>
      <c r="C42">
        <v>0</v>
      </c>
    </row>
    <row r="43" spans="1:3" x14ac:dyDescent="0.35">
      <c r="A43">
        <v>0</v>
      </c>
      <c r="B43">
        <v>0</v>
      </c>
      <c r="C43">
        <v>0</v>
      </c>
    </row>
    <row r="44" spans="1:3" x14ac:dyDescent="0.35">
      <c r="A44">
        <v>0</v>
      </c>
      <c r="B44">
        <v>0</v>
      </c>
      <c r="C44">
        <v>0</v>
      </c>
    </row>
    <row r="45" spans="1:3" x14ac:dyDescent="0.35">
      <c r="A45">
        <v>0</v>
      </c>
      <c r="B45">
        <v>0</v>
      </c>
      <c r="C45">
        <v>0</v>
      </c>
    </row>
    <row r="46" spans="1:3" x14ac:dyDescent="0.35">
      <c r="A46">
        <v>0</v>
      </c>
      <c r="B46">
        <v>0</v>
      </c>
      <c r="C46">
        <v>0</v>
      </c>
    </row>
    <row r="47" spans="1:3" x14ac:dyDescent="0.35">
      <c r="A47">
        <v>0</v>
      </c>
      <c r="B47">
        <v>0</v>
      </c>
      <c r="C47">
        <v>0</v>
      </c>
    </row>
    <row r="48" spans="1:3" x14ac:dyDescent="0.35">
      <c r="A48">
        <v>0</v>
      </c>
      <c r="B48">
        <v>0</v>
      </c>
      <c r="C48">
        <v>0</v>
      </c>
    </row>
    <row r="49" spans="1:3" x14ac:dyDescent="0.35">
      <c r="A49">
        <v>0</v>
      </c>
      <c r="B49">
        <v>0</v>
      </c>
      <c r="C49">
        <v>0</v>
      </c>
    </row>
    <row r="50" spans="1:3" x14ac:dyDescent="0.35">
      <c r="A50">
        <v>0</v>
      </c>
      <c r="B50">
        <v>0</v>
      </c>
      <c r="C50">
        <v>0</v>
      </c>
    </row>
    <row r="51" spans="1:3" x14ac:dyDescent="0.35">
      <c r="A51">
        <v>0</v>
      </c>
      <c r="B51">
        <v>0</v>
      </c>
      <c r="C51">
        <v>0</v>
      </c>
    </row>
    <row r="52" spans="1:3" x14ac:dyDescent="0.35">
      <c r="A52">
        <v>0</v>
      </c>
      <c r="B52">
        <v>0</v>
      </c>
      <c r="C52">
        <v>0</v>
      </c>
    </row>
    <row r="53" spans="1:3" x14ac:dyDescent="0.35">
      <c r="A53">
        <v>0</v>
      </c>
      <c r="B53">
        <v>0</v>
      </c>
      <c r="C53">
        <v>0</v>
      </c>
    </row>
    <row r="54" spans="1:3" x14ac:dyDescent="0.35">
      <c r="A54">
        <v>0</v>
      </c>
      <c r="B54">
        <v>0</v>
      </c>
      <c r="C54">
        <v>0</v>
      </c>
    </row>
    <row r="55" spans="1:3" x14ac:dyDescent="0.35">
      <c r="A55">
        <v>0</v>
      </c>
      <c r="B55">
        <v>0</v>
      </c>
      <c r="C55">
        <v>0</v>
      </c>
    </row>
    <row r="56" spans="1:3" x14ac:dyDescent="0.35">
      <c r="A56">
        <v>0</v>
      </c>
      <c r="B56">
        <v>1</v>
      </c>
      <c r="C56">
        <v>0</v>
      </c>
    </row>
    <row r="57" spans="1:3" x14ac:dyDescent="0.35">
      <c r="A57">
        <v>0</v>
      </c>
      <c r="B57">
        <v>1</v>
      </c>
      <c r="C57">
        <v>0</v>
      </c>
    </row>
    <row r="58" spans="1:3" x14ac:dyDescent="0.35">
      <c r="A58">
        <v>0</v>
      </c>
      <c r="B58">
        <v>0</v>
      </c>
      <c r="C58">
        <v>0</v>
      </c>
    </row>
    <row r="59" spans="1:3" x14ac:dyDescent="0.35">
      <c r="A59">
        <v>0</v>
      </c>
      <c r="B59">
        <v>0</v>
      </c>
      <c r="C59">
        <v>0</v>
      </c>
    </row>
    <row r="60" spans="1:3" x14ac:dyDescent="0.35">
      <c r="A60">
        <v>0</v>
      </c>
      <c r="B60">
        <v>0</v>
      </c>
      <c r="C60">
        <v>0</v>
      </c>
    </row>
    <row r="61" spans="1:3" x14ac:dyDescent="0.35">
      <c r="A61">
        <v>0</v>
      </c>
      <c r="B61">
        <v>0</v>
      </c>
      <c r="C61">
        <v>0</v>
      </c>
    </row>
    <row r="62" spans="1:3" x14ac:dyDescent="0.35">
      <c r="A62">
        <v>0</v>
      </c>
      <c r="B62">
        <v>0</v>
      </c>
      <c r="C62">
        <v>0</v>
      </c>
    </row>
    <row r="63" spans="1:3" x14ac:dyDescent="0.35">
      <c r="A63">
        <v>0</v>
      </c>
      <c r="B63">
        <v>0</v>
      </c>
      <c r="C63">
        <v>0</v>
      </c>
    </row>
    <row r="64" spans="1:3" x14ac:dyDescent="0.35">
      <c r="A64">
        <v>0</v>
      </c>
      <c r="B64">
        <v>0</v>
      </c>
      <c r="C64">
        <v>0</v>
      </c>
    </row>
    <row r="65" spans="1:3" x14ac:dyDescent="0.35">
      <c r="A65">
        <v>0</v>
      </c>
      <c r="B65">
        <v>0</v>
      </c>
      <c r="C65">
        <v>0</v>
      </c>
    </row>
    <row r="66" spans="1:3" x14ac:dyDescent="0.35">
      <c r="A66">
        <v>0</v>
      </c>
      <c r="B66">
        <v>0</v>
      </c>
      <c r="C66">
        <v>0</v>
      </c>
    </row>
    <row r="67" spans="1:3" x14ac:dyDescent="0.35">
      <c r="A67">
        <v>0</v>
      </c>
      <c r="B67">
        <v>0</v>
      </c>
      <c r="C67">
        <v>0</v>
      </c>
    </row>
    <row r="68" spans="1:3" x14ac:dyDescent="0.35">
      <c r="A68">
        <v>0</v>
      </c>
      <c r="B68">
        <v>0</v>
      </c>
      <c r="C68">
        <v>0</v>
      </c>
    </row>
    <row r="69" spans="1:3" x14ac:dyDescent="0.35">
      <c r="A69">
        <v>0</v>
      </c>
      <c r="B69">
        <v>0</v>
      </c>
      <c r="C69">
        <v>0</v>
      </c>
    </row>
    <row r="70" spans="1:3" x14ac:dyDescent="0.35">
      <c r="A70">
        <v>0</v>
      </c>
      <c r="B70">
        <v>0</v>
      </c>
      <c r="C70">
        <v>0</v>
      </c>
    </row>
    <row r="71" spans="1:3" x14ac:dyDescent="0.35">
      <c r="A71">
        <v>0</v>
      </c>
      <c r="B71">
        <v>0</v>
      </c>
      <c r="C71">
        <v>0</v>
      </c>
    </row>
    <row r="72" spans="1:3" x14ac:dyDescent="0.35">
      <c r="A72">
        <v>0</v>
      </c>
      <c r="B72">
        <v>0</v>
      </c>
      <c r="C72">
        <v>0</v>
      </c>
    </row>
    <row r="73" spans="1:3" x14ac:dyDescent="0.35">
      <c r="A73">
        <v>0</v>
      </c>
      <c r="B73">
        <v>0</v>
      </c>
      <c r="C73">
        <v>0</v>
      </c>
    </row>
    <row r="74" spans="1:3" x14ac:dyDescent="0.35">
      <c r="A74">
        <v>0</v>
      </c>
      <c r="B74">
        <v>0</v>
      </c>
      <c r="C74">
        <v>0</v>
      </c>
    </row>
    <row r="75" spans="1:3" x14ac:dyDescent="0.35">
      <c r="A75">
        <v>0</v>
      </c>
      <c r="B75">
        <v>0</v>
      </c>
      <c r="C75">
        <v>0</v>
      </c>
    </row>
    <row r="76" spans="1:3" x14ac:dyDescent="0.35">
      <c r="A76">
        <v>0</v>
      </c>
      <c r="B76">
        <v>0</v>
      </c>
      <c r="C76">
        <v>0</v>
      </c>
    </row>
    <row r="77" spans="1:3" x14ac:dyDescent="0.35">
      <c r="A77">
        <v>0</v>
      </c>
      <c r="B77">
        <v>0</v>
      </c>
      <c r="C77">
        <v>0</v>
      </c>
    </row>
    <row r="78" spans="1:3" x14ac:dyDescent="0.35">
      <c r="A78">
        <v>0</v>
      </c>
      <c r="B78">
        <v>0</v>
      </c>
      <c r="C78">
        <v>0</v>
      </c>
    </row>
    <row r="79" spans="1:3" x14ac:dyDescent="0.35">
      <c r="A79">
        <v>0</v>
      </c>
      <c r="B79">
        <v>0</v>
      </c>
      <c r="C79">
        <v>0</v>
      </c>
    </row>
    <row r="80" spans="1:3" x14ac:dyDescent="0.35">
      <c r="A80">
        <v>0</v>
      </c>
      <c r="B80">
        <v>0</v>
      </c>
      <c r="C80">
        <v>0</v>
      </c>
    </row>
    <row r="81" spans="1:3" x14ac:dyDescent="0.35">
      <c r="A81">
        <v>0</v>
      </c>
      <c r="B81">
        <v>0</v>
      </c>
      <c r="C81">
        <v>1</v>
      </c>
    </row>
    <row r="82" spans="1:3" x14ac:dyDescent="0.35">
      <c r="A82">
        <v>0</v>
      </c>
      <c r="B82">
        <v>0</v>
      </c>
      <c r="C82">
        <v>1</v>
      </c>
    </row>
    <row r="83" spans="1:3" x14ac:dyDescent="0.35">
      <c r="A83">
        <v>0</v>
      </c>
      <c r="B83">
        <v>0</v>
      </c>
      <c r="C83">
        <v>1</v>
      </c>
    </row>
    <row r="84" spans="1:3" x14ac:dyDescent="0.35">
      <c r="A84">
        <v>0</v>
      </c>
      <c r="B84">
        <v>0</v>
      </c>
      <c r="C84">
        <v>1</v>
      </c>
    </row>
    <row r="85" spans="1:3" x14ac:dyDescent="0.35">
      <c r="A85">
        <v>0</v>
      </c>
      <c r="B85">
        <v>1</v>
      </c>
      <c r="C85">
        <v>1</v>
      </c>
    </row>
    <row r="86" spans="1:3" x14ac:dyDescent="0.35">
      <c r="A86">
        <v>0</v>
      </c>
      <c r="B86">
        <v>1</v>
      </c>
      <c r="C86">
        <v>1</v>
      </c>
    </row>
    <row r="87" spans="1:3" x14ac:dyDescent="0.35">
      <c r="A87">
        <v>0</v>
      </c>
      <c r="B87">
        <v>0</v>
      </c>
      <c r="C87">
        <v>1</v>
      </c>
    </row>
    <row r="88" spans="1:3" x14ac:dyDescent="0.35">
      <c r="A88">
        <v>0</v>
      </c>
      <c r="B88">
        <v>0</v>
      </c>
      <c r="C88">
        <v>1</v>
      </c>
    </row>
    <row r="89" spans="1:3" x14ac:dyDescent="0.35">
      <c r="A89">
        <v>0</v>
      </c>
      <c r="B89">
        <v>1</v>
      </c>
      <c r="C89">
        <v>1</v>
      </c>
    </row>
    <row r="90" spans="1:3" x14ac:dyDescent="0.35">
      <c r="A90">
        <v>0</v>
      </c>
      <c r="B90">
        <v>1</v>
      </c>
      <c r="C90">
        <v>1</v>
      </c>
    </row>
    <row r="91" spans="1:3" x14ac:dyDescent="0.35">
      <c r="A91">
        <v>0</v>
      </c>
      <c r="B91">
        <v>0</v>
      </c>
      <c r="C91">
        <v>0</v>
      </c>
    </row>
    <row r="92" spans="1:3" x14ac:dyDescent="0.35">
      <c r="A92">
        <v>0</v>
      </c>
      <c r="B92">
        <v>0</v>
      </c>
      <c r="C92">
        <v>0</v>
      </c>
    </row>
    <row r="93" spans="1:3" x14ac:dyDescent="0.35">
      <c r="A93">
        <v>0</v>
      </c>
      <c r="B93">
        <v>0</v>
      </c>
      <c r="C93">
        <v>0</v>
      </c>
    </row>
    <row r="94" spans="1:3" x14ac:dyDescent="0.35">
      <c r="A94">
        <v>0</v>
      </c>
      <c r="B94">
        <v>0</v>
      </c>
      <c r="C94">
        <v>0</v>
      </c>
    </row>
    <row r="95" spans="1:3" x14ac:dyDescent="0.35">
      <c r="A95">
        <v>0</v>
      </c>
      <c r="B95">
        <v>0</v>
      </c>
      <c r="C95">
        <v>0</v>
      </c>
    </row>
    <row r="96" spans="1:3" x14ac:dyDescent="0.35">
      <c r="A96">
        <v>0</v>
      </c>
      <c r="B96">
        <v>0</v>
      </c>
      <c r="C96">
        <v>0</v>
      </c>
    </row>
    <row r="97" spans="1:3" x14ac:dyDescent="0.35">
      <c r="A97">
        <v>0</v>
      </c>
      <c r="B97">
        <v>0</v>
      </c>
      <c r="C97">
        <v>0</v>
      </c>
    </row>
    <row r="98" spans="1:3" x14ac:dyDescent="0.35">
      <c r="A98">
        <v>0</v>
      </c>
      <c r="B98">
        <v>0</v>
      </c>
      <c r="C98">
        <v>0</v>
      </c>
    </row>
    <row r="99" spans="1:3" x14ac:dyDescent="0.35">
      <c r="A99">
        <v>0</v>
      </c>
      <c r="B99">
        <v>0</v>
      </c>
      <c r="C99">
        <v>0</v>
      </c>
    </row>
    <row r="100" spans="1:3" x14ac:dyDescent="0.35">
      <c r="A100">
        <v>0</v>
      </c>
      <c r="B100">
        <v>0</v>
      </c>
      <c r="C100">
        <v>0</v>
      </c>
    </row>
    <row r="101" spans="1:3" x14ac:dyDescent="0.35">
      <c r="A101">
        <v>0</v>
      </c>
      <c r="B101">
        <v>0</v>
      </c>
      <c r="C101">
        <v>0</v>
      </c>
    </row>
    <row r="102" spans="1:3" x14ac:dyDescent="0.35">
      <c r="A102">
        <v>0</v>
      </c>
      <c r="B102">
        <v>0</v>
      </c>
      <c r="C102">
        <v>0</v>
      </c>
    </row>
    <row r="103" spans="1:3" x14ac:dyDescent="0.35">
      <c r="A103">
        <v>0</v>
      </c>
      <c r="B103">
        <v>0</v>
      </c>
      <c r="C103">
        <v>0</v>
      </c>
    </row>
    <row r="104" spans="1:3" x14ac:dyDescent="0.35">
      <c r="A104">
        <v>0</v>
      </c>
      <c r="B104">
        <v>0</v>
      </c>
      <c r="C104">
        <v>0</v>
      </c>
    </row>
    <row r="105" spans="1:3" x14ac:dyDescent="0.35">
      <c r="A105">
        <v>0</v>
      </c>
      <c r="B105">
        <v>0</v>
      </c>
      <c r="C105">
        <v>0</v>
      </c>
    </row>
    <row r="106" spans="1:3" x14ac:dyDescent="0.35">
      <c r="A106">
        <v>0</v>
      </c>
      <c r="B106">
        <v>0</v>
      </c>
      <c r="C106">
        <v>0</v>
      </c>
    </row>
    <row r="107" spans="1:3" x14ac:dyDescent="0.35">
      <c r="A107">
        <v>0</v>
      </c>
      <c r="B107">
        <v>0</v>
      </c>
      <c r="C107">
        <v>0</v>
      </c>
    </row>
    <row r="108" spans="1:3" x14ac:dyDescent="0.35">
      <c r="A108">
        <v>0</v>
      </c>
      <c r="B108">
        <v>0</v>
      </c>
      <c r="C108">
        <v>0</v>
      </c>
    </row>
    <row r="109" spans="1:3" x14ac:dyDescent="0.35">
      <c r="A109">
        <v>0</v>
      </c>
      <c r="B109">
        <v>0</v>
      </c>
      <c r="C109">
        <v>0</v>
      </c>
    </row>
    <row r="110" spans="1:3" x14ac:dyDescent="0.35">
      <c r="A110">
        <v>0</v>
      </c>
      <c r="B110">
        <v>0</v>
      </c>
      <c r="C110">
        <v>0</v>
      </c>
    </row>
    <row r="111" spans="1:3" x14ac:dyDescent="0.35">
      <c r="A111">
        <v>0</v>
      </c>
      <c r="B111">
        <v>0</v>
      </c>
      <c r="C111">
        <v>0</v>
      </c>
    </row>
    <row r="112" spans="1:3" x14ac:dyDescent="0.35">
      <c r="A112">
        <v>0</v>
      </c>
      <c r="B112">
        <v>0</v>
      </c>
      <c r="C112">
        <v>0</v>
      </c>
    </row>
    <row r="113" spans="1:3" x14ac:dyDescent="0.35">
      <c r="A113">
        <v>0</v>
      </c>
      <c r="B113">
        <v>0</v>
      </c>
      <c r="C113">
        <v>0</v>
      </c>
    </row>
    <row r="114" spans="1:3" x14ac:dyDescent="0.35">
      <c r="A114">
        <v>0</v>
      </c>
      <c r="B114">
        <v>0</v>
      </c>
      <c r="C114">
        <v>0</v>
      </c>
    </row>
    <row r="115" spans="1:3" x14ac:dyDescent="0.35">
      <c r="A115">
        <v>0</v>
      </c>
      <c r="B115">
        <v>0</v>
      </c>
      <c r="C115">
        <v>0</v>
      </c>
    </row>
    <row r="116" spans="1:3" x14ac:dyDescent="0.35">
      <c r="A116">
        <v>0</v>
      </c>
      <c r="B116">
        <v>0</v>
      </c>
      <c r="C116">
        <v>0</v>
      </c>
    </row>
    <row r="117" spans="1:3" x14ac:dyDescent="0.35">
      <c r="A117">
        <v>0</v>
      </c>
      <c r="B117">
        <v>0</v>
      </c>
      <c r="C117">
        <v>0</v>
      </c>
    </row>
    <row r="118" spans="1:3" x14ac:dyDescent="0.35">
      <c r="A118">
        <v>0</v>
      </c>
      <c r="B118">
        <v>0</v>
      </c>
      <c r="C118">
        <v>0</v>
      </c>
    </row>
    <row r="119" spans="1:3" x14ac:dyDescent="0.35">
      <c r="A119">
        <v>0</v>
      </c>
      <c r="B119">
        <v>0</v>
      </c>
      <c r="C119">
        <v>0</v>
      </c>
    </row>
    <row r="120" spans="1:3" x14ac:dyDescent="0.35">
      <c r="A120">
        <v>0</v>
      </c>
      <c r="B120">
        <v>0</v>
      </c>
      <c r="C120">
        <v>0</v>
      </c>
    </row>
    <row r="121" spans="1:3" x14ac:dyDescent="0.35">
      <c r="A121">
        <v>0</v>
      </c>
      <c r="B121">
        <v>0</v>
      </c>
      <c r="C121">
        <v>0</v>
      </c>
    </row>
    <row r="122" spans="1:3" x14ac:dyDescent="0.35">
      <c r="A122">
        <v>0</v>
      </c>
      <c r="B122">
        <v>0</v>
      </c>
      <c r="C122">
        <v>0</v>
      </c>
    </row>
    <row r="123" spans="1:3" x14ac:dyDescent="0.35">
      <c r="A123">
        <v>0</v>
      </c>
      <c r="B123">
        <v>0</v>
      </c>
      <c r="C123">
        <v>0</v>
      </c>
    </row>
    <row r="124" spans="1:3" x14ac:dyDescent="0.35">
      <c r="A124">
        <v>0</v>
      </c>
      <c r="B124">
        <v>0</v>
      </c>
      <c r="C124">
        <v>0</v>
      </c>
    </row>
    <row r="125" spans="1:3" x14ac:dyDescent="0.35">
      <c r="A125">
        <v>0</v>
      </c>
      <c r="B125">
        <v>0</v>
      </c>
      <c r="C125">
        <v>0</v>
      </c>
    </row>
    <row r="126" spans="1:3" x14ac:dyDescent="0.35">
      <c r="A126">
        <v>0</v>
      </c>
      <c r="B126">
        <v>0</v>
      </c>
      <c r="C126">
        <v>0</v>
      </c>
    </row>
    <row r="127" spans="1:3" x14ac:dyDescent="0.35">
      <c r="A127">
        <v>0</v>
      </c>
      <c r="B127">
        <v>0</v>
      </c>
      <c r="C127">
        <v>0</v>
      </c>
    </row>
    <row r="128" spans="1:3" x14ac:dyDescent="0.35">
      <c r="A128">
        <v>0</v>
      </c>
      <c r="B128">
        <v>0</v>
      </c>
      <c r="C128">
        <v>0</v>
      </c>
    </row>
    <row r="129" spans="1:3" x14ac:dyDescent="0.35">
      <c r="A129">
        <v>0</v>
      </c>
      <c r="B129">
        <v>0</v>
      </c>
      <c r="C129">
        <v>0</v>
      </c>
    </row>
    <row r="130" spans="1:3" x14ac:dyDescent="0.35">
      <c r="A130">
        <v>0</v>
      </c>
      <c r="B130">
        <v>0</v>
      </c>
      <c r="C130">
        <v>1</v>
      </c>
    </row>
    <row r="131" spans="1:3" x14ac:dyDescent="0.35">
      <c r="A131">
        <v>0</v>
      </c>
      <c r="B131">
        <v>0</v>
      </c>
      <c r="C131">
        <v>1</v>
      </c>
    </row>
    <row r="132" spans="1:3" x14ac:dyDescent="0.35">
      <c r="A132">
        <v>0</v>
      </c>
      <c r="B132">
        <v>0</v>
      </c>
      <c r="C132">
        <v>1</v>
      </c>
    </row>
    <row r="133" spans="1:3" x14ac:dyDescent="0.35">
      <c r="A133">
        <v>0</v>
      </c>
      <c r="B133">
        <v>0</v>
      </c>
      <c r="C133">
        <v>1</v>
      </c>
    </row>
    <row r="134" spans="1:3" x14ac:dyDescent="0.35">
      <c r="A134">
        <v>0</v>
      </c>
      <c r="B134">
        <v>0</v>
      </c>
      <c r="C134">
        <v>1</v>
      </c>
    </row>
    <row r="135" spans="1:3" x14ac:dyDescent="0.35">
      <c r="A135">
        <v>0</v>
      </c>
      <c r="B135">
        <v>0</v>
      </c>
      <c r="C135">
        <v>1</v>
      </c>
    </row>
    <row r="136" spans="1:3" x14ac:dyDescent="0.35">
      <c r="A136">
        <v>0</v>
      </c>
      <c r="B136">
        <v>0</v>
      </c>
      <c r="C136">
        <v>1</v>
      </c>
    </row>
    <row r="137" spans="1:3" x14ac:dyDescent="0.35">
      <c r="A137">
        <v>0</v>
      </c>
      <c r="B137">
        <v>0</v>
      </c>
      <c r="C137">
        <v>1</v>
      </c>
    </row>
    <row r="138" spans="1:3" x14ac:dyDescent="0.35">
      <c r="A138">
        <v>0</v>
      </c>
      <c r="B138">
        <v>0</v>
      </c>
      <c r="C138">
        <v>0</v>
      </c>
    </row>
    <row r="139" spans="1:3" x14ac:dyDescent="0.35">
      <c r="A139">
        <v>0</v>
      </c>
      <c r="B139">
        <v>0</v>
      </c>
      <c r="C139">
        <v>0</v>
      </c>
    </row>
    <row r="140" spans="1:3" x14ac:dyDescent="0.35">
      <c r="A140">
        <v>0</v>
      </c>
      <c r="B140">
        <v>0</v>
      </c>
      <c r="C140">
        <v>0</v>
      </c>
    </row>
    <row r="141" spans="1:3" x14ac:dyDescent="0.35">
      <c r="A141">
        <v>0</v>
      </c>
      <c r="B141">
        <v>0</v>
      </c>
      <c r="C141">
        <v>0</v>
      </c>
    </row>
    <row r="142" spans="1:3" x14ac:dyDescent="0.35">
      <c r="A142">
        <v>0</v>
      </c>
      <c r="B142">
        <v>0</v>
      </c>
      <c r="C142">
        <v>0</v>
      </c>
    </row>
    <row r="143" spans="1:3" x14ac:dyDescent="0.35">
      <c r="A143">
        <v>0</v>
      </c>
      <c r="B143">
        <v>0</v>
      </c>
      <c r="C143">
        <v>0</v>
      </c>
    </row>
    <row r="144" spans="1:3" x14ac:dyDescent="0.35">
      <c r="A144">
        <v>0</v>
      </c>
      <c r="B144">
        <v>0</v>
      </c>
      <c r="C144">
        <v>0</v>
      </c>
    </row>
    <row r="145" spans="1:3" x14ac:dyDescent="0.35">
      <c r="A145">
        <v>0</v>
      </c>
      <c r="B145">
        <v>0</v>
      </c>
      <c r="C145">
        <v>0</v>
      </c>
    </row>
    <row r="146" spans="1:3" x14ac:dyDescent="0.35">
      <c r="A146">
        <v>0</v>
      </c>
      <c r="B146">
        <v>0</v>
      </c>
      <c r="C146">
        <v>0</v>
      </c>
    </row>
    <row r="147" spans="1:3" x14ac:dyDescent="0.35">
      <c r="A147">
        <v>0</v>
      </c>
      <c r="B147">
        <v>0</v>
      </c>
      <c r="C147">
        <v>0</v>
      </c>
    </row>
    <row r="148" spans="1:3" x14ac:dyDescent="0.35">
      <c r="A148">
        <v>0</v>
      </c>
      <c r="B148">
        <v>0</v>
      </c>
      <c r="C148">
        <v>0</v>
      </c>
    </row>
    <row r="149" spans="1:3" x14ac:dyDescent="0.35">
      <c r="A149">
        <v>0</v>
      </c>
      <c r="B149">
        <v>0</v>
      </c>
      <c r="C149">
        <v>0</v>
      </c>
    </row>
    <row r="150" spans="1:3" x14ac:dyDescent="0.35">
      <c r="A150">
        <v>0</v>
      </c>
      <c r="B150">
        <v>0</v>
      </c>
      <c r="C150">
        <v>0</v>
      </c>
    </row>
    <row r="151" spans="1:3" x14ac:dyDescent="0.35">
      <c r="A151">
        <v>0</v>
      </c>
      <c r="B151">
        <v>0</v>
      </c>
      <c r="C151">
        <v>0</v>
      </c>
    </row>
    <row r="152" spans="1:3" x14ac:dyDescent="0.35">
      <c r="A152">
        <v>0</v>
      </c>
      <c r="B152">
        <v>0</v>
      </c>
      <c r="C152">
        <v>0</v>
      </c>
    </row>
    <row r="153" spans="1:3" x14ac:dyDescent="0.35">
      <c r="A153">
        <v>0</v>
      </c>
      <c r="B153">
        <v>0</v>
      </c>
      <c r="C153">
        <v>0</v>
      </c>
    </row>
    <row r="154" spans="1:3" x14ac:dyDescent="0.35">
      <c r="A154">
        <v>0</v>
      </c>
      <c r="B154">
        <v>0</v>
      </c>
      <c r="C154">
        <v>0</v>
      </c>
    </row>
    <row r="155" spans="1:3" x14ac:dyDescent="0.35">
      <c r="A155">
        <v>0</v>
      </c>
      <c r="B155">
        <v>0</v>
      </c>
      <c r="C155">
        <v>0</v>
      </c>
    </row>
    <row r="156" spans="1:3" x14ac:dyDescent="0.35">
      <c r="A156">
        <v>0</v>
      </c>
      <c r="B156">
        <v>0</v>
      </c>
      <c r="C156">
        <v>0</v>
      </c>
    </row>
    <row r="157" spans="1:3" x14ac:dyDescent="0.35">
      <c r="A157">
        <v>0</v>
      </c>
      <c r="B157">
        <v>0</v>
      </c>
      <c r="C157">
        <v>0</v>
      </c>
    </row>
    <row r="158" spans="1:3" x14ac:dyDescent="0.35">
      <c r="A158">
        <v>0</v>
      </c>
      <c r="B158">
        <v>0</v>
      </c>
      <c r="C158">
        <v>0</v>
      </c>
    </row>
    <row r="159" spans="1:3" x14ac:dyDescent="0.35">
      <c r="A159">
        <v>0</v>
      </c>
      <c r="B159">
        <v>0</v>
      </c>
      <c r="C159">
        <v>0</v>
      </c>
    </row>
    <row r="160" spans="1:3" x14ac:dyDescent="0.35">
      <c r="A160">
        <v>0</v>
      </c>
      <c r="B160">
        <v>0</v>
      </c>
      <c r="C160">
        <v>0</v>
      </c>
    </row>
    <row r="161" spans="1:3" x14ac:dyDescent="0.35">
      <c r="A161">
        <v>0</v>
      </c>
      <c r="B161">
        <v>0</v>
      </c>
      <c r="C161">
        <v>0</v>
      </c>
    </row>
    <row r="162" spans="1:3" x14ac:dyDescent="0.35">
      <c r="A162">
        <v>0</v>
      </c>
      <c r="B162">
        <v>0</v>
      </c>
      <c r="C162">
        <v>1</v>
      </c>
    </row>
    <row r="163" spans="1:3" x14ac:dyDescent="0.35">
      <c r="A163">
        <v>0</v>
      </c>
      <c r="B163">
        <v>0</v>
      </c>
      <c r="C163">
        <v>1</v>
      </c>
    </row>
    <row r="164" spans="1:3" x14ac:dyDescent="0.35">
      <c r="A164">
        <v>0</v>
      </c>
      <c r="B164">
        <v>0</v>
      </c>
      <c r="C164">
        <v>1</v>
      </c>
    </row>
    <row r="165" spans="1:3" x14ac:dyDescent="0.35">
      <c r="A165">
        <v>0</v>
      </c>
      <c r="B165">
        <v>0</v>
      </c>
      <c r="C165">
        <v>1</v>
      </c>
    </row>
    <row r="166" spans="1:3" x14ac:dyDescent="0.35">
      <c r="A166">
        <v>0</v>
      </c>
      <c r="B166">
        <v>0</v>
      </c>
      <c r="C166">
        <v>1</v>
      </c>
    </row>
    <row r="167" spans="1:3" x14ac:dyDescent="0.35">
      <c r="A167">
        <v>0</v>
      </c>
      <c r="B167">
        <v>0</v>
      </c>
      <c r="C167">
        <v>1</v>
      </c>
    </row>
    <row r="168" spans="1:3" x14ac:dyDescent="0.35">
      <c r="A168">
        <v>0</v>
      </c>
      <c r="B168">
        <v>0</v>
      </c>
      <c r="C168">
        <v>1</v>
      </c>
    </row>
    <row r="169" spans="1:3" x14ac:dyDescent="0.35">
      <c r="A169">
        <v>0</v>
      </c>
      <c r="B169">
        <v>0</v>
      </c>
      <c r="C169">
        <v>1</v>
      </c>
    </row>
    <row r="170" spans="1:3" x14ac:dyDescent="0.35">
      <c r="A170">
        <v>0</v>
      </c>
      <c r="B170">
        <v>0</v>
      </c>
      <c r="C170">
        <v>1</v>
      </c>
    </row>
    <row r="171" spans="1:3" x14ac:dyDescent="0.35">
      <c r="A171">
        <v>0</v>
      </c>
      <c r="B171">
        <v>0</v>
      </c>
      <c r="C171">
        <v>1</v>
      </c>
    </row>
    <row r="172" spans="1:3" x14ac:dyDescent="0.35">
      <c r="A172">
        <v>0</v>
      </c>
      <c r="B172">
        <v>0</v>
      </c>
      <c r="C172">
        <v>0</v>
      </c>
    </row>
    <row r="173" spans="1:3" x14ac:dyDescent="0.35">
      <c r="A173">
        <v>0</v>
      </c>
      <c r="B173">
        <v>0</v>
      </c>
      <c r="C173">
        <v>0</v>
      </c>
    </row>
    <row r="174" spans="1:3" x14ac:dyDescent="0.35">
      <c r="A174">
        <v>0</v>
      </c>
      <c r="B174">
        <v>0</v>
      </c>
      <c r="C174">
        <v>0</v>
      </c>
    </row>
    <row r="175" spans="1:3" x14ac:dyDescent="0.35">
      <c r="A175">
        <v>0</v>
      </c>
      <c r="B175">
        <v>0</v>
      </c>
      <c r="C175">
        <v>0</v>
      </c>
    </row>
    <row r="176" spans="1:3" x14ac:dyDescent="0.35">
      <c r="A176">
        <v>0</v>
      </c>
      <c r="B176">
        <v>0</v>
      </c>
      <c r="C176">
        <v>0</v>
      </c>
    </row>
    <row r="177" spans="1:3" x14ac:dyDescent="0.35">
      <c r="A177">
        <v>0</v>
      </c>
      <c r="B177">
        <v>0</v>
      </c>
      <c r="C177">
        <v>0</v>
      </c>
    </row>
    <row r="178" spans="1:3" x14ac:dyDescent="0.35">
      <c r="A178">
        <v>0</v>
      </c>
      <c r="B178">
        <v>0</v>
      </c>
      <c r="C178">
        <v>0</v>
      </c>
    </row>
    <row r="179" spans="1:3" x14ac:dyDescent="0.35">
      <c r="A179">
        <v>0</v>
      </c>
      <c r="B179">
        <v>0</v>
      </c>
      <c r="C179">
        <v>0</v>
      </c>
    </row>
    <row r="180" spans="1:3" x14ac:dyDescent="0.35">
      <c r="A180">
        <v>0</v>
      </c>
      <c r="B180">
        <v>0</v>
      </c>
      <c r="C180">
        <v>0</v>
      </c>
    </row>
    <row r="181" spans="1:3" x14ac:dyDescent="0.35">
      <c r="A181">
        <v>0</v>
      </c>
      <c r="B181">
        <v>0</v>
      </c>
      <c r="C181">
        <v>0</v>
      </c>
    </row>
    <row r="182" spans="1:3" x14ac:dyDescent="0.35">
      <c r="A182">
        <v>0</v>
      </c>
      <c r="B182">
        <v>0</v>
      </c>
      <c r="C182">
        <v>0</v>
      </c>
    </row>
    <row r="183" spans="1:3" x14ac:dyDescent="0.35">
      <c r="A183">
        <v>0</v>
      </c>
      <c r="B183">
        <v>0</v>
      </c>
      <c r="C183">
        <v>0</v>
      </c>
    </row>
    <row r="184" spans="1:3" x14ac:dyDescent="0.35">
      <c r="A184">
        <v>0</v>
      </c>
      <c r="B184">
        <v>0</v>
      </c>
      <c r="C184">
        <v>0</v>
      </c>
    </row>
    <row r="185" spans="1:3" x14ac:dyDescent="0.35">
      <c r="A185">
        <v>0</v>
      </c>
      <c r="B185">
        <v>0</v>
      </c>
      <c r="C185">
        <v>0</v>
      </c>
    </row>
    <row r="186" spans="1:3" x14ac:dyDescent="0.35">
      <c r="A186">
        <v>0</v>
      </c>
      <c r="B186">
        <v>0</v>
      </c>
      <c r="C186">
        <v>0</v>
      </c>
    </row>
    <row r="187" spans="1:3" x14ac:dyDescent="0.35">
      <c r="A187">
        <v>0</v>
      </c>
      <c r="B187">
        <v>0</v>
      </c>
      <c r="C187">
        <v>0</v>
      </c>
    </row>
    <row r="188" spans="1:3" x14ac:dyDescent="0.35">
      <c r="A188">
        <v>0</v>
      </c>
      <c r="B188">
        <v>0</v>
      </c>
      <c r="C188">
        <v>0</v>
      </c>
    </row>
    <row r="189" spans="1:3" x14ac:dyDescent="0.35">
      <c r="A189">
        <v>0</v>
      </c>
      <c r="B189">
        <v>0</v>
      </c>
      <c r="C189">
        <v>0</v>
      </c>
    </row>
    <row r="190" spans="1:3" x14ac:dyDescent="0.35">
      <c r="A190">
        <v>0</v>
      </c>
      <c r="B190">
        <v>0</v>
      </c>
      <c r="C190">
        <v>0</v>
      </c>
    </row>
    <row r="191" spans="1:3" x14ac:dyDescent="0.35">
      <c r="A191">
        <v>0</v>
      </c>
      <c r="B191">
        <v>0</v>
      </c>
      <c r="C191">
        <v>0</v>
      </c>
    </row>
    <row r="192" spans="1:3" x14ac:dyDescent="0.35">
      <c r="A192">
        <v>0</v>
      </c>
      <c r="B192">
        <v>0</v>
      </c>
      <c r="C192">
        <v>0</v>
      </c>
    </row>
    <row r="193" spans="1:3" x14ac:dyDescent="0.35">
      <c r="A193">
        <v>0</v>
      </c>
      <c r="B193">
        <v>0</v>
      </c>
      <c r="C193">
        <v>0</v>
      </c>
    </row>
    <row r="194" spans="1:3" x14ac:dyDescent="0.35">
      <c r="A194">
        <v>0</v>
      </c>
      <c r="B194">
        <v>0</v>
      </c>
      <c r="C194">
        <v>0</v>
      </c>
    </row>
    <row r="195" spans="1:3" x14ac:dyDescent="0.35">
      <c r="A195">
        <v>0</v>
      </c>
      <c r="B195">
        <v>0</v>
      </c>
      <c r="C195">
        <v>0</v>
      </c>
    </row>
    <row r="196" spans="1:3" x14ac:dyDescent="0.35">
      <c r="A196">
        <v>0</v>
      </c>
      <c r="B196">
        <v>0</v>
      </c>
      <c r="C196">
        <v>0</v>
      </c>
    </row>
    <row r="197" spans="1:3" x14ac:dyDescent="0.35">
      <c r="A197">
        <v>0</v>
      </c>
      <c r="B197">
        <v>0</v>
      </c>
      <c r="C197">
        <v>0</v>
      </c>
    </row>
    <row r="198" spans="1:3" x14ac:dyDescent="0.35">
      <c r="A198">
        <v>0</v>
      </c>
      <c r="B198">
        <v>0</v>
      </c>
      <c r="C198">
        <v>0</v>
      </c>
    </row>
    <row r="199" spans="1:3" x14ac:dyDescent="0.35">
      <c r="A199">
        <v>0</v>
      </c>
      <c r="B199">
        <v>0</v>
      </c>
      <c r="C199">
        <v>0</v>
      </c>
    </row>
    <row r="200" spans="1:3" x14ac:dyDescent="0.35">
      <c r="A200">
        <v>0</v>
      </c>
      <c r="B200">
        <v>0</v>
      </c>
      <c r="C200">
        <v>0</v>
      </c>
    </row>
    <row r="201" spans="1:3" x14ac:dyDescent="0.35">
      <c r="A201">
        <v>0</v>
      </c>
      <c r="B201">
        <v>0</v>
      </c>
      <c r="C201">
        <v>0</v>
      </c>
    </row>
    <row r="202" spans="1:3" x14ac:dyDescent="0.35">
      <c r="A202">
        <v>0</v>
      </c>
      <c r="B202">
        <v>0</v>
      </c>
      <c r="C202">
        <v>0</v>
      </c>
    </row>
    <row r="203" spans="1:3" x14ac:dyDescent="0.35">
      <c r="A203">
        <v>0</v>
      </c>
      <c r="B203">
        <v>0</v>
      </c>
      <c r="C203">
        <v>0</v>
      </c>
    </row>
    <row r="204" spans="1:3" x14ac:dyDescent="0.35">
      <c r="A204">
        <v>0</v>
      </c>
      <c r="B204">
        <v>0</v>
      </c>
      <c r="C204">
        <v>0</v>
      </c>
    </row>
    <row r="205" spans="1:3" x14ac:dyDescent="0.35">
      <c r="A205">
        <v>0</v>
      </c>
      <c r="B205">
        <v>0</v>
      </c>
      <c r="C205">
        <v>0</v>
      </c>
    </row>
    <row r="206" spans="1:3" x14ac:dyDescent="0.35">
      <c r="A206">
        <v>0</v>
      </c>
      <c r="B206">
        <v>0</v>
      </c>
      <c r="C206">
        <v>0</v>
      </c>
    </row>
    <row r="207" spans="1:3" x14ac:dyDescent="0.35">
      <c r="A207">
        <v>0</v>
      </c>
      <c r="B207">
        <v>0</v>
      </c>
      <c r="C207">
        <v>0</v>
      </c>
    </row>
    <row r="208" spans="1:3" x14ac:dyDescent="0.35">
      <c r="A208">
        <v>0</v>
      </c>
      <c r="B208">
        <v>0</v>
      </c>
      <c r="C208">
        <v>0</v>
      </c>
    </row>
    <row r="209" spans="1:3" x14ac:dyDescent="0.35">
      <c r="A209">
        <v>0</v>
      </c>
      <c r="B209">
        <v>0</v>
      </c>
      <c r="C209">
        <v>0</v>
      </c>
    </row>
    <row r="210" spans="1:3" x14ac:dyDescent="0.35">
      <c r="A210">
        <v>0</v>
      </c>
      <c r="B210">
        <v>0</v>
      </c>
      <c r="C210">
        <v>0</v>
      </c>
    </row>
    <row r="211" spans="1:3" x14ac:dyDescent="0.35">
      <c r="A211">
        <v>0</v>
      </c>
      <c r="B211">
        <v>0</v>
      </c>
      <c r="C211">
        <v>0</v>
      </c>
    </row>
    <row r="212" spans="1:3" x14ac:dyDescent="0.35">
      <c r="A212">
        <v>0</v>
      </c>
      <c r="B212">
        <v>0</v>
      </c>
      <c r="C212">
        <v>0</v>
      </c>
    </row>
    <row r="213" spans="1:3" x14ac:dyDescent="0.35">
      <c r="A213">
        <v>0</v>
      </c>
      <c r="B213">
        <v>0</v>
      </c>
      <c r="C213">
        <v>0</v>
      </c>
    </row>
    <row r="214" spans="1:3" x14ac:dyDescent="0.35">
      <c r="A214">
        <v>0</v>
      </c>
      <c r="B214">
        <v>0</v>
      </c>
      <c r="C214">
        <v>0</v>
      </c>
    </row>
    <row r="215" spans="1:3" x14ac:dyDescent="0.35">
      <c r="A215">
        <v>0</v>
      </c>
      <c r="B215">
        <v>0</v>
      </c>
      <c r="C215">
        <v>0</v>
      </c>
    </row>
    <row r="216" spans="1:3" x14ac:dyDescent="0.35">
      <c r="A216">
        <v>0</v>
      </c>
      <c r="B216">
        <v>0</v>
      </c>
      <c r="C216">
        <v>0</v>
      </c>
    </row>
    <row r="217" spans="1:3" x14ac:dyDescent="0.35">
      <c r="A217">
        <v>0</v>
      </c>
      <c r="B217">
        <v>0</v>
      </c>
      <c r="C217">
        <v>0</v>
      </c>
    </row>
    <row r="218" spans="1:3" x14ac:dyDescent="0.35">
      <c r="A218">
        <v>0</v>
      </c>
      <c r="B218">
        <v>0</v>
      </c>
      <c r="C218">
        <v>0</v>
      </c>
    </row>
    <row r="219" spans="1:3" x14ac:dyDescent="0.35">
      <c r="A219">
        <v>0</v>
      </c>
      <c r="B219">
        <v>0</v>
      </c>
      <c r="C219">
        <v>0</v>
      </c>
    </row>
    <row r="220" spans="1:3" x14ac:dyDescent="0.35">
      <c r="A220">
        <v>0</v>
      </c>
      <c r="B220">
        <v>0</v>
      </c>
      <c r="C220">
        <v>0</v>
      </c>
    </row>
    <row r="221" spans="1:3" x14ac:dyDescent="0.35">
      <c r="A221">
        <v>0</v>
      </c>
      <c r="B221">
        <v>0</v>
      </c>
      <c r="C221">
        <v>0</v>
      </c>
    </row>
    <row r="222" spans="1:3" x14ac:dyDescent="0.35">
      <c r="A222">
        <v>0</v>
      </c>
      <c r="B222">
        <v>0</v>
      </c>
      <c r="C222">
        <v>0</v>
      </c>
    </row>
    <row r="223" spans="1:3" x14ac:dyDescent="0.35">
      <c r="A223">
        <v>0</v>
      </c>
      <c r="B223">
        <v>0</v>
      </c>
      <c r="C223">
        <v>0</v>
      </c>
    </row>
    <row r="224" spans="1:3" x14ac:dyDescent="0.35">
      <c r="A224">
        <v>0</v>
      </c>
      <c r="B224">
        <v>0</v>
      </c>
      <c r="C224">
        <v>0</v>
      </c>
    </row>
    <row r="225" spans="1:3" x14ac:dyDescent="0.35">
      <c r="A225">
        <v>0</v>
      </c>
      <c r="B225">
        <v>0</v>
      </c>
      <c r="C225">
        <v>0</v>
      </c>
    </row>
    <row r="226" spans="1:3" x14ac:dyDescent="0.35">
      <c r="A226">
        <v>0</v>
      </c>
      <c r="B226">
        <v>0</v>
      </c>
      <c r="C226">
        <v>0</v>
      </c>
    </row>
    <row r="227" spans="1:3" x14ac:dyDescent="0.35">
      <c r="A227">
        <v>0</v>
      </c>
      <c r="B227">
        <v>0</v>
      </c>
      <c r="C227">
        <v>0</v>
      </c>
    </row>
    <row r="228" spans="1:3" x14ac:dyDescent="0.35">
      <c r="A228">
        <v>0</v>
      </c>
      <c r="B228">
        <v>0</v>
      </c>
      <c r="C228">
        <v>0</v>
      </c>
    </row>
    <row r="229" spans="1:3" x14ac:dyDescent="0.35">
      <c r="A229">
        <v>0</v>
      </c>
      <c r="B229">
        <v>0</v>
      </c>
      <c r="C229">
        <v>0</v>
      </c>
    </row>
    <row r="230" spans="1:3" x14ac:dyDescent="0.35">
      <c r="A230">
        <v>0</v>
      </c>
      <c r="B230">
        <v>0</v>
      </c>
      <c r="C230">
        <v>0</v>
      </c>
    </row>
    <row r="231" spans="1:3" x14ac:dyDescent="0.35">
      <c r="A231">
        <v>0</v>
      </c>
      <c r="B231">
        <v>0</v>
      </c>
      <c r="C231">
        <v>0</v>
      </c>
    </row>
    <row r="232" spans="1:3" x14ac:dyDescent="0.35">
      <c r="A232">
        <v>0</v>
      </c>
      <c r="B232">
        <v>0</v>
      </c>
      <c r="C232">
        <v>0</v>
      </c>
    </row>
    <row r="233" spans="1:3" x14ac:dyDescent="0.35">
      <c r="A233">
        <v>0</v>
      </c>
      <c r="B233">
        <v>0</v>
      </c>
      <c r="C233">
        <v>0</v>
      </c>
    </row>
    <row r="234" spans="1:3" x14ac:dyDescent="0.35">
      <c r="A234">
        <v>0</v>
      </c>
      <c r="B234">
        <v>0</v>
      </c>
      <c r="C234">
        <v>0</v>
      </c>
    </row>
    <row r="235" spans="1:3" x14ac:dyDescent="0.35">
      <c r="A235">
        <v>0</v>
      </c>
      <c r="B235">
        <v>0</v>
      </c>
      <c r="C235">
        <v>0</v>
      </c>
    </row>
    <row r="236" spans="1:3" x14ac:dyDescent="0.35">
      <c r="A236">
        <v>0</v>
      </c>
      <c r="B236">
        <v>0</v>
      </c>
      <c r="C236">
        <v>0</v>
      </c>
    </row>
    <row r="237" spans="1:3" x14ac:dyDescent="0.35">
      <c r="A237">
        <v>0</v>
      </c>
      <c r="B237">
        <v>0</v>
      </c>
      <c r="C237">
        <v>0</v>
      </c>
    </row>
    <row r="238" spans="1:3" x14ac:dyDescent="0.35">
      <c r="A238">
        <v>0</v>
      </c>
      <c r="B238">
        <v>0</v>
      </c>
      <c r="C238">
        <v>0</v>
      </c>
    </row>
    <row r="239" spans="1:3" x14ac:dyDescent="0.35">
      <c r="A239">
        <v>0</v>
      </c>
      <c r="B239">
        <v>0</v>
      </c>
      <c r="C239">
        <v>0</v>
      </c>
    </row>
    <row r="240" spans="1:3" x14ac:dyDescent="0.35">
      <c r="A240">
        <v>0</v>
      </c>
      <c r="B240">
        <v>0</v>
      </c>
      <c r="C240">
        <v>0</v>
      </c>
    </row>
    <row r="241" spans="1:3" x14ac:dyDescent="0.35">
      <c r="A241">
        <v>0</v>
      </c>
      <c r="B241">
        <v>0</v>
      </c>
      <c r="C241">
        <v>0</v>
      </c>
    </row>
    <row r="242" spans="1:3" x14ac:dyDescent="0.35">
      <c r="A242">
        <v>0</v>
      </c>
      <c r="B242">
        <v>0</v>
      </c>
      <c r="C242">
        <v>0</v>
      </c>
    </row>
    <row r="243" spans="1:3" x14ac:dyDescent="0.35">
      <c r="A243">
        <v>0</v>
      </c>
      <c r="B243">
        <v>0</v>
      </c>
      <c r="C243">
        <v>0</v>
      </c>
    </row>
    <row r="244" spans="1:3" x14ac:dyDescent="0.35">
      <c r="A244">
        <v>0</v>
      </c>
      <c r="B244">
        <v>0</v>
      </c>
      <c r="C244">
        <v>0</v>
      </c>
    </row>
    <row r="245" spans="1:3" x14ac:dyDescent="0.35">
      <c r="A245">
        <v>0</v>
      </c>
      <c r="B245">
        <v>0</v>
      </c>
      <c r="C245">
        <v>0</v>
      </c>
    </row>
    <row r="246" spans="1:3" x14ac:dyDescent="0.35">
      <c r="A246">
        <v>0</v>
      </c>
      <c r="B246">
        <v>0</v>
      </c>
      <c r="C246">
        <v>0</v>
      </c>
    </row>
    <row r="247" spans="1:3" x14ac:dyDescent="0.35">
      <c r="A247">
        <v>0</v>
      </c>
      <c r="B247">
        <v>0</v>
      </c>
      <c r="C247">
        <v>0</v>
      </c>
    </row>
    <row r="248" spans="1:3" x14ac:dyDescent="0.35">
      <c r="A248">
        <v>0</v>
      </c>
      <c r="B248">
        <v>0</v>
      </c>
      <c r="C248">
        <v>0</v>
      </c>
    </row>
    <row r="249" spans="1:3" x14ac:dyDescent="0.35">
      <c r="A249">
        <v>0</v>
      </c>
      <c r="B249">
        <v>0</v>
      </c>
      <c r="C249">
        <v>0</v>
      </c>
    </row>
    <row r="250" spans="1:3" x14ac:dyDescent="0.35">
      <c r="A250">
        <v>0</v>
      </c>
      <c r="B250">
        <v>0</v>
      </c>
      <c r="C250">
        <v>0</v>
      </c>
    </row>
    <row r="251" spans="1:3" x14ac:dyDescent="0.35">
      <c r="A251">
        <v>0</v>
      </c>
      <c r="B251">
        <v>0</v>
      </c>
      <c r="C251">
        <v>0</v>
      </c>
    </row>
    <row r="252" spans="1:3" x14ac:dyDescent="0.35">
      <c r="A252">
        <v>0</v>
      </c>
      <c r="B252">
        <v>0</v>
      </c>
      <c r="C252">
        <v>0</v>
      </c>
    </row>
    <row r="253" spans="1:3" x14ac:dyDescent="0.35">
      <c r="A253">
        <v>0</v>
      </c>
      <c r="B253">
        <v>0</v>
      </c>
      <c r="C253">
        <v>0</v>
      </c>
    </row>
    <row r="254" spans="1:3" x14ac:dyDescent="0.35">
      <c r="A254">
        <v>0</v>
      </c>
      <c r="B254">
        <v>0</v>
      </c>
      <c r="C254">
        <v>0</v>
      </c>
    </row>
    <row r="255" spans="1:3" x14ac:dyDescent="0.35">
      <c r="A255">
        <v>0</v>
      </c>
      <c r="B255">
        <v>0</v>
      </c>
      <c r="C255">
        <v>0</v>
      </c>
    </row>
    <row r="256" spans="1:3" x14ac:dyDescent="0.35">
      <c r="A256">
        <v>0</v>
      </c>
      <c r="B256">
        <v>0</v>
      </c>
      <c r="C256">
        <v>0</v>
      </c>
    </row>
    <row r="257" spans="1:3" x14ac:dyDescent="0.35">
      <c r="A257">
        <v>0</v>
      </c>
      <c r="B257">
        <v>0</v>
      </c>
      <c r="C257">
        <v>0</v>
      </c>
    </row>
    <row r="258" spans="1:3" x14ac:dyDescent="0.35">
      <c r="A258">
        <v>0</v>
      </c>
      <c r="B258">
        <v>0</v>
      </c>
      <c r="C258">
        <v>0</v>
      </c>
    </row>
    <row r="259" spans="1:3" x14ac:dyDescent="0.35">
      <c r="A259">
        <v>0</v>
      </c>
      <c r="B259">
        <v>0</v>
      </c>
      <c r="C259">
        <v>0</v>
      </c>
    </row>
    <row r="260" spans="1:3" x14ac:dyDescent="0.35">
      <c r="A260">
        <v>0</v>
      </c>
      <c r="B260">
        <v>0</v>
      </c>
      <c r="C260">
        <v>0</v>
      </c>
    </row>
    <row r="261" spans="1:3" x14ac:dyDescent="0.35">
      <c r="A261">
        <v>0</v>
      </c>
      <c r="B261">
        <v>0</v>
      </c>
      <c r="C261">
        <v>0</v>
      </c>
    </row>
    <row r="262" spans="1:3" x14ac:dyDescent="0.35">
      <c r="A262">
        <v>0</v>
      </c>
      <c r="B262">
        <v>0</v>
      </c>
      <c r="C262">
        <v>0</v>
      </c>
    </row>
    <row r="263" spans="1:3" x14ac:dyDescent="0.35">
      <c r="A263">
        <v>0</v>
      </c>
      <c r="B263">
        <v>0</v>
      </c>
      <c r="C263">
        <v>0</v>
      </c>
    </row>
    <row r="264" spans="1:3" x14ac:dyDescent="0.35">
      <c r="A264">
        <v>0</v>
      </c>
      <c r="B264">
        <v>0</v>
      </c>
      <c r="C264">
        <v>0</v>
      </c>
    </row>
    <row r="265" spans="1:3" x14ac:dyDescent="0.35">
      <c r="A265">
        <v>0</v>
      </c>
      <c r="B265">
        <v>0</v>
      </c>
      <c r="C265">
        <v>0</v>
      </c>
    </row>
    <row r="266" spans="1:3" x14ac:dyDescent="0.35">
      <c r="A266">
        <v>0</v>
      </c>
      <c r="B266">
        <v>0</v>
      </c>
      <c r="C266">
        <v>0</v>
      </c>
    </row>
    <row r="267" spans="1:3" x14ac:dyDescent="0.35">
      <c r="A267">
        <v>0</v>
      </c>
      <c r="B267">
        <v>0</v>
      </c>
      <c r="C267">
        <v>0</v>
      </c>
    </row>
    <row r="268" spans="1:3" x14ac:dyDescent="0.35">
      <c r="A268">
        <v>0</v>
      </c>
      <c r="B268">
        <v>0</v>
      </c>
      <c r="C268">
        <v>0</v>
      </c>
    </row>
    <row r="269" spans="1:3" x14ac:dyDescent="0.35">
      <c r="A269">
        <v>0</v>
      </c>
      <c r="B269">
        <v>0</v>
      </c>
      <c r="C269">
        <v>0</v>
      </c>
    </row>
    <row r="270" spans="1:3" x14ac:dyDescent="0.35">
      <c r="A270">
        <v>0</v>
      </c>
      <c r="B270">
        <v>0</v>
      </c>
      <c r="C270">
        <v>0</v>
      </c>
    </row>
    <row r="271" spans="1:3" x14ac:dyDescent="0.35">
      <c r="A271">
        <v>0</v>
      </c>
      <c r="B271">
        <v>0</v>
      </c>
      <c r="C271">
        <v>0</v>
      </c>
    </row>
    <row r="272" spans="1:3" x14ac:dyDescent="0.35">
      <c r="A272">
        <v>0</v>
      </c>
      <c r="B272">
        <v>0</v>
      </c>
      <c r="C272">
        <v>0</v>
      </c>
    </row>
    <row r="273" spans="1:3" x14ac:dyDescent="0.35">
      <c r="A273">
        <v>0</v>
      </c>
      <c r="B273">
        <v>0</v>
      </c>
      <c r="C273">
        <v>0</v>
      </c>
    </row>
    <row r="274" spans="1:3" x14ac:dyDescent="0.35">
      <c r="A274">
        <v>0</v>
      </c>
      <c r="B274">
        <v>0</v>
      </c>
      <c r="C274">
        <v>0</v>
      </c>
    </row>
    <row r="275" spans="1:3" x14ac:dyDescent="0.35">
      <c r="A275">
        <v>0</v>
      </c>
      <c r="B275">
        <v>0</v>
      </c>
      <c r="C275">
        <v>0</v>
      </c>
    </row>
    <row r="276" spans="1:3" x14ac:dyDescent="0.35">
      <c r="A276">
        <v>0</v>
      </c>
      <c r="B276">
        <v>0</v>
      </c>
      <c r="C276">
        <v>0</v>
      </c>
    </row>
    <row r="277" spans="1:3" x14ac:dyDescent="0.35">
      <c r="A277">
        <v>0</v>
      </c>
      <c r="B277">
        <v>0</v>
      </c>
      <c r="C277">
        <v>0</v>
      </c>
    </row>
    <row r="278" spans="1:3" x14ac:dyDescent="0.35">
      <c r="A278">
        <v>0</v>
      </c>
      <c r="B278">
        <v>0</v>
      </c>
      <c r="C278">
        <v>1</v>
      </c>
    </row>
    <row r="279" spans="1:3" x14ac:dyDescent="0.35">
      <c r="A279">
        <v>0</v>
      </c>
      <c r="B279">
        <v>0</v>
      </c>
      <c r="C279">
        <v>1</v>
      </c>
    </row>
    <row r="280" spans="1:3" x14ac:dyDescent="0.35">
      <c r="A280">
        <v>0</v>
      </c>
      <c r="B280">
        <v>0</v>
      </c>
      <c r="C280">
        <v>1</v>
      </c>
    </row>
    <row r="281" spans="1:3" x14ac:dyDescent="0.35">
      <c r="A281">
        <v>0</v>
      </c>
      <c r="B281">
        <v>0</v>
      </c>
      <c r="C281">
        <v>1</v>
      </c>
    </row>
    <row r="282" spans="1:3" x14ac:dyDescent="0.35">
      <c r="A282">
        <v>0</v>
      </c>
      <c r="B282">
        <v>0</v>
      </c>
      <c r="C282">
        <v>1</v>
      </c>
    </row>
    <row r="283" spans="1:3" x14ac:dyDescent="0.35">
      <c r="A283">
        <v>0</v>
      </c>
      <c r="B283">
        <v>0</v>
      </c>
      <c r="C283">
        <v>1</v>
      </c>
    </row>
    <row r="284" spans="1:3" x14ac:dyDescent="0.35">
      <c r="A284">
        <v>0</v>
      </c>
      <c r="B284">
        <v>0</v>
      </c>
      <c r="C284">
        <v>1</v>
      </c>
    </row>
    <row r="285" spans="1:3" x14ac:dyDescent="0.35">
      <c r="A285">
        <v>0</v>
      </c>
      <c r="B285">
        <v>0</v>
      </c>
      <c r="C285">
        <v>1</v>
      </c>
    </row>
    <row r="286" spans="1:3" x14ac:dyDescent="0.35">
      <c r="A286">
        <v>0</v>
      </c>
      <c r="B286">
        <v>0</v>
      </c>
      <c r="C286">
        <v>1</v>
      </c>
    </row>
    <row r="287" spans="1:3" x14ac:dyDescent="0.35">
      <c r="A287">
        <v>0</v>
      </c>
      <c r="B287">
        <v>0</v>
      </c>
      <c r="C287">
        <v>1</v>
      </c>
    </row>
    <row r="288" spans="1:3" x14ac:dyDescent="0.35">
      <c r="A288">
        <v>0</v>
      </c>
      <c r="B288">
        <v>0</v>
      </c>
      <c r="C288">
        <v>1</v>
      </c>
    </row>
    <row r="289" spans="1:3" x14ac:dyDescent="0.35">
      <c r="A289">
        <v>0</v>
      </c>
      <c r="B289">
        <v>0</v>
      </c>
      <c r="C289">
        <v>0</v>
      </c>
    </row>
    <row r="290" spans="1:3" x14ac:dyDescent="0.35">
      <c r="A290">
        <v>0</v>
      </c>
      <c r="B290">
        <v>0</v>
      </c>
      <c r="C290">
        <v>0</v>
      </c>
    </row>
    <row r="291" spans="1:3" x14ac:dyDescent="0.35">
      <c r="A291">
        <v>0</v>
      </c>
      <c r="B291">
        <v>0</v>
      </c>
      <c r="C291">
        <v>0</v>
      </c>
    </row>
    <row r="292" spans="1:3" x14ac:dyDescent="0.35">
      <c r="A292">
        <v>0</v>
      </c>
      <c r="B292">
        <v>0</v>
      </c>
      <c r="C292">
        <v>0</v>
      </c>
    </row>
    <row r="293" spans="1:3" x14ac:dyDescent="0.35">
      <c r="A293">
        <v>0</v>
      </c>
      <c r="B293">
        <v>0</v>
      </c>
      <c r="C293">
        <v>0</v>
      </c>
    </row>
    <row r="294" spans="1:3" x14ac:dyDescent="0.35">
      <c r="A294">
        <v>0</v>
      </c>
      <c r="B294">
        <v>0</v>
      </c>
      <c r="C294">
        <v>0</v>
      </c>
    </row>
    <row r="295" spans="1:3" x14ac:dyDescent="0.35">
      <c r="A295">
        <v>0</v>
      </c>
      <c r="B295">
        <v>0</v>
      </c>
      <c r="C295">
        <v>0</v>
      </c>
    </row>
    <row r="296" spans="1:3" x14ac:dyDescent="0.35">
      <c r="A296">
        <v>0</v>
      </c>
      <c r="B296">
        <v>0</v>
      </c>
      <c r="C296">
        <v>0</v>
      </c>
    </row>
    <row r="297" spans="1:3" x14ac:dyDescent="0.35">
      <c r="A297">
        <v>0</v>
      </c>
      <c r="B297">
        <v>0</v>
      </c>
      <c r="C297">
        <v>0</v>
      </c>
    </row>
    <row r="298" spans="1:3" x14ac:dyDescent="0.35">
      <c r="A298">
        <v>0</v>
      </c>
      <c r="B298">
        <v>0</v>
      </c>
      <c r="C298">
        <v>0</v>
      </c>
    </row>
    <row r="299" spans="1:3" x14ac:dyDescent="0.35">
      <c r="A299">
        <v>0</v>
      </c>
      <c r="B299">
        <v>0</v>
      </c>
      <c r="C299">
        <v>0</v>
      </c>
    </row>
    <row r="300" spans="1:3" x14ac:dyDescent="0.35">
      <c r="A300">
        <v>0</v>
      </c>
      <c r="B300">
        <v>0</v>
      </c>
      <c r="C300">
        <v>0</v>
      </c>
    </row>
    <row r="301" spans="1:3" x14ac:dyDescent="0.35">
      <c r="A301">
        <v>0</v>
      </c>
      <c r="B301">
        <v>0</v>
      </c>
      <c r="C301">
        <v>0</v>
      </c>
    </row>
    <row r="302" spans="1:3" x14ac:dyDescent="0.35">
      <c r="A302">
        <v>0</v>
      </c>
      <c r="B302">
        <v>0</v>
      </c>
      <c r="C302">
        <v>0</v>
      </c>
    </row>
    <row r="303" spans="1:3" x14ac:dyDescent="0.35">
      <c r="A303">
        <v>0</v>
      </c>
      <c r="B303">
        <v>0</v>
      </c>
      <c r="C303">
        <v>0</v>
      </c>
    </row>
    <row r="304" spans="1:3" x14ac:dyDescent="0.35">
      <c r="A304">
        <v>0</v>
      </c>
      <c r="B304">
        <v>0</v>
      </c>
      <c r="C304">
        <v>0</v>
      </c>
    </row>
    <row r="305" spans="1:3" x14ac:dyDescent="0.35">
      <c r="A305">
        <v>0</v>
      </c>
      <c r="B305">
        <v>0</v>
      </c>
      <c r="C305">
        <v>0</v>
      </c>
    </row>
    <row r="306" spans="1:3" x14ac:dyDescent="0.35">
      <c r="A306">
        <v>0</v>
      </c>
      <c r="B306">
        <v>0</v>
      </c>
      <c r="C306">
        <v>0</v>
      </c>
    </row>
    <row r="307" spans="1:3" x14ac:dyDescent="0.35">
      <c r="A307">
        <v>0</v>
      </c>
      <c r="B307">
        <v>0</v>
      </c>
      <c r="C307">
        <v>0</v>
      </c>
    </row>
    <row r="308" spans="1:3" x14ac:dyDescent="0.35">
      <c r="A308">
        <v>0</v>
      </c>
      <c r="B308">
        <v>0</v>
      </c>
      <c r="C308">
        <v>0</v>
      </c>
    </row>
    <row r="309" spans="1:3" x14ac:dyDescent="0.35">
      <c r="A309">
        <v>0</v>
      </c>
      <c r="B309">
        <v>0</v>
      </c>
      <c r="C309">
        <v>0</v>
      </c>
    </row>
    <row r="310" spans="1:3" x14ac:dyDescent="0.35">
      <c r="A310">
        <v>0</v>
      </c>
      <c r="B310">
        <v>0</v>
      </c>
      <c r="C310">
        <v>0</v>
      </c>
    </row>
    <row r="311" spans="1:3" x14ac:dyDescent="0.35">
      <c r="A311">
        <v>0</v>
      </c>
      <c r="B311">
        <v>0</v>
      </c>
      <c r="C311">
        <v>0</v>
      </c>
    </row>
    <row r="312" spans="1:3" x14ac:dyDescent="0.35">
      <c r="A312">
        <v>0</v>
      </c>
      <c r="B312">
        <v>0</v>
      </c>
      <c r="C312">
        <v>0</v>
      </c>
    </row>
    <row r="313" spans="1:3" x14ac:dyDescent="0.35">
      <c r="A313">
        <v>0</v>
      </c>
      <c r="B313">
        <v>0</v>
      </c>
      <c r="C313">
        <v>0</v>
      </c>
    </row>
    <row r="314" spans="1:3" x14ac:dyDescent="0.35">
      <c r="A314">
        <v>0</v>
      </c>
      <c r="B314">
        <v>0</v>
      </c>
      <c r="C314">
        <v>0</v>
      </c>
    </row>
    <row r="315" spans="1:3" x14ac:dyDescent="0.35">
      <c r="A315">
        <v>0</v>
      </c>
      <c r="B315">
        <v>0</v>
      </c>
      <c r="C315">
        <v>0</v>
      </c>
    </row>
    <row r="316" spans="1:3" x14ac:dyDescent="0.35">
      <c r="A316">
        <v>0</v>
      </c>
      <c r="B316">
        <v>0</v>
      </c>
      <c r="C316">
        <v>0</v>
      </c>
    </row>
    <row r="317" spans="1:3" x14ac:dyDescent="0.35">
      <c r="A317">
        <v>0</v>
      </c>
      <c r="B317">
        <v>0</v>
      </c>
      <c r="C317">
        <v>0</v>
      </c>
    </row>
    <row r="318" spans="1:3" x14ac:dyDescent="0.35">
      <c r="A318">
        <v>0</v>
      </c>
      <c r="B318">
        <v>0</v>
      </c>
      <c r="C318">
        <v>0</v>
      </c>
    </row>
    <row r="319" spans="1:3" x14ac:dyDescent="0.35">
      <c r="A319">
        <v>0</v>
      </c>
      <c r="B319">
        <v>0</v>
      </c>
      <c r="C319">
        <v>0</v>
      </c>
    </row>
    <row r="320" spans="1:3" x14ac:dyDescent="0.35">
      <c r="A320">
        <v>0</v>
      </c>
      <c r="B320">
        <v>0</v>
      </c>
      <c r="C320">
        <v>0</v>
      </c>
    </row>
    <row r="321" spans="1:3" x14ac:dyDescent="0.35">
      <c r="A321">
        <v>0</v>
      </c>
      <c r="B321">
        <v>0</v>
      </c>
      <c r="C321">
        <v>0</v>
      </c>
    </row>
    <row r="322" spans="1:3" x14ac:dyDescent="0.35">
      <c r="A322">
        <v>0</v>
      </c>
      <c r="B322">
        <v>0</v>
      </c>
      <c r="C322">
        <v>0</v>
      </c>
    </row>
    <row r="323" spans="1:3" x14ac:dyDescent="0.35">
      <c r="A323">
        <v>0</v>
      </c>
      <c r="B323">
        <v>0</v>
      </c>
      <c r="C323">
        <v>0</v>
      </c>
    </row>
    <row r="324" spans="1:3" x14ac:dyDescent="0.35">
      <c r="A324">
        <v>0</v>
      </c>
      <c r="B324">
        <v>0</v>
      </c>
      <c r="C324">
        <v>0</v>
      </c>
    </row>
    <row r="325" spans="1:3" x14ac:dyDescent="0.35">
      <c r="A325">
        <v>0</v>
      </c>
      <c r="B325">
        <v>0</v>
      </c>
      <c r="C325">
        <v>1</v>
      </c>
    </row>
    <row r="326" spans="1:3" x14ac:dyDescent="0.35">
      <c r="A326">
        <v>0</v>
      </c>
      <c r="B326">
        <v>0</v>
      </c>
      <c r="C326">
        <v>1</v>
      </c>
    </row>
    <row r="327" spans="1:3" x14ac:dyDescent="0.35">
      <c r="A327">
        <v>0</v>
      </c>
      <c r="B327">
        <v>0</v>
      </c>
      <c r="C327">
        <v>1</v>
      </c>
    </row>
    <row r="328" spans="1:3" x14ac:dyDescent="0.35">
      <c r="A328">
        <v>0</v>
      </c>
      <c r="B328">
        <v>0</v>
      </c>
      <c r="C328">
        <v>1</v>
      </c>
    </row>
    <row r="329" spans="1:3" x14ac:dyDescent="0.35">
      <c r="A329">
        <v>0</v>
      </c>
      <c r="B329">
        <v>0</v>
      </c>
      <c r="C329">
        <v>1</v>
      </c>
    </row>
    <row r="330" spans="1:3" x14ac:dyDescent="0.35">
      <c r="A330">
        <v>0</v>
      </c>
      <c r="B330">
        <v>0</v>
      </c>
      <c r="C330">
        <v>1</v>
      </c>
    </row>
    <row r="331" spans="1:3" x14ac:dyDescent="0.35">
      <c r="A331">
        <v>0</v>
      </c>
      <c r="B331">
        <v>0</v>
      </c>
      <c r="C331">
        <v>1</v>
      </c>
    </row>
    <row r="332" spans="1:3" x14ac:dyDescent="0.35">
      <c r="A332">
        <v>0</v>
      </c>
      <c r="B332">
        <v>0</v>
      </c>
      <c r="C332">
        <v>1</v>
      </c>
    </row>
    <row r="333" spans="1:3" x14ac:dyDescent="0.35">
      <c r="A333">
        <v>0</v>
      </c>
      <c r="B333">
        <v>0</v>
      </c>
      <c r="C333">
        <v>1</v>
      </c>
    </row>
    <row r="334" spans="1:3" x14ac:dyDescent="0.35">
      <c r="A334">
        <v>0</v>
      </c>
      <c r="B334">
        <v>0</v>
      </c>
      <c r="C334">
        <v>1</v>
      </c>
    </row>
    <row r="335" spans="1:3" x14ac:dyDescent="0.35">
      <c r="A335">
        <v>0</v>
      </c>
      <c r="B335">
        <v>0</v>
      </c>
      <c r="C335">
        <v>1</v>
      </c>
    </row>
    <row r="336" spans="1:3" x14ac:dyDescent="0.35">
      <c r="A336">
        <v>0</v>
      </c>
      <c r="B336">
        <v>0</v>
      </c>
      <c r="C336">
        <v>1</v>
      </c>
    </row>
    <row r="337" spans="1:3" x14ac:dyDescent="0.35">
      <c r="A337">
        <v>0</v>
      </c>
      <c r="B337">
        <v>0</v>
      </c>
      <c r="C337">
        <v>1</v>
      </c>
    </row>
    <row r="338" spans="1:3" x14ac:dyDescent="0.35">
      <c r="A338">
        <v>0</v>
      </c>
      <c r="B338">
        <v>0</v>
      </c>
      <c r="C338">
        <v>1</v>
      </c>
    </row>
    <row r="339" spans="1:3" x14ac:dyDescent="0.35">
      <c r="A339">
        <v>0</v>
      </c>
      <c r="B339">
        <v>0</v>
      </c>
      <c r="C339">
        <v>1</v>
      </c>
    </row>
    <row r="340" spans="1:3" x14ac:dyDescent="0.35">
      <c r="A340">
        <v>0</v>
      </c>
      <c r="B340">
        <v>0</v>
      </c>
      <c r="C340">
        <v>1</v>
      </c>
    </row>
    <row r="341" spans="1:3" x14ac:dyDescent="0.35">
      <c r="A341">
        <v>0</v>
      </c>
      <c r="B341">
        <v>0</v>
      </c>
      <c r="C341">
        <v>0</v>
      </c>
    </row>
    <row r="342" spans="1:3" x14ac:dyDescent="0.35">
      <c r="A342">
        <v>0</v>
      </c>
      <c r="B342">
        <v>0</v>
      </c>
      <c r="C342">
        <v>0</v>
      </c>
    </row>
    <row r="343" spans="1:3" x14ac:dyDescent="0.35">
      <c r="A343">
        <v>0</v>
      </c>
      <c r="B343">
        <v>0</v>
      </c>
      <c r="C343">
        <v>0</v>
      </c>
    </row>
    <row r="344" spans="1:3" x14ac:dyDescent="0.35">
      <c r="A344">
        <v>0</v>
      </c>
      <c r="B344">
        <v>0</v>
      </c>
      <c r="C344">
        <v>0</v>
      </c>
    </row>
    <row r="345" spans="1:3" x14ac:dyDescent="0.35">
      <c r="A345">
        <v>0</v>
      </c>
      <c r="B345">
        <v>0</v>
      </c>
      <c r="C345">
        <v>0</v>
      </c>
    </row>
    <row r="346" spans="1:3" x14ac:dyDescent="0.35">
      <c r="A346">
        <v>0</v>
      </c>
      <c r="B346">
        <v>0</v>
      </c>
      <c r="C346">
        <v>0</v>
      </c>
    </row>
    <row r="347" spans="1:3" x14ac:dyDescent="0.35">
      <c r="A347">
        <v>0</v>
      </c>
      <c r="B347">
        <v>0</v>
      </c>
      <c r="C347">
        <v>0</v>
      </c>
    </row>
    <row r="348" spans="1:3" x14ac:dyDescent="0.35">
      <c r="A348">
        <v>0</v>
      </c>
      <c r="B348">
        <v>0</v>
      </c>
      <c r="C348">
        <v>0</v>
      </c>
    </row>
    <row r="349" spans="1:3" x14ac:dyDescent="0.35">
      <c r="A349">
        <v>0</v>
      </c>
      <c r="B349">
        <v>0</v>
      </c>
      <c r="C349">
        <v>0</v>
      </c>
    </row>
    <row r="350" spans="1:3" x14ac:dyDescent="0.35">
      <c r="A350">
        <v>0</v>
      </c>
      <c r="B350">
        <v>0</v>
      </c>
      <c r="C350">
        <v>0</v>
      </c>
    </row>
    <row r="351" spans="1:3" x14ac:dyDescent="0.35">
      <c r="A351">
        <v>0</v>
      </c>
      <c r="B351">
        <v>0</v>
      </c>
      <c r="C351">
        <v>0</v>
      </c>
    </row>
    <row r="352" spans="1:3" x14ac:dyDescent="0.35">
      <c r="A352">
        <v>0</v>
      </c>
      <c r="B352">
        <v>0</v>
      </c>
      <c r="C352">
        <v>0</v>
      </c>
    </row>
    <row r="353" spans="1:3" x14ac:dyDescent="0.35">
      <c r="A353">
        <v>0</v>
      </c>
      <c r="B353">
        <v>0</v>
      </c>
      <c r="C353">
        <v>0</v>
      </c>
    </row>
    <row r="354" spans="1:3" x14ac:dyDescent="0.35">
      <c r="A354">
        <v>0</v>
      </c>
      <c r="B354">
        <v>0</v>
      </c>
      <c r="C354">
        <v>0</v>
      </c>
    </row>
    <row r="355" spans="1:3" x14ac:dyDescent="0.35">
      <c r="A355">
        <v>0</v>
      </c>
      <c r="B355">
        <v>0</v>
      </c>
      <c r="C355">
        <v>0</v>
      </c>
    </row>
    <row r="356" spans="1:3" x14ac:dyDescent="0.35">
      <c r="A356">
        <v>0</v>
      </c>
      <c r="B356">
        <v>0</v>
      </c>
      <c r="C356">
        <v>0</v>
      </c>
    </row>
    <row r="357" spans="1:3" x14ac:dyDescent="0.35">
      <c r="A357">
        <v>0</v>
      </c>
      <c r="B357">
        <v>0</v>
      </c>
      <c r="C357">
        <v>0</v>
      </c>
    </row>
    <row r="358" spans="1:3" x14ac:dyDescent="0.35">
      <c r="A358">
        <v>0</v>
      </c>
      <c r="B358">
        <v>0</v>
      </c>
      <c r="C358">
        <v>0</v>
      </c>
    </row>
    <row r="359" spans="1:3" x14ac:dyDescent="0.35">
      <c r="A359">
        <v>0</v>
      </c>
      <c r="B359">
        <v>0</v>
      </c>
      <c r="C359">
        <v>0</v>
      </c>
    </row>
    <row r="360" spans="1:3" x14ac:dyDescent="0.35">
      <c r="A360">
        <v>0</v>
      </c>
      <c r="B360">
        <v>0</v>
      </c>
      <c r="C360">
        <v>0</v>
      </c>
    </row>
    <row r="361" spans="1:3" x14ac:dyDescent="0.35">
      <c r="A361">
        <v>0</v>
      </c>
      <c r="B361">
        <v>0</v>
      </c>
      <c r="C361">
        <v>0</v>
      </c>
    </row>
    <row r="362" spans="1:3" x14ac:dyDescent="0.35">
      <c r="A362">
        <v>0</v>
      </c>
      <c r="B362">
        <v>0</v>
      </c>
      <c r="C362">
        <v>0</v>
      </c>
    </row>
    <row r="363" spans="1:3" x14ac:dyDescent="0.35">
      <c r="A363">
        <v>0</v>
      </c>
      <c r="B363">
        <v>0</v>
      </c>
      <c r="C363">
        <v>0</v>
      </c>
    </row>
    <row r="364" spans="1:3" x14ac:dyDescent="0.35">
      <c r="A364">
        <v>0</v>
      </c>
      <c r="B364">
        <v>0</v>
      </c>
      <c r="C364">
        <v>0</v>
      </c>
    </row>
    <row r="365" spans="1:3" x14ac:dyDescent="0.35">
      <c r="A365">
        <v>0</v>
      </c>
      <c r="B365">
        <v>0</v>
      </c>
      <c r="C365">
        <v>0</v>
      </c>
    </row>
    <row r="366" spans="1:3" x14ac:dyDescent="0.35">
      <c r="A366">
        <v>0</v>
      </c>
      <c r="B366">
        <v>0</v>
      </c>
      <c r="C366">
        <v>0</v>
      </c>
    </row>
    <row r="367" spans="1:3" x14ac:dyDescent="0.35">
      <c r="A367">
        <v>0</v>
      </c>
      <c r="B367">
        <v>0</v>
      </c>
      <c r="C367">
        <v>0</v>
      </c>
    </row>
    <row r="368" spans="1:3" x14ac:dyDescent="0.35">
      <c r="A368">
        <v>0</v>
      </c>
      <c r="B368">
        <v>0</v>
      </c>
      <c r="C368">
        <v>0</v>
      </c>
    </row>
    <row r="369" spans="1:3" x14ac:dyDescent="0.35">
      <c r="A369">
        <v>0</v>
      </c>
      <c r="B369">
        <v>0</v>
      </c>
      <c r="C369">
        <v>0</v>
      </c>
    </row>
    <row r="370" spans="1:3" x14ac:dyDescent="0.35">
      <c r="A370">
        <v>0</v>
      </c>
      <c r="B370">
        <v>0</v>
      </c>
      <c r="C370">
        <v>0</v>
      </c>
    </row>
    <row r="371" spans="1:3" x14ac:dyDescent="0.35">
      <c r="A371">
        <v>0</v>
      </c>
      <c r="B371">
        <v>0</v>
      </c>
      <c r="C371">
        <v>0</v>
      </c>
    </row>
    <row r="372" spans="1:3" x14ac:dyDescent="0.35">
      <c r="A372">
        <v>0</v>
      </c>
      <c r="B372">
        <v>0</v>
      </c>
      <c r="C372">
        <v>0</v>
      </c>
    </row>
    <row r="373" spans="1:3" x14ac:dyDescent="0.35">
      <c r="A373">
        <v>0</v>
      </c>
      <c r="B373">
        <v>0</v>
      </c>
      <c r="C373">
        <v>0</v>
      </c>
    </row>
    <row r="374" spans="1:3" x14ac:dyDescent="0.35">
      <c r="A374">
        <v>0</v>
      </c>
      <c r="B374">
        <v>0</v>
      </c>
      <c r="C374">
        <v>0</v>
      </c>
    </row>
    <row r="375" spans="1:3" x14ac:dyDescent="0.35">
      <c r="A375">
        <v>0</v>
      </c>
      <c r="B375">
        <v>0</v>
      </c>
      <c r="C375">
        <v>0</v>
      </c>
    </row>
    <row r="376" spans="1:3" x14ac:dyDescent="0.35">
      <c r="A376">
        <v>0</v>
      </c>
      <c r="B376">
        <v>0</v>
      </c>
      <c r="C376">
        <v>0</v>
      </c>
    </row>
    <row r="377" spans="1:3" x14ac:dyDescent="0.35">
      <c r="A377">
        <v>0</v>
      </c>
      <c r="B377">
        <v>0</v>
      </c>
      <c r="C377">
        <v>0</v>
      </c>
    </row>
    <row r="378" spans="1:3" x14ac:dyDescent="0.35">
      <c r="A378">
        <v>0</v>
      </c>
      <c r="B378">
        <v>0</v>
      </c>
      <c r="C378">
        <v>0</v>
      </c>
    </row>
    <row r="379" spans="1:3" x14ac:dyDescent="0.35">
      <c r="A379">
        <v>0</v>
      </c>
      <c r="B379">
        <v>0</v>
      </c>
      <c r="C379">
        <v>0</v>
      </c>
    </row>
    <row r="380" spans="1:3" x14ac:dyDescent="0.35">
      <c r="A380">
        <v>0</v>
      </c>
      <c r="B380">
        <v>0</v>
      </c>
      <c r="C380">
        <v>0</v>
      </c>
    </row>
    <row r="381" spans="1:3" x14ac:dyDescent="0.35">
      <c r="A381">
        <v>0</v>
      </c>
      <c r="B381">
        <v>0</v>
      </c>
      <c r="C381">
        <v>0</v>
      </c>
    </row>
    <row r="382" spans="1:3" x14ac:dyDescent="0.35">
      <c r="A382">
        <v>0</v>
      </c>
      <c r="B382">
        <v>0</v>
      </c>
      <c r="C382">
        <v>0</v>
      </c>
    </row>
    <row r="383" spans="1:3" x14ac:dyDescent="0.35">
      <c r="A383">
        <v>0</v>
      </c>
      <c r="B383">
        <v>0</v>
      </c>
      <c r="C383">
        <v>0</v>
      </c>
    </row>
    <row r="384" spans="1:3" x14ac:dyDescent="0.35">
      <c r="A384">
        <v>0</v>
      </c>
      <c r="B384">
        <v>0</v>
      </c>
      <c r="C384">
        <v>0</v>
      </c>
    </row>
    <row r="385" spans="1:3" x14ac:dyDescent="0.35">
      <c r="A385">
        <v>0</v>
      </c>
      <c r="B385">
        <v>0</v>
      </c>
      <c r="C385">
        <v>0</v>
      </c>
    </row>
    <row r="386" spans="1:3" x14ac:dyDescent="0.35">
      <c r="A386">
        <v>0</v>
      </c>
      <c r="B386">
        <v>0</v>
      </c>
      <c r="C386">
        <v>0</v>
      </c>
    </row>
    <row r="387" spans="1:3" x14ac:dyDescent="0.35">
      <c r="A387">
        <v>0</v>
      </c>
      <c r="B387">
        <v>0</v>
      </c>
      <c r="C387">
        <v>0</v>
      </c>
    </row>
    <row r="388" spans="1:3" x14ac:dyDescent="0.35">
      <c r="A388">
        <v>0</v>
      </c>
      <c r="B388">
        <v>0</v>
      </c>
      <c r="C388">
        <v>0</v>
      </c>
    </row>
    <row r="389" spans="1:3" x14ac:dyDescent="0.35">
      <c r="A389">
        <v>0</v>
      </c>
      <c r="B389">
        <v>0</v>
      </c>
      <c r="C389">
        <v>0</v>
      </c>
    </row>
    <row r="390" spans="1:3" x14ac:dyDescent="0.35">
      <c r="A390">
        <v>0</v>
      </c>
      <c r="B390">
        <v>0</v>
      </c>
      <c r="C390">
        <v>0</v>
      </c>
    </row>
    <row r="391" spans="1:3" x14ac:dyDescent="0.35">
      <c r="A391">
        <v>0</v>
      </c>
      <c r="B391">
        <v>0</v>
      </c>
      <c r="C391">
        <v>0</v>
      </c>
    </row>
    <row r="392" spans="1:3" x14ac:dyDescent="0.35">
      <c r="A392">
        <v>0</v>
      </c>
      <c r="B392">
        <v>0</v>
      </c>
      <c r="C392">
        <v>0</v>
      </c>
    </row>
    <row r="393" spans="1:3" x14ac:dyDescent="0.35">
      <c r="A393">
        <v>0</v>
      </c>
      <c r="B393">
        <v>0</v>
      </c>
      <c r="C393">
        <v>0</v>
      </c>
    </row>
    <row r="394" spans="1:3" x14ac:dyDescent="0.35">
      <c r="A394">
        <v>0</v>
      </c>
      <c r="B394">
        <v>0</v>
      </c>
      <c r="C394">
        <v>0</v>
      </c>
    </row>
    <row r="395" spans="1:3" x14ac:dyDescent="0.35">
      <c r="A395">
        <v>0</v>
      </c>
      <c r="B395">
        <v>0</v>
      </c>
      <c r="C395">
        <v>0</v>
      </c>
    </row>
    <row r="396" spans="1:3" x14ac:dyDescent="0.35">
      <c r="A396">
        <v>0</v>
      </c>
      <c r="B396">
        <v>0</v>
      </c>
      <c r="C396">
        <v>0</v>
      </c>
    </row>
    <row r="397" spans="1:3" x14ac:dyDescent="0.35">
      <c r="A397">
        <v>0</v>
      </c>
      <c r="B397">
        <v>0</v>
      </c>
      <c r="C397">
        <v>0</v>
      </c>
    </row>
    <row r="398" spans="1:3" x14ac:dyDescent="0.35">
      <c r="A398">
        <v>0</v>
      </c>
      <c r="B398">
        <v>0</v>
      </c>
      <c r="C398">
        <v>0</v>
      </c>
    </row>
    <row r="399" spans="1:3" x14ac:dyDescent="0.35">
      <c r="A399">
        <v>0</v>
      </c>
      <c r="B399">
        <v>0</v>
      </c>
      <c r="C399">
        <v>1</v>
      </c>
    </row>
    <row r="400" spans="1:3" x14ac:dyDescent="0.35">
      <c r="A400">
        <v>0</v>
      </c>
      <c r="B400">
        <v>0</v>
      </c>
      <c r="C400">
        <v>1</v>
      </c>
    </row>
    <row r="401" spans="1:3" x14ac:dyDescent="0.35">
      <c r="A401">
        <v>0</v>
      </c>
      <c r="B401">
        <v>0</v>
      </c>
      <c r="C401">
        <v>1</v>
      </c>
    </row>
    <row r="402" spans="1:3" x14ac:dyDescent="0.35">
      <c r="A402">
        <v>0</v>
      </c>
      <c r="B402">
        <v>0</v>
      </c>
      <c r="C402">
        <v>1</v>
      </c>
    </row>
    <row r="403" spans="1:3" x14ac:dyDescent="0.35">
      <c r="A403">
        <v>0</v>
      </c>
      <c r="B403">
        <v>0</v>
      </c>
      <c r="C403">
        <v>1</v>
      </c>
    </row>
    <row r="404" spans="1:3" x14ac:dyDescent="0.35">
      <c r="A404">
        <v>0</v>
      </c>
      <c r="B404">
        <v>0</v>
      </c>
      <c r="C404">
        <v>1</v>
      </c>
    </row>
    <row r="405" spans="1:3" x14ac:dyDescent="0.35">
      <c r="A405">
        <v>0</v>
      </c>
      <c r="B405">
        <v>0</v>
      </c>
      <c r="C405">
        <v>0</v>
      </c>
    </row>
    <row r="406" spans="1:3" x14ac:dyDescent="0.35">
      <c r="A406">
        <v>0</v>
      </c>
      <c r="B406">
        <v>0</v>
      </c>
      <c r="C406">
        <v>0</v>
      </c>
    </row>
    <row r="407" spans="1:3" x14ac:dyDescent="0.35">
      <c r="A407">
        <v>0</v>
      </c>
      <c r="B407">
        <v>0</v>
      </c>
      <c r="C407">
        <v>0</v>
      </c>
    </row>
    <row r="408" spans="1:3" x14ac:dyDescent="0.35">
      <c r="A408">
        <v>0</v>
      </c>
      <c r="B408">
        <v>0</v>
      </c>
      <c r="C408">
        <v>0</v>
      </c>
    </row>
    <row r="409" spans="1:3" x14ac:dyDescent="0.35">
      <c r="A409">
        <v>0</v>
      </c>
      <c r="B409">
        <v>0</v>
      </c>
      <c r="C409">
        <v>0</v>
      </c>
    </row>
    <row r="410" spans="1:3" x14ac:dyDescent="0.35">
      <c r="A410">
        <v>0</v>
      </c>
      <c r="B410">
        <v>0</v>
      </c>
      <c r="C410">
        <v>0</v>
      </c>
    </row>
    <row r="411" spans="1:3" x14ac:dyDescent="0.35">
      <c r="A411">
        <v>0</v>
      </c>
      <c r="B411">
        <v>0</v>
      </c>
      <c r="C411">
        <v>0</v>
      </c>
    </row>
    <row r="412" spans="1:3" x14ac:dyDescent="0.35">
      <c r="A412">
        <v>0</v>
      </c>
      <c r="B412">
        <v>0</v>
      </c>
      <c r="C412">
        <v>0</v>
      </c>
    </row>
    <row r="413" spans="1:3" x14ac:dyDescent="0.35">
      <c r="A413">
        <v>0</v>
      </c>
      <c r="B413">
        <v>0</v>
      </c>
      <c r="C413">
        <v>0</v>
      </c>
    </row>
    <row r="414" spans="1:3" x14ac:dyDescent="0.35">
      <c r="A414">
        <v>0</v>
      </c>
      <c r="B414">
        <v>0</v>
      </c>
      <c r="C414">
        <v>0</v>
      </c>
    </row>
    <row r="415" spans="1:3" x14ac:dyDescent="0.35">
      <c r="A415">
        <v>0</v>
      </c>
      <c r="B415">
        <v>0</v>
      </c>
      <c r="C415">
        <v>0</v>
      </c>
    </row>
    <row r="416" spans="1:3" x14ac:dyDescent="0.35">
      <c r="A416">
        <v>0</v>
      </c>
      <c r="B416">
        <v>0</v>
      </c>
      <c r="C416">
        <v>0</v>
      </c>
    </row>
    <row r="417" spans="1:3" x14ac:dyDescent="0.35">
      <c r="A417">
        <v>0</v>
      </c>
      <c r="B417">
        <v>0</v>
      </c>
      <c r="C417">
        <v>1</v>
      </c>
    </row>
    <row r="418" spans="1:3" x14ac:dyDescent="0.35">
      <c r="A418">
        <v>0</v>
      </c>
      <c r="B418">
        <v>0</v>
      </c>
      <c r="C418">
        <v>1</v>
      </c>
    </row>
    <row r="419" spans="1:3" x14ac:dyDescent="0.35">
      <c r="A419">
        <v>0</v>
      </c>
      <c r="B419">
        <v>0</v>
      </c>
      <c r="C419">
        <v>1</v>
      </c>
    </row>
    <row r="420" spans="1:3" x14ac:dyDescent="0.35">
      <c r="A420">
        <v>0</v>
      </c>
      <c r="B420">
        <v>0</v>
      </c>
      <c r="C420">
        <v>1</v>
      </c>
    </row>
    <row r="421" spans="1:3" x14ac:dyDescent="0.35">
      <c r="A421">
        <v>0</v>
      </c>
      <c r="B421">
        <v>0</v>
      </c>
      <c r="C421">
        <v>1</v>
      </c>
    </row>
    <row r="422" spans="1:3" x14ac:dyDescent="0.35">
      <c r="A422">
        <v>0</v>
      </c>
      <c r="B422">
        <v>0</v>
      </c>
      <c r="C422">
        <v>1</v>
      </c>
    </row>
    <row r="423" spans="1:3" x14ac:dyDescent="0.35">
      <c r="A423">
        <v>0</v>
      </c>
      <c r="B423">
        <v>0</v>
      </c>
      <c r="C423">
        <v>1</v>
      </c>
    </row>
    <row r="424" spans="1:3" x14ac:dyDescent="0.35">
      <c r="A424">
        <v>0</v>
      </c>
      <c r="B424">
        <v>0</v>
      </c>
      <c r="C424">
        <v>1</v>
      </c>
    </row>
    <row r="425" spans="1:3" x14ac:dyDescent="0.35">
      <c r="A425">
        <v>0</v>
      </c>
      <c r="B425">
        <v>0</v>
      </c>
      <c r="C425">
        <v>1</v>
      </c>
    </row>
    <row r="426" spans="1:3" x14ac:dyDescent="0.35">
      <c r="A426">
        <v>0</v>
      </c>
      <c r="B426">
        <v>0</v>
      </c>
      <c r="C426">
        <v>1</v>
      </c>
    </row>
    <row r="427" spans="1:3" x14ac:dyDescent="0.35">
      <c r="A427">
        <v>0</v>
      </c>
      <c r="B427">
        <v>0</v>
      </c>
      <c r="C427">
        <v>1</v>
      </c>
    </row>
    <row r="428" spans="1:3" x14ac:dyDescent="0.35">
      <c r="A428">
        <v>0</v>
      </c>
      <c r="B428">
        <v>0</v>
      </c>
      <c r="C428">
        <v>1</v>
      </c>
    </row>
    <row r="429" spans="1:3" x14ac:dyDescent="0.35">
      <c r="A429">
        <v>0</v>
      </c>
      <c r="B429">
        <v>0</v>
      </c>
      <c r="C429">
        <v>1</v>
      </c>
    </row>
    <row r="430" spans="1:3" x14ac:dyDescent="0.35">
      <c r="A430">
        <v>0</v>
      </c>
      <c r="B430">
        <v>0</v>
      </c>
      <c r="C430">
        <v>1</v>
      </c>
    </row>
    <row r="431" spans="1:3" x14ac:dyDescent="0.35">
      <c r="A431">
        <v>0</v>
      </c>
      <c r="B431">
        <v>0</v>
      </c>
      <c r="C431">
        <v>1</v>
      </c>
    </row>
    <row r="432" spans="1:3" x14ac:dyDescent="0.35">
      <c r="A432">
        <v>0</v>
      </c>
      <c r="B432">
        <v>0</v>
      </c>
      <c r="C432">
        <v>1</v>
      </c>
    </row>
    <row r="433" spans="1:3" x14ac:dyDescent="0.35">
      <c r="A433">
        <v>0</v>
      </c>
      <c r="B433">
        <v>0</v>
      </c>
      <c r="C433">
        <v>0</v>
      </c>
    </row>
    <row r="434" spans="1:3" x14ac:dyDescent="0.35">
      <c r="A434">
        <v>0</v>
      </c>
      <c r="B434">
        <v>0</v>
      </c>
      <c r="C434">
        <v>0</v>
      </c>
    </row>
    <row r="435" spans="1:3" x14ac:dyDescent="0.35">
      <c r="A435">
        <v>0</v>
      </c>
      <c r="B435">
        <v>0</v>
      </c>
      <c r="C435">
        <v>0</v>
      </c>
    </row>
    <row r="436" spans="1:3" x14ac:dyDescent="0.35">
      <c r="A436">
        <v>0</v>
      </c>
      <c r="B436">
        <v>0</v>
      </c>
      <c r="C436">
        <v>0</v>
      </c>
    </row>
    <row r="437" spans="1:3" x14ac:dyDescent="0.35">
      <c r="A437">
        <v>0</v>
      </c>
      <c r="B437">
        <v>0</v>
      </c>
      <c r="C437">
        <v>0</v>
      </c>
    </row>
    <row r="438" spans="1:3" x14ac:dyDescent="0.35">
      <c r="A438">
        <v>0</v>
      </c>
      <c r="B438">
        <v>0</v>
      </c>
      <c r="C438">
        <v>0</v>
      </c>
    </row>
    <row r="439" spans="1:3" x14ac:dyDescent="0.35">
      <c r="A439">
        <v>0</v>
      </c>
      <c r="B439">
        <v>0</v>
      </c>
      <c r="C439">
        <v>0</v>
      </c>
    </row>
    <row r="440" spans="1:3" x14ac:dyDescent="0.35">
      <c r="A440">
        <v>0</v>
      </c>
      <c r="B440">
        <v>0</v>
      </c>
      <c r="C440">
        <v>0</v>
      </c>
    </row>
    <row r="441" spans="1:3" x14ac:dyDescent="0.35">
      <c r="A441">
        <v>0</v>
      </c>
      <c r="B441">
        <v>0</v>
      </c>
      <c r="C441">
        <v>0</v>
      </c>
    </row>
    <row r="442" spans="1:3" x14ac:dyDescent="0.35">
      <c r="A442">
        <v>0</v>
      </c>
      <c r="B442">
        <v>0</v>
      </c>
      <c r="C442">
        <v>0</v>
      </c>
    </row>
    <row r="443" spans="1:3" x14ac:dyDescent="0.35">
      <c r="A443">
        <v>0</v>
      </c>
      <c r="B443">
        <v>0</v>
      </c>
      <c r="C443">
        <v>0</v>
      </c>
    </row>
    <row r="444" spans="1:3" x14ac:dyDescent="0.35">
      <c r="A444">
        <v>0</v>
      </c>
      <c r="B444">
        <v>0</v>
      </c>
      <c r="C444">
        <v>0</v>
      </c>
    </row>
    <row r="445" spans="1:3" x14ac:dyDescent="0.35">
      <c r="A445">
        <v>0</v>
      </c>
      <c r="B445">
        <v>0</v>
      </c>
      <c r="C445">
        <v>0</v>
      </c>
    </row>
    <row r="446" spans="1:3" x14ac:dyDescent="0.35">
      <c r="A446">
        <v>0</v>
      </c>
      <c r="B446">
        <v>0</v>
      </c>
      <c r="C446">
        <v>0</v>
      </c>
    </row>
    <row r="447" spans="1:3" x14ac:dyDescent="0.35">
      <c r="A447">
        <v>0</v>
      </c>
      <c r="B447">
        <v>0</v>
      </c>
      <c r="C447">
        <v>0</v>
      </c>
    </row>
    <row r="448" spans="1:3" x14ac:dyDescent="0.35">
      <c r="A448">
        <v>0</v>
      </c>
      <c r="B448">
        <v>0</v>
      </c>
      <c r="C448">
        <v>0</v>
      </c>
    </row>
    <row r="449" spans="1:3" x14ac:dyDescent="0.35">
      <c r="A449">
        <v>0</v>
      </c>
      <c r="B449">
        <v>0</v>
      </c>
      <c r="C449">
        <v>0</v>
      </c>
    </row>
    <row r="450" spans="1:3" x14ac:dyDescent="0.35">
      <c r="A450">
        <v>0</v>
      </c>
      <c r="B450">
        <v>0</v>
      </c>
      <c r="C450">
        <v>0</v>
      </c>
    </row>
    <row r="451" spans="1:3" x14ac:dyDescent="0.35">
      <c r="A451">
        <v>0</v>
      </c>
      <c r="B451">
        <v>0</v>
      </c>
      <c r="C451">
        <v>0</v>
      </c>
    </row>
    <row r="452" spans="1:3" x14ac:dyDescent="0.35">
      <c r="A452">
        <v>0</v>
      </c>
      <c r="B452">
        <v>0</v>
      </c>
      <c r="C452">
        <v>0</v>
      </c>
    </row>
    <row r="453" spans="1:3" x14ac:dyDescent="0.35">
      <c r="A453">
        <v>0</v>
      </c>
      <c r="B453">
        <v>0</v>
      </c>
      <c r="C453">
        <v>0</v>
      </c>
    </row>
    <row r="454" spans="1:3" x14ac:dyDescent="0.35">
      <c r="A454">
        <v>0</v>
      </c>
      <c r="B454">
        <v>0</v>
      </c>
      <c r="C454">
        <v>0</v>
      </c>
    </row>
    <row r="455" spans="1:3" x14ac:dyDescent="0.35">
      <c r="A455">
        <v>0</v>
      </c>
      <c r="B455">
        <v>0</v>
      </c>
      <c r="C455">
        <v>0</v>
      </c>
    </row>
    <row r="456" spans="1:3" x14ac:dyDescent="0.35">
      <c r="A456">
        <v>0</v>
      </c>
      <c r="B456">
        <v>0</v>
      </c>
      <c r="C456">
        <v>0</v>
      </c>
    </row>
    <row r="457" spans="1:3" x14ac:dyDescent="0.35">
      <c r="A457">
        <v>0</v>
      </c>
      <c r="B457">
        <v>0</v>
      </c>
      <c r="C457">
        <v>0</v>
      </c>
    </row>
    <row r="458" spans="1:3" x14ac:dyDescent="0.35">
      <c r="A458">
        <v>0</v>
      </c>
      <c r="B458">
        <v>0</v>
      </c>
      <c r="C458">
        <v>0</v>
      </c>
    </row>
    <row r="459" spans="1:3" x14ac:dyDescent="0.35">
      <c r="A459">
        <v>0</v>
      </c>
      <c r="B459">
        <v>0</v>
      </c>
      <c r="C459">
        <v>0</v>
      </c>
    </row>
    <row r="460" spans="1:3" x14ac:dyDescent="0.35">
      <c r="A460">
        <v>0</v>
      </c>
      <c r="B460">
        <v>0</v>
      </c>
      <c r="C460">
        <v>0</v>
      </c>
    </row>
    <row r="461" spans="1:3" x14ac:dyDescent="0.35">
      <c r="A461">
        <v>0</v>
      </c>
      <c r="B461">
        <v>0</v>
      </c>
      <c r="C461">
        <v>0</v>
      </c>
    </row>
    <row r="462" spans="1:3" x14ac:dyDescent="0.35">
      <c r="A462">
        <v>0</v>
      </c>
      <c r="B462">
        <v>0</v>
      </c>
      <c r="C462">
        <v>0</v>
      </c>
    </row>
    <row r="463" spans="1:3" x14ac:dyDescent="0.35">
      <c r="A463">
        <v>0</v>
      </c>
      <c r="B463">
        <v>0</v>
      </c>
      <c r="C463">
        <v>0</v>
      </c>
    </row>
    <row r="464" spans="1:3" x14ac:dyDescent="0.35">
      <c r="A464">
        <v>0</v>
      </c>
      <c r="B464">
        <v>0</v>
      </c>
      <c r="C464">
        <v>0</v>
      </c>
    </row>
    <row r="465" spans="1:3" x14ac:dyDescent="0.35">
      <c r="A465">
        <v>0</v>
      </c>
      <c r="B465">
        <v>0</v>
      </c>
      <c r="C465">
        <v>0</v>
      </c>
    </row>
    <row r="466" spans="1:3" x14ac:dyDescent="0.35">
      <c r="A466">
        <v>0</v>
      </c>
      <c r="B466">
        <v>0</v>
      </c>
      <c r="C466">
        <v>0</v>
      </c>
    </row>
    <row r="467" spans="1:3" x14ac:dyDescent="0.35">
      <c r="A467">
        <v>0</v>
      </c>
      <c r="B467">
        <v>0</v>
      </c>
      <c r="C467">
        <v>0</v>
      </c>
    </row>
    <row r="468" spans="1:3" x14ac:dyDescent="0.35">
      <c r="A468">
        <v>0</v>
      </c>
      <c r="B468">
        <v>0</v>
      </c>
      <c r="C468">
        <v>0</v>
      </c>
    </row>
    <row r="469" spans="1:3" x14ac:dyDescent="0.35">
      <c r="A469">
        <v>0</v>
      </c>
      <c r="B469">
        <v>0</v>
      </c>
      <c r="C469">
        <v>0</v>
      </c>
    </row>
    <row r="470" spans="1:3" x14ac:dyDescent="0.35">
      <c r="A470">
        <v>0</v>
      </c>
      <c r="B470">
        <v>0</v>
      </c>
      <c r="C470">
        <v>0</v>
      </c>
    </row>
    <row r="471" spans="1:3" x14ac:dyDescent="0.35">
      <c r="A471">
        <v>0</v>
      </c>
      <c r="B471">
        <v>0</v>
      </c>
      <c r="C471">
        <v>0</v>
      </c>
    </row>
    <row r="472" spans="1:3" x14ac:dyDescent="0.35">
      <c r="A472">
        <v>0</v>
      </c>
      <c r="B472">
        <v>1</v>
      </c>
      <c r="C472">
        <v>0</v>
      </c>
    </row>
    <row r="473" spans="1:3" x14ac:dyDescent="0.35">
      <c r="A473">
        <v>0</v>
      </c>
      <c r="B473">
        <v>1</v>
      </c>
      <c r="C473">
        <v>0</v>
      </c>
    </row>
    <row r="474" spans="1:3" x14ac:dyDescent="0.35">
      <c r="A474">
        <v>1</v>
      </c>
      <c r="B474">
        <v>1</v>
      </c>
      <c r="C474">
        <v>0</v>
      </c>
    </row>
    <row r="475" spans="1:3" x14ac:dyDescent="0.35">
      <c r="A475">
        <v>1</v>
      </c>
      <c r="B475">
        <v>0</v>
      </c>
      <c r="C475">
        <v>0</v>
      </c>
    </row>
    <row r="476" spans="1:3" x14ac:dyDescent="0.35">
      <c r="A476">
        <v>1</v>
      </c>
      <c r="B476">
        <v>0</v>
      </c>
      <c r="C476">
        <v>0</v>
      </c>
    </row>
    <row r="477" spans="1:3" x14ac:dyDescent="0.35">
      <c r="A477">
        <v>1</v>
      </c>
      <c r="B477">
        <v>0</v>
      </c>
      <c r="C477">
        <v>0</v>
      </c>
    </row>
    <row r="478" spans="1:3" x14ac:dyDescent="0.35">
      <c r="A478">
        <v>0</v>
      </c>
      <c r="B478">
        <v>0</v>
      </c>
      <c r="C478">
        <v>0</v>
      </c>
    </row>
    <row r="479" spans="1:3" x14ac:dyDescent="0.35">
      <c r="A479">
        <v>0</v>
      </c>
      <c r="B479">
        <v>0</v>
      </c>
      <c r="C479">
        <v>0</v>
      </c>
    </row>
    <row r="480" spans="1:3" x14ac:dyDescent="0.35">
      <c r="A480">
        <v>0</v>
      </c>
      <c r="B480">
        <v>0</v>
      </c>
      <c r="C480">
        <v>0</v>
      </c>
    </row>
    <row r="481" spans="1:3" x14ac:dyDescent="0.35">
      <c r="A481">
        <v>0</v>
      </c>
      <c r="B481">
        <v>0</v>
      </c>
      <c r="C481">
        <v>0</v>
      </c>
    </row>
    <row r="482" spans="1:3" x14ac:dyDescent="0.35">
      <c r="A482">
        <v>0</v>
      </c>
      <c r="B482">
        <v>0</v>
      </c>
      <c r="C482">
        <v>0</v>
      </c>
    </row>
    <row r="483" spans="1:3" x14ac:dyDescent="0.35">
      <c r="A483">
        <v>0</v>
      </c>
      <c r="B483">
        <v>0</v>
      </c>
      <c r="C483">
        <v>0</v>
      </c>
    </row>
    <row r="484" spans="1:3" x14ac:dyDescent="0.35">
      <c r="A484">
        <v>0</v>
      </c>
      <c r="B484">
        <v>0</v>
      </c>
      <c r="C484">
        <v>0</v>
      </c>
    </row>
    <row r="485" spans="1:3" x14ac:dyDescent="0.35">
      <c r="A485">
        <v>0</v>
      </c>
      <c r="B485">
        <v>0</v>
      </c>
      <c r="C485">
        <v>0</v>
      </c>
    </row>
    <row r="486" spans="1:3" x14ac:dyDescent="0.35">
      <c r="A486">
        <v>0</v>
      </c>
      <c r="B486">
        <v>0</v>
      </c>
      <c r="C486">
        <v>0</v>
      </c>
    </row>
    <row r="487" spans="1:3" x14ac:dyDescent="0.35">
      <c r="A487">
        <v>0</v>
      </c>
      <c r="B487">
        <v>0</v>
      </c>
      <c r="C487">
        <v>0</v>
      </c>
    </row>
    <row r="488" spans="1:3" x14ac:dyDescent="0.35">
      <c r="A488">
        <v>0</v>
      </c>
      <c r="B488">
        <v>0</v>
      </c>
      <c r="C488">
        <v>0</v>
      </c>
    </row>
    <row r="489" spans="1:3" x14ac:dyDescent="0.35">
      <c r="A489">
        <v>0</v>
      </c>
      <c r="B489">
        <v>0</v>
      </c>
      <c r="C489">
        <v>0</v>
      </c>
    </row>
    <row r="490" spans="1:3" x14ac:dyDescent="0.35">
      <c r="A490">
        <v>0</v>
      </c>
      <c r="B490">
        <v>0</v>
      </c>
      <c r="C490">
        <v>0</v>
      </c>
    </row>
    <row r="491" spans="1:3" x14ac:dyDescent="0.35">
      <c r="A491">
        <v>0</v>
      </c>
      <c r="B491">
        <v>0</v>
      </c>
      <c r="C491">
        <v>0</v>
      </c>
    </row>
    <row r="492" spans="1:3" x14ac:dyDescent="0.35">
      <c r="A492">
        <v>0</v>
      </c>
      <c r="B492">
        <v>0</v>
      </c>
      <c r="C492">
        <v>0</v>
      </c>
    </row>
    <row r="493" spans="1:3" x14ac:dyDescent="0.35">
      <c r="A493">
        <v>0</v>
      </c>
      <c r="B493">
        <v>0</v>
      </c>
      <c r="C493">
        <v>0</v>
      </c>
    </row>
    <row r="494" spans="1:3" x14ac:dyDescent="0.35">
      <c r="A494">
        <v>0</v>
      </c>
      <c r="B494">
        <v>0</v>
      </c>
      <c r="C494">
        <v>0</v>
      </c>
    </row>
    <row r="495" spans="1:3" x14ac:dyDescent="0.35">
      <c r="A495">
        <v>0</v>
      </c>
      <c r="B495">
        <v>0</v>
      </c>
      <c r="C495">
        <v>0</v>
      </c>
    </row>
    <row r="496" spans="1:3" x14ac:dyDescent="0.35">
      <c r="A496">
        <v>0</v>
      </c>
      <c r="B496">
        <v>0</v>
      </c>
      <c r="C496">
        <v>0</v>
      </c>
    </row>
    <row r="497" spans="1:3" x14ac:dyDescent="0.35">
      <c r="A497">
        <v>0</v>
      </c>
      <c r="B497">
        <v>0</v>
      </c>
      <c r="C497">
        <v>0</v>
      </c>
    </row>
    <row r="498" spans="1:3" x14ac:dyDescent="0.35">
      <c r="A498">
        <v>0</v>
      </c>
      <c r="B498">
        <v>0</v>
      </c>
      <c r="C498">
        <v>0</v>
      </c>
    </row>
    <row r="499" spans="1:3" x14ac:dyDescent="0.35">
      <c r="A499">
        <v>0</v>
      </c>
      <c r="B499">
        <v>0</v>
      </c>
      <c r="C499">
        <v>0</v>
      </c>
    </row>
    <row r="500" spans="1:3" x14ac:dyDescent="0.35">
      <c r="A500">
        <v>0</v>
      </c>
      <c r="B500">
        <v>0</v>
      </c>
      <c r="C500">
        <v>0</v>
      </c>
    </row>
    <row r="501" spans="1:3" x14ac:dyDescent="0.35">
      <c r="A501">
        <v>0</v>
      </c>
      <c r="B501">
        <v>0</v>
      </c>
      <c r="C501">
        <v>0</v>
      </c>
    </row>
    <row r="502" spans="1:3" x14ac:dyDescent="0.35">
      <c r="A502">
        <v>0</v>
      </c>
      <c r="B502">
        <v>0</v>
      </c>
      <c r="C502">
        <v>0</v>
      </c>
    </row>
    <row r="503" spans="1:3" x14ac:dyDescent="0.35">
      <c r="A503">
        <v>0</v>
      </c>
      <c r="B503">
        <v>0</v>
      </c>
      <c r="C503">
        <v>0</v>
      </c>
    </row>
    <row r="504" spans="1:3" x14ac:dyDescent="0.35">
      <c r="A504">
        <v>0</v>
      </c>
      <c r="B504">
        <v>0</v>
      </c>
      <c r="C504">
        <v>0</v>
      </c>
    </row>
    <row r="505" spans="1:3" x14ac:dyDescent="0.35">
      <c r="A505">
        <v>0</v>
      </c>
      <c r="B505">
        <v>0</v>
      </c>
      <c r="C505">
        <v>0</v>
      </c>
    </row>
    <row r="506" spans="1:3" x14ac:dyDescent="0.35">
      <c r="A506">
        <v>0</v>
      </c>
      <c r="B506">
        <v>0</v>
      </c>
      <c r="C506">
        <v>0</v>
      </c>
    </row>
    <row r="507" spans="1:3" x14ac:dyDescent="0.35">
      <c r="A507">
        <v>0</v>
      </c>
      <c r="B507">
        <v>0</v>
      </c>
      <c r="C507">
        <v>0</v>
      </c>
    </row>
    <row r="508" spans="1:3" x14ac:dyDescent="0.35">
      <c r="A508">
        <v>0</v>
      </c>
      <c r="B508">
        <v>0</v>
      </c>
      <c r="C508">
        <v>0</v>
      </c>
    </row>
    <row r="509" spans="1:3" x14ac:dyDescent="0.35">
      <c r="A509">
        <v>0</v>
      </c>
      <c r="B509">
        <v>0</v>
      </c>
      <c r="C509">
        <v>0</v>
      </c>
    </row>
    <row r="510" spans="1:3" x14ac:dyDescent="0.35">
      <c r="A510">
        <v>0</v>
      </c>
      <c r="B510">
        <v>0</v>
      </c>
      <c r="C510">
        <v>0</v>
      </c>
    </row>
    <row r="511" spans="1:3" x14ac:dyDescent="0.35">
      <c r="A511">
        <v>0</v>
      </c>
      <c r="B511">
        <v>0</v>
      </c>
      <c r="C511">
        <v>0</v>
      </c>
    </row>
    <row r="512" spans="1:3" x14ac:dyDescent="0.35">
      <c r="A512">
        <v>0</v>
      </c>
      <c r="B512">
        <v>0</v>
      </c>
      <c r="C512">
        <v>0</v>
      </c>
    </row>
    <row r="513" spans="1:3" x14ac:dyDescent="0.35">
      <c r="A513">
        <v>0</v>
      </c>
      <c r="B513">
        <v>0</v>
      </c>
      <c r="C513">
        <v>0</v>
      </c>
    </row>
    <row r="514" spans="1:3" x14ac:dyDescent="0.35">
      <c r="A514">
        <v>0</v>
      </c>
      <c r="B514">
        <v>0</v>
      </c>
      <c r="C514">
        <v>0</v>
      </c>
    </row>
    <row r="515" spans="1:3" x14ac:dyDescent="0.35">
      <c r="A515">
        <v>0</v>
      </c>
      <c r="B515">
        <v>0</v>
      </c>
      <c r="C515">
        <v>0</v>
      </c>
    </row>
    <row r="516" spans="1:3" x14ac:dyDescent="0.35">
      <c r="A516">
        <v>0</v>
      </c>
      <c r="B516">
        <v>0</v>
      </c>
      <c r="C516">
        <v>0</v>
      </c>
    </row>
    <row r="517" spans="1:3" x14ac:dyDescent="0.35">
      <c r="A517">
        <v>0</v>
      </c>
      <c r="B517">
        <v>0</v>
      </c>
      <c r="C517">
        <v>0</v>
      </c>
    </row>
    <row r="518" spans="1:3" x14ac:dyDescent="0.35">
      <c r="A518">
        <v>0</v>
      </c>
      <c r="B518">
        <v>0</v>
      </c>
      <c r="C518">
        <v>0</v>
      </c>
    </row>
    <row r="519" spans="1:3" x14ac:dyDescent="0.35">
      <c r="A519">
        <v>0</v>
      </c>
      <c r="B519">
        <v>0</v>
      </c>
      <c r="C519">
        <v>0</v>
      </c>
    </row>
    <row r="520" spans="1:3" x14ac:dyDescent="0.35">
      <c r="A520">
        <v>0</v>
      </c>
      <c r="B520">
        <v>0</v>
      </c>
      <c r="C520">
        <v>0</v>
      </c>
    </row>
    <row r="521" spans="1:3" x14ac:dyDescent="0.35">
      <c r="A521">
        <v>0</v>
      </c>
      <c r="B521">
        <v>0</v>
      </c>
      <c r="C521">
        <v>0</v>
      </c>
    </row>
    <row r="522" spans="1:3" x14ac:dyDescent="0.35">
      <c r="A522">
        <v>0</v>
      </c>
      <c r="B522">
        <v>0</v>
      </c>
      <c r="C522">
        <v>0</v>
      </c>
    </row>
    <row r="523" spans="1:3" x14ac:dyDescent="0.35">
      <c r="A523">
        <v>0</v>
      </c>
      <c r="B523">
        <v>0</v>
      </c>
      <c r="C523">
        <v>0</v>
      </c>
    </row>
    <row r="524" spans="1:3" x14ac:dyDescent="0.35">
      <c r="A524">
        <v>0</v>
      </c>
      <c r="B524">
        <v>0</v>
      </c>
      <c r="C524">
        <v>0</v>
      </c>
    </row>
    <row r="525" spans="1:3" x14ac:dyDescent="0.35">
      <c r="A525">
        <v>0</v>
      </c>
      <c r="B525">
        <v>0</v>
      </c>
      <c r="C525">
        <v>1</v>
      </c>
    </row>
    <row r="526" spans="1:3" x14ac:dyDescent="0.35">
      <c r="A526">
        <v>0</v>
      </c>
      <c r="B526">
        <v>0</v>
      </c>
      <c r="C526">
        <v>1</v>
      </c>
    </row>
    <row r="527" spans="1:3" x14ac:dyDescent="0.35">
      <c r="A527">
        <v>0</v>
      </c>
      <c r="B527">
        <v>0</v>
      </c>
      <c r="C527">
        <v>1</v>
      </c>
    </row>
    <row r="528" spans="1:3" x14ac:dyDescent="0.35">
      <c r="A528">
        <v>0</v>
      </c>
      <c r="B528">
        <v>0</v>
      </c>
      <c r="C528">
        <v>1</v>
      </c>
    </row>
    <row r="529" spans="1:3" x14ac:dyDescent="0.35">
      <c r="A529">
        <v>0</v>
      </c>
      <c r="B529">
        <v>0</v>
      </c>
      <c r="C529">
        <v>1</v>
      </c>
    </row>
    <row r="530" spans="1:3" x14ac:dyDescent="0.35">
      <c r="A530">
        <v>0</v>
      </c>
      <c r="B530">
        <v>0</v>
      </c>
      <c r="C530">
        <v>1</v>
      </c>
    </row>
    <row r="531" spans="1:3" x14ac:dyDescent="0.35">
      <c r="A531">
        <v>0</v>
      </c>
      <c r="B531">
        <v>0</v>
      </c>
      <c r="C531">
        <v>1</v>
      </c>
    </row>
    <row r="532" spans="1:3" x14ac:dyDescent="0.35">
      <c r="A532">
        <v>0</v>
      </c>
      <c r="B532">
        <v>0</v>
      </c>
      <c r="C532">
        <v>1</v>
      </c>
    </row>
    <row r="533" spans="1:3" x14ac:dyDescent="0.35">
      <c r="A533">
        <v>0</v>
      </c>
      <c r="B533">
        <v>0</v>
      </c>
      <c r="C533">
        <v>0</v>
      </c>
    </row>
    <row r="534" spans="1:3" x14ac:dyDescent="0.35">
      <c r="A534">
        <v>0</v>
      </c>
      <c r="B534">
        <v>0</v>
      </c>
      <c r="C534">
        <v>0</v>
      </c>
    </row>
    <row r="535" spans="1:3" x14ac:dyDescent="0.35">
      <c r="A535">
        <v>0</v>
      </c>
      <c r="B535">
        <v>0</v>
      </c>
      <c r="C535">
        <v>0</v>
      </c>
    </row>
    <row r="536" spans="1:3" x14ac:dyDescent="0.35">
      <c r="A536">
        <v>0</v>
      </c>
      <c r="B536">
        <v>0</v>
      </c>
      <c r="C536">
        <v>0</v>
      </c>
    </row>
    <row r="537" spans="1:3" x14ac:dyDescent="0.35">
      <c r="A537">
        <v>0</v>
      </c>
      <c r="B537">
        <v>0</v>
      </c>
      <c r="C537">
        <v>0</v>
      </c>
    </row>
    <row r="538" spans="1:3" x14ac:dyDescent="0.35">
      <c r="A538">
        <v>0</v>
      </c>
      <c r="B538">
        <v>0</v>
      </c>
      <c r="C538">
        <v>0</v>
      </c>
    </row>
    <row r="539" spans="1:3" x14ac:dyDescent="0.35">
      <c r="A539">
        <v>0</v>
      </c>
      <c r="B539">
        <v>0</v>
      </c>
      <c r="C539">
        <v>0</v>
      </c>
    </row>
    <row r="540" spans="1:3" x14ac:dyDescent="0.35">
      <c r="A540">
        <v>0</v>
      </c>
      <c r="B540">
        <v>0</v>
      </c>
      <c r="C540">
        <v>0</v>
      </c>
    </row>
    <row r="541" spans="1:3" x14ac:dyDescent="0.35">
      <c r="A541">
        <v>0</v>
      </c>
      <c r="B541">
        <v>0</v>
      </c>
      <c r="C541">
        <v>0</v>
      </c>
    </row>
    <row r="542" spans="1:3" x14ac:dyDescent="0.35">
      <c r="A542">
        <v>0</v>
      </c>
      <c r="B542">
        <v>0</v>
      </c>
      <c r="C542">
        <v>0</v>
      </c>
    </row>
    <row r="543" spans="1:3" x14ac:dyDescent="0.35">
      <c r="A543">
        <v>0</v>
      </c>
      <c r="B543">
        <v>0</v>
      </c>
      <c r="C543">
        <v>0</v>
      </c>
    </row>
    <row r="544" spans="1:3" x14ac:dyDescent="0.35">
      <c r="A544">
        <v>0</v>
      </c>
      <c r="B544">
        <v>0</v>
      </c>
      <c r="C544">
        <v>0</v>
      </c>
    </row>
    <row r="545" spans="1:3" x14ac:dyDescent="0.35">
      <c r="A545">
        <v>0</v>
      </c>
      <c r="B545">
        <v>0</v>
      </c>
      <c r="C545">
        <v>0</v>
      </c>
    </row>
    <row r="546" spans="1:3" x14ac:dyDescent="0.35">
      <c r="A546">
        <v>0</v>
      </c>
      <c r="B546">
        <v>0</v>
      </c>
      <c r="C546">
        <v>0</v>
      </c>
    </row>
    <row r="547" spans="1:3" x14ac:dyDescent="0.35">
      <c r="A547">
        <v>0</v>
      </c>
      <c r="B547">
        <v>0</v>
      </c>
      <c r="C547">
        <v>0</v>
      </c>
    </row>
    <row r="548" spans="1:3" x14ac:dyDescent="0.35">
      <c r="A548">
        <v>0</v>
      </c>
      <c r="B548">
        <v>0</v>
      </c>
      <c r="C548">
        <v>0</v>
      </c>
    </row>
    <row r="549" spans="1:3" x14ac:dyDescent="0.35">
      <c r="A549">
        <v>0</v>
      </c>
      <c r="B549">
        <v>0</v>
      </c>
      <c r="C549">
        <v>0</v>
      </c>
    </row>
    <row r="550" spans="1:3" x14ac:dyDescent="0.35">
      <c r="A550">
        <v>0</v>
      </c>
      <c r="B550">
        <v>0</v>
      </c>
      <c r="C550">
        <v>0</v>
      </c>
    </row>
    <row r="551" spans="1:3" x14ac:dyDescent="0.35">
      <c r="A551">
        <v>0</v>
      </c>
      <c r="B551">
        <v>0</v>
      </c>
      <c r="C551">
        <v>0</v>
      </c>
    </row>
    <row r="552" spans="1:3" x14ac:dyDescent="0.35">
      <c r="A552">
        <v>0</v>
      </c>
      <c r="B552">
        <v>0</v>
      </c>
      <c r="C552">
        <v>0</v>
      </c>
    </row>
    <row r="553" spans="1:3" x14ac:dyDescent="0.35">
      <c r="A553">
        <v>0</v>
      </c>
      <c r="B553">
        <v>0</v>
      </c>
      <c r="C553">
        <v>0</v>
      </c>
    </row>
    <row r="554" spans="1:3" x14ac:dyDescent="0.35">
      <c r="A554">
        <v>0</v>
      </c>
      <c r="B554">
        <v>0</v>
      </c>
      <c r="C554">
        <v>0</v>
      </c>
    </row>
    <row r="555" spans="1:3" x14ac:dyDescent="0.35">
      <c r="A555">
        <v>0</v>
      </c>
      <c r="B555">
        <v>0</v>
      </c>
      <c r="C555">
        <v>0</v>
      </c>
    </row>
    <row r="556" spans="1:3" x14ac:dyDescent="0.35">
      <c r="A556">
        <v>0</v>
      </c>
      <c r="B556">
        <v>0</v>
      </c>
      <c r="C556">
        <v>0</v>
      </c>
    </row>
    <row r="557" spans="1:3" x14ac:dyDescent="0.35">
      <c r="A557">
        <v>0</v>
      </c>
      <c r="B557">
        <v>0</v>
      </c>
      <c r="C557">
        <v>0</v>
      </c>
    </row>
    <row r="558" spans="1:3" x14ac:dyDescent="0.35">
      <c r="A558">
        <v>0</v>
      </c>
      <c r="B558">
        <v>0</v>
      </c>
      <c r="C558">
        <v>0</v>
      </c>
    </row>
    <row r="559" spans="1:3" x14ac:dyDescent="0.35">
      <c r="A559">
        <v>0</v>
      </c>
      <c r="B559">
        <v>0</v>
      </c>
      <c r="C559">
        <v>0</v>
      </c>
    </row>
    <row r="560" spans="1:3" x14ac:dyDescent="0.35">
      <c r="A560">
        <v>0</v>
      </c>
      <c r="B560">
        <v>0</v>
      </c>
      <c r="C560">
        <v>0</v>
      </c>
    </row>
    <row r="561" spans="1:3" x14ac:dyDescent="0.35">
      <c r="A561">
        <v>0</v>
      </c>
      <c r="B561">
        <v>0</v>
      </c>
      <c r="C561">
        <v>0</v>
      </c>
    </row>
    <row r="562" spans="1:3" x14ac:dyDescent="0.35">
      <c r="A562">
        <v>0</v>
      </c>
      <c r="B562">
        <v>0</v>
      </c>
      <c r="C562">
        <v>0</v>
      </c>
    </row>
    <row r="563" spans="1:3" x14ac:dyDescent="0.35">
      <c r="A563">
        <v>0</v>
      </c>
      <c r="B563">
        <v>0</v>
      </c>
      <c r="C563">
        <v>0</v>
      </c>
    </row>
    <row r="564" spans="1:3" x14ac:dyDescent="0.35">
      <c r="A564">
        <v>0</v>
      </c>
      <c r="B564">
        <v>0</v>
      </c>
      <c r="C564">
        <v>0</v>
      </c>
    </row>
    <row r="565" spans="1:3" x14ac:dyDescent="0.35">
      <c r="A565">
        <v>0</v>
      </c>
      <c r="B565">
        <v>0</v>
      </c>
      <c r="C565">
        <v>0</v>
      </c>
    </row>
    <row r="566" spans="1:3" x14ac:dyDescent="0.35">
      <c r="A566">
        <v>0</v>
      </c>
      <c r="B566">
        <v>0</v>
      </c>
      <c r="C566">
        <v>0</v>
      </c>
    </row>
    <row r="567" spans="1:3" x14ac:dyDescent="0.35">
      <c r="A567">
        <v>0</v>
      </c>
      <c r="B567">
        <v>0</v>
      </c>
      <c r="C567">
        <v>0</v>
      </c>
    </row>
    <row r="568" spans="1:3" x14ac:dyDescent="0.35">
      <c r="A568">
        <v>0</v>
      </c>
      <c r="B568">
        <v>0</v>
      </c>
      <c r="C568">
        <v>0</v>
      </c>
    </row>
    <row r="569" spans="1:3" x14ac:dyDescent="0.35">
      <c r="A569">
        <v>0</v>
      </c>
      <c r="B569">
        <v>0</v>
      </c>
      <c r="C569">
        <v>0</v>
      </c>
    </row>
    <row r="570" spans="1:3" x14ac:dyDescent="0.35">
      <c r="A570">
        <v>0</v>
      </c>
      <c r="B570">
        <v>0</v>
      </c>
      <c r="C570">
        <v>0</v>
      </c>
    </row>
    <row r="571" spans="1:3" x14ac:dyDescent="0.35">
      <c r="A571">
        <v>0</v>
      </c>
      <c r="B571">
        <v>0</v>
      </c>
      <c r="C571">
        <v>0</v>
      </c>
    </row>
    <row r="572" spans="1:3" x14ac:dyDescent="0.35">
      <c r="A572">
        <v>0</v>
      </c>
      <c r="B572">
        <v>0</v>
      </c>
      <c r="C572">
        <v>0</v>
      </c>
    </row>
    <row r="573" spans="1:3" x14ac:dyDescent="0.35">
      <c r="A573">
        <v>0</v>
      </c>
      <c r="B573">
        <v>0</v>
      </c>
      <c r="C573">
        <v>0</v>
      </c>
    </row>
    <row r="574" spans="1:3" x14ac:dyDescent="0.35">
      <c r="A574">
        <v>0</v>
      </c>
      <c r="B574">
        <v>0</v>
      </c>
      <c r="C574">
        <v>0</v>
      </c>
    </row>
    <row r="575" spans="1:3" x14ac:dyDescent="0.35">
      <c r="A575">
        <v>0</v>
      </c>
      <c r="B575">
        <v>0</v>
      </c>
      <c r="C575">
        <v>0</v>
      </c>
    </row>
    <row r="576" spans="1:3" x14ac:dyDescent="0.35">
      <c r="A576">
        <v>0</v>
      </c>
      <c r="B576">
        <v>0</v>
      </c>
      <c r="C576">
        <v>0</v>
      </c>
    </row>
    <row r="577" spans="1:3" x14ac:dyDescent="0.35">
      <c r="A577">
        <v>0</v>
      </c>
      <c r="B577">
        <v>0</v>
      </c>
      <c r="C577">
        <v>0</v>
      </c>
    </row>
    <row r="578" spans="1:3" x14ac:dyDescent="0.35">
      <c r="A578">
        <v>0</v>
      </c>
      <c r="B578">
        <v>0</v>
      </c>
      <c r="C578">
        <v>0</v>
      </c>
    </row>
    <row r="579" spans="1:3" x14ac:dyDescent="0.35">
      <c r="A579">
        <v>0</v>
      </c>
      <c r="B579">
        <v>0</v>
      </c>
      <c r="C579">
        <v>0</v>
      </c>
    </row>
    <row r="580" spans="1:3" x14ac:dyDescent="0.35">
      <c r="A580">
        <v>0</v>
      </c>
      <c r="B580">
        <v>0</v>
      </c>
      <c r="C580">
        <v>0</v>
      </c>
    </row>
    <row r="581" spans="1:3" x14ac:dyDescent="0.35">
      <c r="A581">
        <v>0</v>
      </c>
      <c r="B581">
        <v>0</v>
      </c>
      <c r="C581">
        <v>0</v>
      </c>
    </row>
    <row r="582" spans="1:3" x14ac:dyDescent="0.35">
      <c r="A582">
        <v>0</v>
      </c>
      <c r="B582">
        <v>0</v>
      </c>
      <c r="C582">
        <v>0</v>
      </c>
    </row>
    <row r="583" spans="1:3" x14ac:dyDescent="0.35">
      <c r="A583">
        <v>0</v>
      </c>
      <c r="B583">
        <v>0</v>
      </c>
      <c r="C583">
        <v>0</v>
      </c>
    </row>
    <row r="584" spans="1:3" x14ac:dyDescent="0.35">
      <c r="A584">
        <v>0</v>
      </c>
      <c r="B584">
        <v>0</v>
      </c>
      <c r="C584">
        <v>0</v>
      </c>
    </row>
    <row r="585" spans="1:3" x14ac:dyDescent="0.35">
      <c r="A585">
        <v>0</v>
      </c>
      <c r="B585">
        <v>0</v>
      </c>
      <c r="C585">
        <v>0</v>
      </c>
    </row>
    <row r="586" spans="1:3" x14ac:dyDescent="0.35">
      <c r="A586">
        <v>0</v>
      </c>
      <c r="B586">
        <v>0</v>
      </c>
      <c r="C586">
        <v>0</v>
      </c>
    </row>
    <row r="587" spans="1:3" x14ac:dyDescent="0.35">
      <c r="A587">
        <v>0</v>
      </c>
      <c r="B587">
        <v>0</v>
      </c>
      <c r="C587">
        <v>0</v>
      </c>
    </row>
    <row r="588" spans="1:3" x14ac:dyDescent="0.35">
      <c r="A588">
        <v>0</v>
      </c>
      <c r="B588">
        <v>0</v>
      </c>
      <c r="C588">
        <v>0</v>
      </c>
    </row>
    <row r="589" spans="1:3" x14ac:dyDescent="0.35">
      <c r="A589">
        <v>0</v>
      </c>
      <c r="B589">
        <v>0</v>
      </c>
      <c r="C589">
        <v>0</v>
      </c>
    </row>
    <row r="590" spans="1:3" x14ac:dyDescent="0.35">
      <c r="A590">
        <v>0</v>
      </c>
      <c r="B590">
        <v>0</v>
      </c>
      <c r="C590">
        <v>0</v>
      </c>
    </row>
    <row r="591" spans="1:3" x14ac:dyDescent="0.35">
      <c r="A591">
        <v>0</v>
      </c>
      <c r="B591">
        <v>0</v>
      </c>
      <c r="C591">
        <v>0</v>
      </c>
    </row>
    <row r="592" spans="1:3" x14ac:dyDescent="0.35">
      <c r="A592">
        <v>0</v>
      </c>
      <c r="B592">
        <v>0</v>
      </c>
      <c r="C592">
        <v>0</v>
      </c>
    </row>
    <row r="593" spans="1:3" x14ac:dyDescent="0.35">
      <c r="A593">
        <v>0</v>
      </c>
      <c r="B593">
        <v>0</v>
      </c>
      <c r="C593">
        <v>0</v>
      </c>
    </row>
    <row r="594" spans="1:3" x14ac:dyDescent="0.35">
      <c r="A594">
        <v>0</v>
      </c>
      <c r="B594">
        <v>0</v>
      </c>
      <c r="C594">
        <v>0</v>
      </c>
    </row>
    <row r="595" spans="1:3" x14ac:dyDescent="0.35">
      <c r="A595">
        <v>0</v>
      </c>
      <c r="B595">
        <v>0</v>
      </c>
      <c r="C595">
        <v>0</v>
      </c>
    </row>
    <row r="596" spans="1:3" x14ac:dyDescent="0.35">
      <c r="A596">
        <v>0</v>
      </c>
      <c r="B596">
        <v>0</v>
      </c>
      <c r="C596">
        <v>0</v>
      </c>
    </row>
    <row r="597" spans="1:3" x14ac:dyDescent="0.35">
      <c r="A597">
        <v>0</v>
      </c>
      <c r="B597">
        <v>0</v>
      </c>
      <c r="C597">
        <v>0</v>
      </c>
    </row>
    <row r="598" spans="1:3" x14ac:dyDescent="0.35">
      <c r="A598">
        <v>0</v>
      </c>
      <c r="B598">
        <v>0</v>
      </c>
      <c r="C598">
        <v>0</v>
      </c>
    </row>
    <row r="599" spans="1:3" x14ac:dyDescent="0.35">
      <c r="A599">
        <v>0</v>
      </c>
      <c r="B599">
        <v>0</v>
      </c>
      <c r="C599">
        <v>0</v>
      </c>
    </row>
    <row r="600" spans="1:3" x14ac:dyDescent="0.35">
      <c r="A600">
        <v>0</v>
      </c>
      <c r="B600">
        <v>0</v>
      </c>
      <c r="C600">
        <v>0</v>
      </c>
    </row>
    <row r="601" spans="1:3" x14ac:dyDescent="0.35">
      <c r="A601">
        <v>0</v>
      </c>
      <c r="B601">
        <v>0</v>
      </c>
      <c r="C601">
        <v>0</v>
      </c>
    </row>
    <row r="602" spans="1:3" x14ac:dyDescent="0.35">
      <c r="A602">
        <v>0</v>
      </c>
      <c r="B602">
        <v>0</v>
      </c>
      <c r="C602">
        <v>0</v>
      </c>
    </row>
    <row r="603" spans="1:3" x14ac:dyDescent="0.35">
      <c r="A603">
        <v>0</v>
      </c>
      <c r="B603">
        <v>0</v>
      </c>
      <c r="C603">
        <v>0</v>
      </c>
    </row>
    <row r="604" spans="1:3" x14ac:dyDescent="0.35">
      <c r="A604">
        <v>0</v>
      </c>
      <c r="B604">
        <v>0</v>
      </c>
      <c r="C604">
        <v>0</v>
      </c>
    </row>
    <row r="605" spans="1:3" x14ac:dyDescent="0.35">
      <c r="A605">
        <v>0</v>
      </c>
      <c r="B605">
        <v>0</v>
      </c>
      <c r="C605">
        <v>0</v>
      </c>
    </row>
    <row r="606" spans="1:3" x14ac:dyDescent="0.35">
      <c r="A606">
        <v>0</v>
      </c>
      <c r="B606">
        <v>0</v>
      </c>
      <c r="C606">
        <v>0</v>
      </c>
    </row>
    <row r="607" spans="1:3" x14ac:dyDescent="0.35">
      <c r="A607">
        <v>0</v>
      </c>
      <c r="B607">
        <v>0</v>
      </c>
      <c r="C607">
        <v>0</v>
      </c>
    </row>
    <row r="608" spans="1:3" x14ac:dyDescent="0.35">
      <c r="A608">
        <v>0</v>
      </c>
      <c r="B608">
        <v>0</v>
      </c>
      <c r="C608">
        <v>0</v>
      </c>
    </row>
    <row r="609" spans="1:3" x14ac:dyDescent="0.35">
      <c r="A609">
        <v>0</v>
      </c>
      <c r="B609">
        <v>0</v>
      </c>
      <c r="C609">
        <v>0</v>
      </c>
    </row>
    <row r="610" spans="1:3" x14ac:dyDescent="0.35">
      <c r="A610">
        <v>0</v>
      </c>
      <c r="B610">
        <v>0</v>
      </c>
      <c r="C610">
        <v>0</v>
      </c>
    </row>
    <row r="611" spans="1:3" x14ac:dyDescent="0.35">
      <c r="A611">
        <v>0</v>
      </c>
      <c r="B611">
        <v>0</v>
      </c>
      <c r="C611">
        <v>0</v>
      </c>
    </row>
    <row r="612" spans="1:3" x14ac:dyDescent="0.35">
      <c r="A612">
        <v>0</v>
      </c>
      <c r="B612">
        <v>0</v>
      </c>
      <c r="C612">
        <v>0</v>
      </c>
    </row>
    <row r="613" spans="1:3" x14ac:dyDescent="0.35">
      <c r="A613">
        <v>0</v>
      </c>
      <c r="B613">
        <v>0</v>
      </c>
      <c r="C613">
        <v>0</v>
      </c>
    </row>
    <row r="614" spans="1:3" x14ac:dyDescent="0.35">
      <c r="A614">
        <v>0</v>
      </c>
      <c r="B614">
        <v>0</v>
      </c>
      <c r="C614">
        <v>0</v>
      </c>
    </row>
    <row r="615" spans="1:3" x14ac:dyDescent="0.35">
      <c r="A615">
        <v>0</v>
      </c>
      <c r="B615">
        <v>0</v>
      </c>
      <c r="C615">
        <v>0</v>
      </c>
    </row>
    <row r="616" spans="1:3" x14ac:dyDescent="0.35">
      <c r="A616">
        <v>0</v>
      </c>
      <c r="B616">
        <v>0</v>
      </c>
      <c r="C616">
        <v>0</v>
      </c>
    </row>
    <row r="617" spans="1:3" x14ac:dyDescent="0.35">
      <c r="A617">
        <v>0</v>
      </c>
      <c r="B617">
        <v>0</v>
      </c>
      <c r="C617">
        <v>0</v>
      </c>
    </row>
    <row r="618" spans="1:3" x14ac:dyDescent="0.35">
      <c r="A618">
        <v>0</v>
      </c>
      <c r="B618">
        <v>0</v>
      </c>
      <c r="C618">
        <v>0</v>
      </c>
    </row>
    <row r="619" spans="1:3" x14ac:dyDescent="0.35">
      <c r="A619">
        <v>0</v>
      </c>
      <c r="B619">
        <v>0</v>
      </c>
      <c r="C619">
        <v>0</v>
      </c>
    </row>
    <row r="620" spans="1:3" x14ac:dyDescent="0.35">
      <c r="A620">
        <v>0</v>
      </c>
      <c r="B620">
        <v>0</v>
      </c>
      <c r="C620">
        <v>0</v>
      </c>
    </row>
    <row r="621" spans="1:3" x14ac:dyDescent="0.35">
      <c r="A621">
        <v>0</v>
      </c>
      <c r="B621">
        <v>0</v>
      </c>
      <c r="C621">
        <v>0</v>
      </c>
    </row>
    <row r="622" spans="1:3" x14ac:dyDescent="0.35">
      <c r="A622">
        <v>0</v>
      </c>
      <c r="B622">
        <v>0</v>
      </c>
      <c r="C622">
        <v>0</v>
      </c>
    </row>
    <row r="623" spans="1:3" x14ac:dyDescent="0.35">
      <c r="A623">
        <v>0</v>
      </c>
      <c r="B623">
        <v>0</v>
      </c>
      <c r="C623">
        <v>0</v>
      </c>
    </row>
    <row r="624" spans="1:3" x14ac:dyDescent="0.35">
      <c r="A624">
        <v>0</v>
      </c>
      <c r="B624">
        <v>0</v>
      </c>
      <c r="C624">
        <v>0</v>
      </c>
    </row>
    <row r="625" spans="1:3" x14ac:dyDescent="0.35">
      <c r="A625">
        <v>0</v>
      </c>
      <c r="B625">
        <v>0</v>
      </c>
      <c r="C625">
        <v>0</v>
      </c>
    </row>
    <row r="626" spans="1:3" x14ac:dyDescent="0.35">
      <c r="A626">
        <v>0</v>
      </c>
      <c r="B626">
        <v>0</v>
      </c>
      <c r="C626">
        <v>0</v>
      </c>
    </row>
    <row r="627" spans="1:3" x14ac:dyDescent="0.35">
      <c r="A627">
        <v>0</v>
      </c>
      <c r="B627">
        <v>0</v>
      </c>
      <c r="C627">
        <v>0</v>
      </c>
    </row>
    <row r="628" spans="1:3" x14ac:dyDescent="0.35">
      <c r="A628">
        <v>0</v>
      </c>
      <c r="B628">
        <v>0</v>
      </c>
      <c r="C628">
        <v>0</v>
      </c>
    </row>
    <row r="629" spans="1:3" x14ac:dyDescent="0.35">
      <c r="A629">
        <v>0</v>
      </c>
      <c r="B629">
        <v>0</v>
      </c>
      <c r="C629">
        <v>0</v>
      </c>
    </row>
    <row r="630" spans="1:3" x14ac:dyDescent="0.35">
      <c r="A630">
        <v>0</v>
      </c>
      <c r="B630">
        <v>0</v>
      </c>
      <c r="C630">
        <v>0</v>
      </c>
    </row>
    <row r="631" spans="1:3" x14ac:dyDescent="0.35">
      <c r="A631">
        <v>0</v>
      </c>
      <c r="B631">
        <v>0</v>
      </c>
      <c r="C631">
        <v>0</v>
      </c>
    </row>
    <row r="632" spans="1:3" x14ac:dyDescent="0.35">
      <c r="A632">
        <v>0</v>
      </c>
      <c r="B632">
        <v>0</v>
      </c>
      <c r="C632">
        <v>0</v>
      </c>
    </row>
    <row r="633" spans="1:3" x14ac:dyDescent="0.35">
      <c r="A633">
        <v>0</v>
      </c>
      <c r="B633">
        <v>0</v>
      </c>
      <c r="C633">
        <v>0</v>
      </c>
    </row>
    <row r="634" spans="1:3" x14ac:dyDescent="0.35">
      <c r="A634">
        <v>0</v>
      </c>
      <c r="B634">
        <v>0</v>
      </c>
      <c r="C634">
        <v>0</v>
      </c>
    </row>
    <row r="635" spans="1:3" x14ac:dyDescent="0.35">
      <c r="A635">
        <v>0</v>
      </c>
      <c r="B635">
        <v>0</v>
      </c>
      <c r="C635">
        <v>0</v>
      </c>
    </row>
    <row r="636" spans="1:3" x14ac:dyDescent="0.35">
      <c r="A636">
        <v>0</v>
      </c>
      <c r="B636">
        <v>0</v>
      </c>
      <c r="C636">
        <v>0</v>
      </c>
    </row>
    <row r="637" spans="1:3" x14ac:dyDescent="0.35">
      <c r="A637">
        <v>0</v>
      </c>
      <c r="B637">
        <v>0</v>
      </c>
      <c r="C637">
        <v>0</v>
      </c>
    </row>
    <row r="638" spans="1:3" x14ac:dyDescent="0.35">
      <c r="A638">
        <v>0</v>
      </c>
      <c r="B638">
        <v>0</v>
      </c>
      <c r="C638">
        <v>0</v>
      </c>
    </row>
    <row r="639" spans="1:3" x14ac:dyDescent="0.35">
      <c r="A639">
        <v>0</v>
      </c>
      <c r="B639">
        <v>0</v>
      </c>
      <c r="C639">
        <v>0</v>
      </c>
    </row>
    <row r="640" spans="1:3" x14ac:dyDescent="0.35">
      <c r="A640">
        <v>0</v>
      </c>
      <c r="B640">
        <v>0</v>
      </c>
      <c r="C640">
        <v>0</v>
      </c>
    </row>
    <row r="641" spans="1:3" x14ac:dyDescent="0.35">
      <c r="A641">
        <v>0</v>
      </c>
      <c r="B641">
        <v>0</v>
      </c>
      <c r="C641">
        <v>0</v>
      </c>
    </row>
    <row r="642" spans="1:3" x14ac:dyDescent="0.35">
      <c r="A642">
        <v>0</v>
      </c>
      <c r="B642">
        <v>0</v>
      </c>
      <c r="C642">
        <v>0</v>
      </c>
    </row>
    <row r="643" spans="1:3" x14ac:dyDescent="0.35">
      <c r="A643">
        <v>0</v>
      </c>
      <c r="B643">
        <v>0</v>
      </c>
      <c r="C643">
        <v>0</v>
      </c>
    </row>
    <row r="644" spans="1:3" x14ac:dyDescent="0.35">
      <c r="A644">
        <v>0</v>
      </c>
      <c r="B644">
        <v>0</v>
      </c>
      <c r="C644">
        <v>0</v>
      </c>
    </row>
    <row r="645" spans="1:3" x14ac:dyDescent="0.35">
      <c r="A645">
        <v>0</v>
      </c>
      <c r="B645">
        <v>0</v>
      </c>
      <c r="C645">
        <v>0</v>
      </c>
    </row>
    <row r="646" spans="1:3" x14ac:dyDescent="0.35">
      <c r="A646">
        <v>0</v>
      </c>
      <c r="B646">
        <v>0</v>
      </c>
      <c r="C646">
        <v>0</v>
      </c>
    </row>
    <row r="647" spans="1:3" x14ac:dyDescent="0.35">
      <c r="A647">
        <v>0</v>
      </c>
      <c r="B647">
        <v>0</v>
      </c>
      <c r="C647">
        <v>0</v>
      </c>
    </row>
    <row r="648" spans="1:3" x14ac:dyDescent="0.35">
      <c r="A648">
        <v>0</v>
      </c>
      <c r="B648">
        <v>0</v>
      </c>
      <c r="C648">
        <v>0</v>
      </c>
    </row>
    <row r="649" spans="1:3" x14ac:dyDescent="0.35">
      <c r="A649">
        <v>0</v>
      </c>
      <c r="B649">
        <v>0</v>
      </c>
      <c r="C649">
        <v>0</v>
      </c>
    </row>
    <row r="650" spans="1:3" x14ac:dyDescent="0.35">
      <c r="A650">
        <v>0</v>
      </c>
      <c r="B650">
        <v>0</v>
      </c>
      <c r="C650">
        <v>0</v>
      </c>
    </row>
    <row r="651" spans="1:3" x14ac:dyDescent="0.35">
      <c r="A651">
        <v>0</v>
      </c>
      <c r="B651">
        <v>0</v>
      </c>
      <c r="C651">
        <v>0</v>
      </c>
    </row>
    <row r="652" spans="1:3" x14ac:dyDescent="0.35">
      <c r="A652">
        <v>0</v>
      </c>
      <c r="B652">
        <v>0</v>
      </c>
      <c r="C652">
        <v>0</v>
      </c>
    </row>
    <row r="653" spans="1:3" x14ac:dyDescent="0.35">
      <c r="A653">
        <v>0</v>
      </c>
      <c r="B653">
        <v>0</v>
      </c>
      <c r="C653">
        <v>1</v>
      </c>
    </row>
    <row r="654" spans="1:3" x14ac:dyDescent="0.35">
      <c r="A654">
        <v>0</v>
      </c>
      <c r="B654">
        <v>0</v>
      </c>
      <c r="C654">
        <v>1</v>
      </c>
    </row>
    <row r="655" spans="1:3" x14ac:dyDescent="0.35">
      <c r="A655">
        <v>0</v>
      </c>
      <c r="B655">
        <v>0</v>
      </c>
      <c r="C655">
        <v>1</v>
      </c>
    </row>
    <row r="656" spans="1:3" x14ac:dyDescent="0.35">
      <c r="A656">
        <v>0</v>
      </c>
      <c r="B656">
        <v>0</v>
      </c>
      <c r="C656">
        <v>1</v>
      </c>
    </row>
    <row r="657" spans="1:3" x14ac:dyDescent="0.35">
      <c r="A657">
        <v>0</v>
      </c>
      <c r="B657">
        <v>0</v>
      </c>
      <c r="C657">
        <v>1</v>
      </c>
    </row>
    <row r="658" spans="1:3" x14ac:dyDescent="0.35">
      <c r="A658">
        <v>0</v>
      </c>
      <c r="B658">
        <v>0</v>
      </c>
      <c r="C658">
        <v>1</v>
      </c>
    </row>
    <row r="659" spans="1:3" x14ac:dyDescent="0.35">
      <c r="A659">
        <v>0</v>
      </c>
      <c r="B659">
        <v>0</v>
      </c>
      <c r="C659">
        <v>1</v>
      </c>
    </row>
    <row r="660" spans="1:3" x14ac:dyDescent="0.35">
      <c r="A660">
        <v>0</v>
      </c>
      <c r="B660">
        <v>0</v>
      </c>
      <c r="C660">
        <v>1</v>
      </c>
    </row>
    <row r="661" spans="1:3" x14ac:dyDescent="0.35">
      <c r="A661">
        <v>0</v>
      </c>
      <c r="B661">
        <v>1</v>
      </c>
      <c r="C661">
        <v>0</v>
      </c>
    </row>
    <row r="662" spans="1:3" x14ac:dyDescent="0.35">
      <c r="A662">
        <v>0</v>
      </c>
      <c r="B662">
        <v>0</v>
      </c>
      <c r="C662">
        <v>0</v>
      </c>
    </row>
    <row r="663" spans="1:3" x14ac:dyDescent="0.35">
      <c r="A663">
        <v>0</v>
      </c>
      <c r="B663">
        <v>0</v>
      </c>
      <c r="C663">
        <v>0</v>
      </c>
    </row>
    <row r="664" spans="1:3" x14ac:dyDescent="0.35">
      <c r="A664">
        <v>0</v>
      </c>
      <c r="B664">
        <v>0</v>
      </c>
      <c r="C664">
        <v>0</v>
      </c>
    </row>
    <row r="665" spans="1:3" x14ac:dyDescent="0.35">
      <c r="A665">
        <v>0</v>
      </c>
      <c r="B665">
        <v>0</v>
      </c>
      <c r="C665">
        <v>0</v>
      </c>
    </row>
    <row r="666" spans="1:3" x14ac:dyDescent="0.35">
      <c r="A666">
        <v>0</v>
      </c>
      <c r="B666">
        <v>0</v>
      </c>
      <c r="C666">
        <v>0</v>
      </c>
    </row>
    <row r="667" spans="1:3" x14ac:dyDescent="0.35">
      <c r="A667">
        <v>0</v>
      </c>
      <c r="B667">
        <v>0</v>
      </c>
      <c r="C667">
        <v>0</v>
      </c>
    </row>
    <row r="668" spans="1:3" x14ac:dyDescent="0.35">
      <c r="A668">
        <v>0</v>
      </c>
      <c r="B668">
        <v>0</v>
      </c>
      <c r="C668">
        <v>0</v>
      </c>
    </row>
    <row r="669" spans="1:3" x14ac:dyDescent="0.35">
      <c r="A669">
        <v>0</v>
      </c>
      <c r="B669">
        <v>0</v>
      </c>
      <c r="C669">
        <v>0</v>
      </c>
    </row>
    <row r="670" spans="1:3" x14ac:dyDescent="0.35">
      <c r="A670">
        <v>0</v>
      </c>
      <c r="B670">
        <v>0</v>
      </c>
      <c r="C670">
        <v>0</v>
      </c>
    </row>
    <row r="671" spans="1:3" x14ac:dyDescent="0.35">
      <c r="A671">
        <v>0</v>
      </c>
      <c r="B671">
        <v>0</v>
      </c>
      <c r="C671">
        <v>0</v>
      </c>
    </row>
    <row r="672" spans="1:3" x14ac:dyDescent="0.35">
      <c r="A672">
        <v>0</v>
      </c>
      <c r="B672">
        <v>0</v>
      </c>
      <c r="C672">
        <v>0</v>
      </c>
    </row>
    <row r="673" spans="1:3" x14ac:dyDescent="0.35">
      <c r="A673">
        <v>0</v>
      </c>
      <c r="B673">
        <v>0</v>
      </c>
      <c r="C673">
        <v>0</v>
      </c>
    </row>
    <row r="674" spans="1:3" x14ac:dyDescent="0.35">
      <c r="A674">
        <v>0</v>
      </c>
      <c r="B674">
        <v>0</v>
      </c>
      <c r="C674">
        <v>0</v>
      </c>
    </row>
    <row r="675" spans="1:3" x14ac:dyDescent="0.35">
      <c r="A675">
        <v>0</v>
      </c>
      <c r="B675">
        <v>0</v>
      </c>
      <c r="C675">
        <v>0</v>
      </c>
    </row>
    <row r="676" spans="1:3" x14ac:dyDescent="0.35">
      <c r="A676">
        <v>0</v>
      </c>
      <c r="B676">
        <v>0</v>
      </c>
      <c r="C676">
        <v>0</v>
      </c>
    </row>
    <row r="677" spans="1:3" x14ac:dyDescent="0.35">
      <c r="A677">
        <v>0</v>
      </c>
      <c r="B677">
        <v>0</v>
      </c>
      <c r="C677">
        <v>0</v>
      </c>
    </row>
    <row r="678" spans="1:3" x14ac:dyDescent="0.35">
      <c r="A678">
        <v>0</v>
      </c>
      <c r="B678">
        <v>1</v>
      </c>
      <c r="C678">
        <v>0</v>
      </c>
    </row>
    <row r="679" spans="1:3" x14ac:dyDescent="0.35">
      <c r="A679">
        <v>0</v>
      </c>
      <c r="B679">
        <v>1</v>
      </c>
      <c r="C679">
        <v>0</v>
      </c>
    </row>
    <row r="680" spans="1:3" x14ac:dyDescent="0.35">
      <c r="A680">
        <v>0</v>
      </c>
      <c r="B680">
        <v>0</v>
      </c>
      <c r="C680">
        <v>0</v>
      </c>
    </row>
    <row r="681" spans="1:3" x14ac:dyDescent="0.35">
      <c r="A681">
        <v>0</v>
      </c>
      <c r="B681">
        <v>0</v>
      </c>
      <c r="C681">
        <v>0</v>
      </c>
    </row>
    <row r="682" spans="1:3" x14ac:dyDescent="0.35">
      <c r="A682">
        <v>0</v>
      </c>
      <c r="B682">
        <v>0</v>
      </c>
      <c r="C682">
        <v>0</v>
      </c>
    </row>
    <row r="683" spans="1:3" x14ac:dyDescent="0.35">
      <c r="A683">
        <v>0</v>
      </c>
      <c r="B683">
        <v>0</v>
      </c>
      <c r="C683">
        <v>0</v>
      </c>
    </row>
    <row r="684" spans="1:3" x14ac:dyDescent="0.35">
      <c r="A684">
        <v>0</v>
      </c>
      <c r="B684">
        <v>0</v>
      </c>
      <c r="C684">
        <v>0</v>
      </c>
    </row>
    <row r="685" spans="1:3" x14ac:dyDescent="0.35">
      <c r="A685">
        <v>0</v>
      </c>
      <c r="B685">
        <v>0</v>
      </c>
      <c r="C685">
        <v>0</v>
      </c>
    </row>
    <row r="686" spans="1:3" x14ac:dyDescent="0.35">
      <c r="A686">
        <v>0</v>
      </c>
      <c r="B686">
        <v>0</v>
      </c>
      <c r="C686">
        <v>0</v>
      </c>
    </row>
    <row r="687" spans="1:3" x14ac:dyDescent="0.35">
      <c r="A687">
        <v>0</v>
      </c>
      <c r="B687">
        <v>0</v>
      </c>
      <c r="C687">
        <v>0</v>
      </c>
    </row>
    <row r="688" spans="1:3" x14ac:dyDescent="0.35">
      <c r="A688">
        <v>0</v>
      </c>
      <c r="B688">
        <v>0</v>
      </c>
      <c r="C688">
        <v>0</v>
      </c>
    </row>
    <row r="689" spans="1:3" x14ac:dyDescent="0.35">
      <c r="A689">
        <v>0</v>
      </c>
      <c r="B689">
        <v>0</v>
      </c>
      <c r="C689">
        <v>0</v>
      </c>
    </row>
    <row r="690" spans="1:3" x14ac:dyDescent="0.35">
      <c r="A690">
        <v>0</v>
      </c>
      <c r="B690">
        <v>0</v>
      </c>
      <c r="C690">
        <v>0</v>
      </c>
    </row>
    <row r="691" spans="1:3" x14ac:dyDescent="0.35">
      <c r="A691">
        <v>0</v>
      </c>
      <c r="B691">
        <v>0</v>
      </c>
      <c r="C691">
        <v>0</v>
      </c>
    </row>
    <row r="692" spans="1:3" x14ac:dyDescent="0.35">
      <c r="A692">
        <v>0</v>
      </c>
      <c r="B692">
        <v>0</v>
      </c>
      <c r="C692">
        <v>0</v>
      </c>
    </row>
    <row r="693" spans="1:3" x14ac:dyDescent="0.35">
      <c r="A693">
        <v>0</v>
      </c>
      <c r="B693">
        <v>0</v>
      </c>
      <c r="C693">
        <v>0</v>
      </c>
    </row>
    <row r="694" spans="1:3" x14ac:dyDescent="0.35">
      <c r="A694">
        <v>0</v>
      </c>
      <c r="B694">
        <v>0</v>
      </c>
      <c r="C694">
        <v>0</v>
      </c>
    </row>
    <row r="695" spans="1:3" x14ac:dyDescent="0.35">
      <c r="A695">
        <v>0</v>
      </c>
      <c r="B695">
        <v>0</v>
      </c>
      <c r="C695">
        <v>0</v>
      </c>
    </row>
    <row r="696" spans="1:3" x14ac:dyDescent="0.35">
      <c r="A696">
        <v>0</v>
      </c>
      <c r="B696">
        <v>0</v>
      </c>
      <c r="C696">
        <v>0</v>
      </c>
    </row>
    <row r="697" spans="1:3" x14ac:dyDescent="0.35">
      <c r="A697">
        <v>0</v>
      </c>
      <c r="B697">
        <v>0</v>
      </c>
      <c r="C697">
        <v>0</v>
      </c>
    </row>
    <row r="698" spans="1:3" x14ac:dyDescent="0.35">
      <c r="A698">
        <v>0</v>
      </c>
      <c r="B698">
        <v>0</v>
      </c>
      <c r="C698">
        <v>0</v>
      </c>
    </row>
    <row r="699" spans="1:3" x14ac:dyDescent="0.35">
      <c r="A699">
        <v>0</v>
      </c>
      <c r="B699">
        <v>0</v>
      </c>
      <c r="C699">
        <v>0</v>
      </c>
    </row>
    <row r="700" spans="1:3" x14ac:dyDescent="0.35">
      <c r="A700">
        <v>0</v>
      </c>
      <c r="B700">
        <v>0</v>
      </c>
      <c r="C700">
        <v>0</v>
      </c>
    </row>
    <row r="701" spans="1:3" x14ac:dyDescent="0.35">
      <c r="A701">
        <v>0</v>
      </c>
      <c r="B701">
        <v>0</v>
      </c>
      <c r="C701">
        <v>0</v>
      </c>
    </row>
    <row r="702" spans="1:3" x14ac:dyDescent="0.35">
      <c r="A702">
        <v>0</v>
      </c>
      <c r="B702">
        <v>0</v>
      </c>
      <c r="C702">
        <v>0</v>
      </c>
    </row>
    <row r="703" spans="1:3" x14ac:dyDescent="0.35">
      <c r="A703">
        <v>0</v>
      </c>
      <c r="B703">
        <v>0</v>
      </c>
      <c r="C703">
        <v>0</v>
      </c>
    </row>
    <row r="704" spans="1:3" x14ac:dyDescent="0.35">
      <c r="A704">
        <v>0</v>
      </c>
      <c r="B704">
        <v>0</v>
      </c>
      <c r="C704">
        <v>0</v>
      </c>
    </row>
    <row r="705" spans="1:3" x14ac:dyDescent="0.35">
      <c r="A705">
        <v>0</v>
      </c>
      <c r="B705">
        <v>0</v>
      </c>
      <c r="C705">
        <v>0</v>
      </c>
    </row>
    <row r="706" spans="1:3" x14ac:dyDescent="0.35">
      <c r="A706">
        <v>0</v>
      </c>
      <c r="B706">
        <v>0</v>
      </c>
      <c r="C706">
        <v>0</v>
      </c>
    </row>
    <row r="707" spans="1:3" x14ac:dyDescent="0.35">
      <c r="A707">
        <v>0</v>
      </c>
      <c r="B707">
        <v>0</v>
      </c>
      <c r="C707">
        <v>0</v>
      </c>
    </row>
    <row r="708" spans="1:3" x14ac:dyDescent="0.35">
      <c r="A708">
        <v>0</v>
      </c>
      <c r="B708">
        <v>0</v>
      </c>
      <c r="C708">
        <v>0</v>
      </c>
    </row>
    <row r="709" spans="1:3" x14ac:dyDescent="0.35">
      <c r="A709">
        <v>0</v>
      </c>
      <c r="B709">
        <v>0</v>
      </c>
      <c r="C709">
        <v>0</v>
      </c>
    </row>
    <row r="710" spans="1:3" x14ac:dyDescent="0.35">
      <c r="A710">
        <v>0</v>
      </c>
      <c r="B710">
        <v>0</v>
      </c>
      <c r="C710">
        <v>0</v>
      </c>
    </row>
    <row r="711" spans="1:3" x14ac:dyDescent="0.35">
      <c r="A711">
        <v>0</v>
      </c>
      <c r="B711">
        <v>0</v>
      </c>
      <c r="C711">
        <v>0</v>
      </c>
    </row>
    <row r="712" spans="1:3" x14ac:dyDescent="0.35">
      <c r="A712">
        <v>0</v>
      </c>
      <c r="B712">
        <v>0</v>
      </c>
      <c r="C712">
        <v>0</v>
      </c>
    </row>
    <row r="713" spans="1:3" x14ac:dyDescent="0.35">
      <c r="A713">
        <v>0</v>
      </c>
      <c r="B713">
        <v>0</v>
      </c>
      <c r="C713">
        <v>0</v>
      </c>
    </row>
    <row r="714" spans="1:3" x14ac:dyDescent="0.35">
      <c r="A714">
        <v>0</v>
      </c>
      <c r="B714">
        <v>0</v>
      </c>
      <c r="C714">
        <v>0</v>
      </c>
    </row>
    <row r="715" spans="1:3" x14ac:dyDescent="0.35">
      <c r="A715">
        <v>0</v>
      </c>
      <c r="B715">
        <v>0</v>
      </c>
      <c r="C715">
        <v>0</v>
      </c>
    </row>
    <row r="716" spans="1:3" x14ac:dyDescent="0.35">
      <c r="A716">
        <v>0</v>
      </c>
      <c r="B716">
        <v>0</v>
      </c>
      <c r="C716">
        <v>0</v>
      </c>
    </row>
    <row r="717" spans="1:3" x14ac:dyDescent="0.35">
      <c r="A717">
        <v>0</v>
      </c>
      <c r="B717">
        <v>0</v>
      </c>
      <c r="C717">
        <v>0</v>
      </c>
    </row>
    <row r="718" spans="1:3" x14ac:dyDescent="0.35">
      <c r="A718">
        <v>0</v>
      </c>
      <c r="B718">
        <v>0</v>
      </c>
      <c r="C718">
        <v>0</v>
      </c>
    </row>
    <row r="719" spans="1:3" x14ac:dyDescent="0.35">
      <c r="A719">
        <v>0</v>
      </c>
      <c r="B719">
        <v>0</v>
      </c>
      <c r="C719">
        <v>0</v>
      </c>
    </row>
    <row r="720" spans="1:3" x14ac:dyDescent="0.35">
      <c r="A720">
        <v>0</v>
      </c>
      <c r="B720">
        <v>0</v>
      </c>
      <c r="C720">
        <v>0</v>
      </c>
    </row>
    <row r="721" spans="1:3" x14ac:dyDescent="0.35">
      <c r="A721">
        <v>0</v>
      </c>
      <c r="B721">
        <v>0</v>
      </c>
      <c r="C721">
        <v>0</v>
      </c>
    </row>
    <row r="722" spans="1:3" x14ac:dyDescent="0.35">
      <c r="A722">
        <v>0</v>
      </c>
      <c r="B722">
        <v>0</v>
      </c>
      <c r="C722">
        <v>0</v>
      </c>
    </row>
    <row r="723" spans="1:3" x14ac:dyDescent="0.35">
      <c r="A723">
        <v>0</v>
      </c>
      <c r="B723">
        <v>0</v>
      </c>
      <c r="C723">
        <v>0</v>
      </c>
    </row>
    <row r="724" spans="1:3" x14ac:dyDescent="0.35">
      <c r="A724">
        <v>0</v>
      </c>
      <c r="B724">
        <v>0</v>
      </c>
      <c r="C724">
        <v>0</v>
      </c>
    </row>
    <row r="725" spans="1:3" x14ac:dyDescent="0.35">
      <c r="A725">
        <v>0</v>
      </c>
      <c r="B725">
        <v>0</v>
      </c>
      <c r="C725">
        <v>0</v>
      </c>
    </row>
    <row r="726" spans="1:3" x14ac:dyDescent="0.35">
      <c r="A726">
        <v>0</v>
      </c>
      <c r="B726">
        <v>0</v>
      </c>
      <c r="C726">
        <v>0</v>
      </c>
    </row>
    <row r="727" spans="1:3" x14ac:dyDescent="0.35">
      <c r="A727">
        <v>0</v>
      </c>
      <c r="B727">
        <v>0</v>
      </c>
      <c r="C727">
        <v>0</v>
      </c>
    </row>
    <row r="728" spans="1:3" x14ac:dyDescent="0.35">
      <c r="A728">
        <v>0</v>
      </c>
      <c r="B728">
        <v>0</v>
      </c>
      <c r="C728">
        <v>0</v>
      </c>
    </row>
    <row r="729" spans="1:3" x14ac:dyDescent="0.35">
      <c r="A729">
        <v>0</v>
      </c>
      <c r="B729">
        <v>0</v>
      </c>
      <c r="C729">
        <v>0</v>
      </c>
    </row>
    <row r="730" spans="1:3" x14ac:dyDescent="0.35">
      <c r="A730">
        <v>0</v>
      </c>
      <c r="B730">
        <v>0</v>
      </c>
      <c r="C730">
        <v>0</v>
      </c>
    </row>
    <row r="731" spans="1:3" x14ac:dyDescent="0.35">
      <c r="A731">
        <v>0</v>
      </c>
      <c r="B731">
        <v>0</v>
      </c>
      <c r="C731">
        <v>0</v>
      </c>
    </row>
    <row r="732" spans="1:3" x14ac:dyDescent="0.35">
      <c r="A732">
        <v>0</v>
      </c>
      <c r="B732">
        <v>0</v>
      </c>
      <c r="C732">
        <v>0</v>
      </c>
    </row>
    <row r="733" spans="1:3" x14ac:dyDescent="0.35">
      <c r="A733">
        <v>0</v>
      </c>
      <c r="B733">
        <v>0</v>
      </c>
      <c r="C733">
        <v>0</v>
      </c>
    </row>
    <row r="734" spans="1:3" x14ac:dyDescent="0.35">
      <c r="A734">
        <v>0</v>
      </c>
      <c r="B734">
        <v>0</v>
      </c>
      <c r="C734">
        <v>1</v>
      </c>
    </row>
    <row r="735" spans="1:3" x14ac:dyDescent="0.35">
      <c r="A735">
        <v>0</v>
      </c>
      <c r="B735">
        <v>0</v>
      </c>
      <c r="C735">
        <v>1</v>
      </c>
    </row>
    <row r="736" spans="1:3" x14ac:dyDescent="0.35">
      <c r="A736">
        <v>0</v>
      </c>
      <c r="B736">
        <v>0</v>
      </c>
      <c r="C736">
        <v>1</v>
      </c>
    </row>
    <row r="737" spans="1:3" x14ac:dyDescent="0.35">
      <c r="A737">
        <v>0</v>
      </c>
      <c r="B737">
        <v>0</v>
      </c>
      <c r="C737">
        <v>1</v>
      </c>
    </row>
    <row r="738" spans="1:3" x14ac:dyDescent="0.35">
      <c r="A738">
        <v>0</v>
      </c>
      <c r="B738">
        <v>0</v>
      </c>
      <c r="C738">
        <v>1</v>
      </c>
    </row>
    <row r="739" spans="1:3" x14ac:dyDescent="0.35">
      <c r="A739">
        <v>0</v>
      </c>
      <c r="B739">
        <v>0</v>
      </c>
      <c r="C739">
        <v>1</v>
      </c>
    </row>
    <row r="740" spans="1:3" x14ac:dyDescent="0.35">
      <c r="A740">
        <v>0</v>
      </c>
      <c r="B740">
        <v>0</v>
      </c>
      <c r="C740">
        <v>1</v>
      </c>
    </row>
    <row r="741" spans="1:3" x14ac:dyDescent="0.35">
      <c r="A741">
        <v>0</v>
      </c>
      <c r="B741">
        <v>0</v>
      </c>
      <c r="C741">
        <v>1</v>
      </c>
    </row>
    <row r="742" spans="1:3" x14ac:dyDescent="0.35">
      <c r="A742">
        <v>0</v>
      </c>
      <c r="B742">
        <v>0</v>
      </c>
      <c r="C742">
        <v>1</v>
      </c>
    </row>
    <row r="743" spans="1:3" x14ac:dyDescent="0.35">
      <c r="A743">
        <v>0</v>
      </c>
      <c r="B743">
        <v>1</v>
      </c>
      <c r="C743">
        <v>1</v>
      </c>
    </row>
    <row r="744" spans="1:3" x14ac:dyDescent="0.35">
      <c r="A744">
        <v>0</v>
      </c>
      <c r="B744">
        <v>1</v>
      </c>
      <c r="C744">
        <v>1</v>
      </c>
    </row>
    <row r="745" spans="1:3" x14ac:dyDescent="0.35">
      <c r="A745">
        <v>1</v>
      </c>
      <c r="B745">
        <v>1</v>
      </c>
      <c r="C745">
        <v>1</v>
      </c>
    </row>
    <row r="746" spans="1:3" x14ac:dyDescent="0.35">
      <c r="A746">
        <v>1</v>
      </c>
      <c r="B746">
        <v>1</v>
      </c>
      <c r="C746">
        <v>1</v>
      </c>
    </row>
    <row r="747" spans="1:3" x14ac:dyDescent="0.35">
      <c r="A747">
        <v>1</v>
      </c>
      <c r="B747">
        <v>1</v>
      </c>
      <c r="C747">
        <v>1</v>
      </c>
    </row>
    <row r="748" spans="1:3" x14ac:dyDescent="0.35">
      <c r="A748">
        <v>1</v>
      </c>
      <c r="B748">
        <v>0</v>
      </c>
      <c r="C748">
        <v>1</v>
      </c>
    </row>
    <row r="749" spans="1:3" x14ac:dyDescent="0.35">
      <c r="A749">
        <v>1</v>
      </c>
      <c r="B749">
        <v>0</v>
      </c>
      <c r="C749">
        <v>1</v>
      </c>
    </row>
    <row r="750" spans="1:3" x14ac:dyDescent="0.35">
      <c r="A750">
        <v>0</v>
      </c>
      <c r="B750">
        <v>0</v>
      </c>
      <c r="C750">
        <v>1</v>
      </c>
    </row>
    <row r="751" spans="1:3" x14ac:dyDescent="0.35">
      <c r="A751">
        <v>0</v>
      </c>
      <c r="B751">
        <v>0</v>
      </c>
      <c r="C751">
        <v>1</v>
      </c>
    </row>
    <row r="752" spans="1:3" x14ac:dyDescent="0.35">
      <c r="A752">
        <v>0</v>
      </c>
      <c r="B752">
        <v>0</v>
      </c>
      <c r="C752">
        <v>0</v>
      </c>
    </row>
    <row r="753" spans="1:3" x14ac:dyDescent="0.35">
      <c r="A753">
        <v>0</v>
      </c>
      <c r="B753">
        <v>0</v>
      </c>
      <c r="C753">
        <v>0</v>
      </c>
    </row>
    <row r="754" spans="1:3" x14ac:dyDescent="0.35">
      <c r="A754">
        <v>0</v>
      </c>
      <c r="B754">
        <v>0</v>
      </c>
      <c r="C754">
        <v>0</v>
      </c>
    </row>
    <row r="755" spans="1:3" x14ac:dyDescent="0.35">
      <c r="A755">
        <v>0</v>
      </c>
      <c r="B755">
        <v>0</v>
      </c>
      <c r="C755">
        <v>0</v>
      </c>
    </row>
    <row r="756" spans="1:3" x14ac:dyDescent="0.35">
      <c r="A756">
        <v>0</v>
      </c>
      <c r="B756">
        <v>0</v>
      </c>
      <c r="C756">
        <v>0</v>
      </c>
    </row>
    <row r="757" spans="1:3" x14ac:dyDescent="0.35">
      <c r="A757">
        <v>0</v>
      </c>
      <c r="B757">
        <v>0</v>
      </c>
      <c r="C757">
        <v>0</v>
      </c>
    </row>
    <row r="758" spans="1:3" x14ac:dyDescent="0.35">
      <c r="A758">
        <v>0</v>
      </c>
      <c r="B758">
        <v>0</v>
      </c>
      <c r="C758">
        <v>0</v>
      </c>
    </row>
    <row r="759" spans="1:3" x14ac:dyDescent="0.35">
      <c r="A759">
        <v>0</v>
      </c>
      <c r="B759">
        <v>0</v>
      </c>
      <c r="C759">
        <v>0</v>
      </c>
    </row>
    <row r="760" spans="1:3" x14ac:dyDescent="0.35">
      <c r="A760">
        <v>0</v>
      </c>
      <c r="B760">
        <v>0</v>
      </c>
      <c r="C760">
        <v>0</v>
      </c>
    </row>
    <row r="761" spans="1:3" x14ac:dyDescent="0.35">
      <c r="A761">
        <v>0</v>
      </c>
      <c r="B761">
        <v>0</v>
      </c>
      <c r="C761">
        <v>0</v>
      </c>
    </row>
    <row r="762" spans="1:3" x14ac:dyDescent="0.35">
      <c r="A762">
        <v>0</v>
      </c>
      <c r="B762">
        <v>0</v>
      </c>
      <c r="C762">
        <v>0</v>
      </c>
    </row>
    <row r="763" spans="1:3" x14ac:dyDescent="0.35">
      <c r="A763">
        <v>0</v>
      </c>
      <c r="B763">
        <v>0</v>
      </c>
      <c r="C763">
        <v>0</v>
      </c>
    </row>
    <row r="764" spans="1:3" x14ac:dyDescent="0.35">
      <c r="A764">
        <v>0</v>
      </c>
      <c r="B764">
        <v>0</v>
      </c>
      <c r="C764">
        <v>0</v>
      </c>
    </row>
    <row r="765" spans="1:3" x14ac:dyDescent="0.35">
      <c r="A765">
        <v>0</v>
      </c>
      <c r="B765">
        <v>0</v>
      </c>
      <c r="C765">
        <v>0</v>
      </c>
    </row>
    <row r="766" spans="1:3" x14ac:dyDescent="0.35">
      <c r="A766">
        <v>0</v>
      </c>
      <c r="B766">
        <v>0</v>
      </c>
      <c r="C766">
        <v>0</v>
      </c>
    </row>
    <row r="767" spans="1:3" x14ac:dyDescent="0.35">
      <c r="A767">
        <v>0</v>
      </c>
      <c r="B767">
        <v>0</v>
      </c>
      <c r="C767">
        <v>0</v>
      </c>
    </row>
    <row r="768" spans="1:3" x14ac:dyDescent="0.35">
      <c r="A768">
        <v>0</v>
      </c>
      <c r="B768">
        <v>0</v>
      </c>
      <c r="C768">
        <v>0</v>
      </c>
    </row>
    <row r="769" spans="1:3" x14ac:dyDescent="0.35">
      <c r="A769">
        <v>0</v>
      </c>
      <c r="B769">
        <v>0</v>
      </c>
      <c r="C769">
        <v>0</v>
      </c>
    </row>
    <row r="770" spans="1:3" x14ac:dyDescent="0.35">
      <c r="A770">
        <v>0</v>
      </c>
      <c r="B770">
        <v>0</v>
      </c>
      <c r="C770">
        <v>0</v>
      </c>
    </row>
    <row r="771" spans="1:3" x14ac:dyDescent="0.35">
      <c r="A771">
        <v>0</v>
      </c>
      <c r="B771">
        <v>0</v>
      </c>
      <c r="C771">
        <v>0</v>
      </c>
    </row>
    <row r="772" spans="1:3" x14ac:dyDescent="0.35">
      <c r="A772">
        <v>0</v>
      </c>
      <c r="B772">
        <v>0</v>
      </c>
      <c r="C772">
        <v>0</v>
      </c>
    </row>
    <row r="773" spans="1:3" x14ac:dyDescent="0.35">
      <c r="A773">
        <v>0</v>
      </c>
      <c r="B773">
        <v>0</v>
      </c>
      <c r="C773">
        <v>0</v>
      </c>
    </row>
    <row r="774" spans="1:3" x14ac:dyDescent="0.35">
      <c r="A774">
        <v>0</v>
      </c>
      <c r="B774">
        <v>0</v>
      </c>
      <c r="C774">
        <v>0</v>
      </c>
    </row>
    <row r="775" spans="1:3" x14ac:dyDescent="0.35">
      <c r="A775">
        <v>0</v>
      </c>
      <c r="B775">
        <v>0</v>
      </c>
      <c r="C775">
        <v>0</v>
      </c>
    </row>
    <row r="776" spans="1:3" x14ac:dyDescent="0.35">
      <c r="A776">
        <v>0</v>
      </c>
      <c r="B776">
        <v>0</v>
      </c>
      <c r="C776">
        <v>0</v>
      </c>
    </row>
    <row r="777" spans="1:3" x14ac:dyDescent="0.35">
      <c r="A777">
        <v>0</v>
      </c>
      <c r="B777">
        <v>0</v>
      </c>
      <c r="C777">
        <v>0</v>
      </c>
    </row>
    <row r="778" spans="1:3" x14ac:dyDescent="0.35">
      <c r="A778">
        <v>0</v>
      </c>
      <c r="B778">
        <v>0</v>
      </c>
      <c r="C778">
        <v>0</v>
      </c>
    </row>
    <row r="779" spans="1:3" x14ac:dyDescent="0.35">
      <c r="A779">
        <v>0</v>
      </c>
      <c r="B779">
        <v>0</v>
      </c>
      <c r="C779">
        <v>0</v>
      </c>
    </row>
    <row r="780" spans="1:3" x14ac:dyDescent="0.35">
      <c r="A780">
        <v>0</v>
      </c>
      <c r="B780">
        <v>0</v>
      </c>
      <c r="C780">
        <v>0</v>
      </c>
    </row>
    <row r="781" spans="1:3" x14ac:dyDescent="0.35">
      <c r="A781">
        <v>0</v>
      </c>
      <c r="B781">
        <v>0</v>
      </c>
      <c r="C781">
        <v>0</v>
      </c>
    </row>
    <row r="782" spans="1:3" x14ac:dyDescent="0.35">
      <c r="A782">
        <v>0</v>
      </c>
      <c r="B782">
        <v>0</v>
      </c>
      <c r="C782">
        <v>0</v>
      </c>
    </row>
    <row r="783" spans="1:3" x14ac:dyDescent="0.35">
      <c r="A783">
        <v>0</v>
      </c>
      <c r="B783">
        <v>0</v>
      </c>
      <c r="C783">
        <v>0</v>
      </c>
    </row>
    <row r="784" spans="1:3" x14ac:dyDescent="0.35">
      <c r="A784">
        <v>0</v>
      </c>
      <c r="B784">
        <v>0</v>
      </c>
      <c r="C784">
        <v>0</v>
      </c>
    </row>
    <row r="785" spans="1:3" x14ac:dyDescent="0.35">
      <c r="A785">
        <v>0</v>
      </c>
      <c r="B785">
        <v>0</v>
      </c>
      <c r="C785">
        <v>0</v>
      </c>
    </row>
    <row r="786" spans="1:3" x14ac:dyDescent="0.35">
      <c r="A786">
        <v>0</v>
      </c>
      <c r="B786">
        <v>0</v>
      </c>
      <c r="C786">
        <v>0</v>
      </c>
    </row>
    <row r="787" spans="1:3" x14ac:dyDescent="0.35">
      <c r="A787">
        <v>0</v>
      </c>
      <c r="B787">
        <v>0</v>
      </c>
      <c r="C787">
        <v>0</v>
      </c>
    </row>
    <row r="788" spans="1:3" x14ac:dyDescent="0.35">
      <c r="A788">
        <v>0</v>
      </c>
      <c r="B788">
        <v>0</v>
      </c>
      <c r="C788">
        <v>0</v>
      </c>
    </row>
    <row r="789" spans="1:3" x14ac:dyDescent="0.35">
      <c r="A789">
        <v>0</v>
      </c>
      <c r="B789">
        <v>0</v>
      </c>
      <c r="C789">
        <v>0</v>
      </c>
    </row>
    <row r="790" spans="1:3" x14ac:dyDescent="0.35">
      <c r="A790">
        <v>0</v>
      </c>
      <c r="B790">
        <v>0</v>
      </c>
      <c r="C790">
        <v>0</v>
      </c>
    </row>
    <row r="791" spans="1:3" x14ac:dyDescent="0.35">
      <c r="A791">
        <v>0</v>
      </c>
      <c r="B791">
        <v>0</v>
      </c>
      <c r="C791">
        <v>0</v>
      </c>
    </row>
    <row r="792" spans="1:3" x14ac:dyDescent="0.35">
      <c r="A792">
        <v>0</v>
      </c>
      <c r="B792">
        <v>0</v>
      </c>
      <c r="C792">
        <v>0</v>
      </c>
    </row>
    <row r="793" spans="1:3" x14ac:dyDescent="0.35">
      <c r="A793">
        <v>0</v>
      </c>
      <c r="B793">
        <v>0</v>
      </c>
      <c r="C793">
        <v>0</v>
      </c>
    </row>
    <row r="794" spans="1:3" x14ac:dyDescent="0.35">
      <c r="A794">
        <v>0</v>
      </c>
      <c r="B794">
        <v>0</v>
      </c>
      <c r="C794">
        <v>0</v>
      </c>
    </row>
    <row r="795" spans="1:3" x14ac:dyDescent="0.35">
      <c r="A795">
        <v>0</v>
      </c>
      <c r="B795">
        <v>0</v>
      </c>
      <c r="C795">
        <v>0</v>
      </c>
    </row>
    <row r="796" spans="1:3" x14ac:dyDescent="0.35">
      <c r="A796">
        <v>0</v>
      </c>
      <c r="B796">
        <v>0</v>
      </c>
      <c r="C796">
        <v>0</v>
      </c>
    </row>
    <row r="797" spans="1:3" x14ac:dyDescent="0.35">
      <c r="A797">
        <v>0</v>
      </c>
      <c r="B797">
        <v>0</v>
      </c>
      <c r="C797">
        <v>0</v>
      </c>
    </row>
    <row r="798" spans="1:3" x14ac:dyDescent="0.35">
      <c r="A798">
        <v>0</v>
      </c>
      <c r="B798">
        <v>0</v>
      </c>
      <c r="C798">
        <v>0</v>
      </c>
    </row>
    <row r="799" spans="1:3" x14ac:dyDescent="0.35">
      <c r="A799">
        <v>0</v>
      </c>
      <c r="B799">
        <v>0</v>
      </c>
      <c r="C799">
        <v>0</v>
      </c>
    </row>
    <row r="800" spans="1:3" x14ac:dyDescent="0.35">
      <c r="A800">
        <v>0</v>
      </c>
      <c r="B800">
        <v>0</v>
      </c>
      <c r="C800">
        <v>0</v>
      </c>
    </row>
    <row r="801" spans="1:3" x14ac:dyDescent="0.35">
      <c r="A801">
        <v>0</v>
      </c>
      <c r="B801">
        <v>0</v>
      </c>
      <c r="C801">
        <v>0</v>
      </c>
    </row>
    <row r="802" spans="1:3" x14ac:dyDescent="0.35">
      <c r="A802">
        <v>0</v>
      </c>
      <c r="B802">
        <v>0</v>
      </c>
      <c r="C802">
        <v>0</v>
      </c>
    </row>
    <row r="803" spans="1:3" x14ac:dyDescent="0.35">
      <c r="A803">
        <v>0</v>
      </c>
      <c r="B803">
        <v>0</v>
      </c>
      <c r="C803">
        <v>0</v>
      </c>
    </row>
    <row r="804" spans="1:3" x14ac:dyDescent="0.35">
      <c r="A804">
        <v>0</v>
      </c>
      <c r="B804">
        <v>0</v>
      </c>
      <c r="C804">
        <v>0</v>
      </c>
    </row>
    <row r="805" spans="1:3" x14ac:dyDescent="0.35">
      <c r="A805">
        <v>0</v>
      </c>
      <c r="B805">
        <v>0</v>
      </c>
      <c r="C805">
        <v>0</v>
      </c>
    </row>
    <row r="806" spans="1:3" x14ac:dyDescent="0.35">
      <c r="A806">
        <v>0</v>
      </c>
      <c r="B806">
        <v>0</v>
      </c>
      <c r="C806">
        <v>0</v>
      </c>
    </row>
    <row r="807" spans="1:3" x14ac:dyDescent="0.35">
      <c r="A807">
        <v>0</v>
      </c>
      <c r="B807">
        <v>0</v>
      </c>
      <c r="C807">
        <v>0</v>
      </c>
    </row>
    <row r="808" spans="1:3" x14ac:dyDescent="0.35">
      <c r="A808">
        <v>0</v>
      </c>
      <c r="B808">
        <v>0</v>
      </c>
      <c r="C808">
        <v>0</v>
      </c>
    </row>
    <row r="809" spans="1:3" x14ac:dyDescent="0.35">
      <c r="A809">
        <v>0</v>
      </c>
      <c r="B809">
        <v>0</v>
      </c>
      <c r="C809">
        <v>0</v>
      </c>
    </row>
    <row r="810" spans="1:3" x14ac:dyDescent="0.35">
      <c r="A810">
        <v>0</v>
      </c>
      <c r="B810">
        <v>0</v>
      </c>
      <c r="C810">
        <v>0</v>
      </c>
    </row>
    <row r="811" spans="1:3" x14ac:dyDescent="0.35">
      <c r="A811">
        <v>0</v>
      </c>
      <c r="B811">
        <v>0</v>
      </c>
      <c r="C811">
        <v>0</v>
      </c>
    </row>
    <row r="812" spans="1:3" x14ac:dyDescent="0.35">
      <c r="A812">
        <v>0</v>
      </c>
      <c r="B812">
        <v>0</v>
      </c>
      <c r="C812">
        <v>0</v>
      </c>
    </row>
    <row r="813" spans="1:3" x14ac:dyDescent="0.35">
      <c r="A813">
        <v>0</v>
      </c>
      <c r="B813">
        <v>0</v>
      </c>
      <c r="C813">
        <v>0</v>
      </c>
    </row>
    <row r="814" spans="1:3" x14ac:dyDescent="0.35">
      <c r="A814">
        <v>0</v>
      </c>
      <c r="B814">
        <v>0</v>
      </c>
      <c r="C814">
        <v>0</v>
      </c>
    </row>
    <row r="815" spans="1:3" x14ac:dyDescent="0.35">
      <c r="A815">
        <v>0</v>
      </c>
      <c r="B815">
        <v>0</v>
      </c>
      <c r="C815">
        <v>0</v>
      </c>
    </row>
    <row r="816" spans="1:3" x14ac:dyDescent="0.35">
      <c r="A816">
        <v>0</v>
      </c>
      <c r="B816">
        <v>0</v>
      </c>
      <c r="C816">
        <v>0</v>
      </c>
    </row>
    <row r="817" spans="1:3" x14ac:dyDescent="0.35">
      <c r="A817">
        <v>0</v>
      </c>
      <c r="B817">
        <v>0</v>
      </c>
      <c r="C817">
        <v>0</v>
      </c>
    </row>
    <row r="818" spans="1:3" x14ac:dyDescent="0.35">
      <c r="A818">
        <v>0</v>
      </c>
      <c r="B818">
        <v>1</v>
      </c>
      <c r="C818">
        <v>0</v>
      </c>
    </row>
    <row r="819" spans="1:3" x14ac:dyDescent="0.35">
      <c r="A819">
        <v>0</v>
      </c>
      <c r="B819">
        <v>1</v>
      </c>
      <c r="C819">
        <v>0</v>
      </c>
    </row>
    <row r="820" spans="1:3" x14ac:dyDescent="0.35">
      <c r="A820">
        <v>1</v>
      </c>
      <c r="B820">
        <v>1</v>
      </c>
      <c r="C820">
        <v>0</v>
      </c>
    </row>
    <row r="821" spans="1:3" x14ac:dyDescent="0.35">
      <c r="A821">
        <v>1</v>
      </c>
      <c r="B821">
        <v>0</v>
      </c>
      <c r="C821">
        <v>0</v>
      </c>
    </row>
    <row r="822" spans="1:3" x14ac:dyDescent="0.35">
      <c r="A822">
        <v>1</v>
      </c>
      <c r="B822">
        <v>0</v>
      </c>
      <c r="C822">
        <v>0</v>
      </c>
    </row>
    <row r="823" spans="1:3" x14ac:dyDescent="0.35">
      <c r="A823">
        <v>0</v>
      </c>
      <c r="B823">
        <v>0</v>
      </c>
      <c r="C823">
        <v>0</v>
      </c>
    </row>
    <row r="824" spans="1:3" x14ac:dyDescent="0.35">
      <c r="A824">
        <v>0</v>
      </c>
      <c r="B824">
        <v>0</v>
      </c>
      <c r="C824">
        <v>0</v>
      </c>
    </row>
    <row r="825" spans="1:3" x14ac:dyDescent="0.35">
      <c r="A825">
        <v>0</v>
      </c>
      <c r="B825">
        <v>0</v>
      </c>
      <c r="C825">
        <v>0</v>
      </c>
    </row>
    <row r="826" spans="1:3" x14ac:dyDescent="0.35">
      <c r="A826">
        <v>0</v>
      </c>
      <c r="B826">
        <v>1</v>
      </c>
      <c r="C826">
        <v>0</v>
      </c>
    </row>
    <row r="827" spans="1:3" x14ac:dyDescent="0.35">
      <c r="A827">
        <v>0</v>
      </c>
      <c r="B827">
        <v>1</v>
      </c>
      <c r="C827">
        <v>0</v>
      </c>
    </row>
    <row r="828" spans="1:3" x14ac:dyDescent="0.35">
      <c r="A828">
        <v>0</v>
      </c>
      <c r="B828">
        <v>1</v>
      </c>
      <c r="C828">
        <v>0</v>
      </c>
    </row>
    <row r="829" spans="1:3" x14ac:dyDescent="0.35">
      <c r="A829">
        <v>0</v>
      </c>
      <c r="B829">
        <v>0</v>
      </c>
      <c r="C829">
        <v>0</v>
      </c>
    </row>
    <row r="830" spans="1:3" x14ac:dyDescent="0.35">
      <c r="A830">
        <v>0</v>
      </c>
      <c r="B830">
        <v>1</v>
      </c>
      <c r="C830">
        <v>0</v>
      </c>
    </row>
    <row r="831" spans="1:3" x14ac:dyDescent="0.35">
      <c r="A831">
        <v>0</v>
      </c>
      <c r="B831">
        <v>1</v>
      </c>
      <c r="C831">
        <v>0</v>
      </c>
    </row>
    <row r="832" spans="1:3" x14ac:dyDescent="0.35">
      <c r="A832">
        <v>0</v>
      </c>
      <c r="B832">
        <v>0</v>
      </c>
      <c r="C832">
        <v>0</v>
      </c>
    </row>
    <row r="833" spans="1:3" x14ac:dyDescent="0.35">
      <c r="A833">
        <v>0</v>
      </c>
      <c r="B833">
        <v>0</v>
      </c>
      <c r="C833">
        <v>0</v>
      </c>
    </row>
    <row r="834" spans="1:3" x14ac:dyDescent="0.35">
      <c r="A834">
        <v>0</v>
      </c>
      <c r="B834">
        <v>0</v>
      </c>
      <c r="C834">
        <v>0</v>
      </c>
    </row>
    <row r="835" spans="1:3" x14ac:dyDescent="0.35">
      <c r="A835">
        <v>0</v>
      </c>
      <c r="B835">
        <v>0</v>
      </c>
      <c r="C835">
        <v>0</v>
      </c>
    </row>
    <row r="836" spans="1:3" x14ac:dyDescent="0.35">
      <c r="A836">
        <v>0</v>
      </c>
      <c r="B836">
        <v>0</v>
      </c>
      <c r="C836">
        <v>0</v>
      </c>
    </row>
    <row r="837" spans="1:3" x14ac:dyDescent="0.35">
      <c r="A837">
        <v>0</v>
      </c>
      <c r="B837">
        <v>0</v>
      </c>
      <c r="C837">
        <v>0</v>
      </c>
    </row>
    <row r="838" spans="1:3" x14ac:dyDescent="0.35">
      <c r="A838">
        <v>0</v>
      </c>
      <c r="B838">
        <v>0</v>
      </c>
      <c r="C838">
        <v>0</v>
      </c>
    </row>
    <row r="839" spans="1:3" x14ac:dyDescent="0.35">
      <c r="A839">
        <v>0</v>
      </c>
      <c r="B839">
        <v>0</v>
      </c>
      <c r="C839">
        <v>0</v>
      </c>
    </row>
    <row r="840" spans="1:3" x14ac:dyDescent="0.35">
      <c r="A840">
        <v>0</v>
      </c>
      <c r="B840">
        <v>0</v>
      </c>
      <c r="C840">
        <v>0</v>
      </c>
    </row>
    <row r="841" spans="1:3" x14ac:dyDescent="0.35">
      <c r="A841">
        <v>0</v>
      </c>
      <c r="B841">
        <v>0</v>
      </c>
      <c r="C841">
        <v>0</v>
      </c>
    </row>
    <row r="842" spans="1:3" x14ac:dyDescent="0.35">
      <c r="A842">
        <v>0</v>
      </c>
      <c r="B842">
        <v>0</v>
      </c>
      <c r="C842">
        <v>0</v>
      </c>
    </row>
    <row r="843" spans="1:3" x14ac:dyDescent="0.35">
      <c r="A843">
        <v>0</v>
      </c>
      <c r="B843">
        <v>0</v>
      </c>
      <c r="C843">
        <v>0</v>
      </c>
    </row>
    <row r="844" spans="1:3" x14ac:dyDescent="0.35">
      <c r="A844">
        <v>0</v>
      </c>
      <c r="B844">
        <v>0</v>
      </c>
      <c r="C844">
        <v>0</v>
      </c>
    </row>
    <row r="845" spans="1:3" x14ac:dyDescent="0.35">
      <c r="A845">
        <v>0</v>
      </c>
      <c r="B845">
        <v>0</v>
      </c>
      <c r="C845">
        <v>0</v>
      </c>
    </row>
    <row r="846" spans="1:3" x14ac:dyDescent="0.35">
      <c r="A846">
        <v>0</v>
      </c>
      <c r="B846">
        <v>0</v>
      </c>
      <c r="C846">
        <v>0</v>
      </c>
    </row>
    <row r="847" spans="1:3" x14ac:dyDescent="0.35">
      <c r="A847">
        <v>0</v>
      </c>
      <c r="B847">
        <v>0</v>
      </c>
      <c r="C847">
        <v>0</v>
      </c>
    </row>
    <row r="848" spans="1:3" x14ac:dyDescent="0.35">
      <c r="A848">
        <v>0</v>
      </c>
      <c r="B848">
        <v>0</v>
      </c>
      <c r="C848">
        <v>0</v>
      </c>
    </row>
    <row r="849" spans="1:3" x14ac:dyDescent="0.35">
      <c r="A849">
        <v>0</v>
      </c>
      <c r="B849">
        <v>0</v>
      </c>
      <c r="C849">
        <v>0</v>
      </c>
    </row>
    <row r="850" spans="1:3" x14ac:dyDescent="0.35">
      <c r="A850">
        <v>0</v>
      </c>
      <c r="B850">
        <v>0</v>
      </c>
      <c r="C850">
        <v>0</v>
      </c>
    </row>
    <row r="851" spans="1:3" x14ac:dyDescent="0.35">
      <c r="A851">
        <v>0</v>
      </c>
      <c r="B851">
        <v>0</v>
      </c>
      <c r="C851">
        <v>0</v>
      </c>
    </row>
    <row r="852" spans="1:3" x14ac:dyDescent="0.35">
      <c r="A852">
        <v>0</v>
      </c>
      <c r="B852">
        <v>0</v>
      </c>
      <c r="C852">
        <v>0</v>
      </c>
    </row>
    <row r="853" spans="1:3" x14ac:dyDescent="0.35">
      <c r="A853">
        <v>0</v>
      </c>
      <c r="B853">
        <v>0</v>
      </c>
      <c r="C853">
        <v>0</v>
      </c>
    </row>
    <row r="854" spans="1:3" x14ac:dyDescent="0.35">
      <c r="A854">
        <v>0</v>
      </c>
      <c r="B854">
        <v>0</v>
      </c>
      <c r="C854">
        <v>0</v>
      </c>
    </row>
    <row r="855" spans="1:3" x14ac:dyDescent="0.35">
      <c r="A855">
        <v>0</v>
      </c>
      <c r="B855">
        <v>0</v>
      </c>
      <c r="C855">
        <v>0</v>
      </c>
    </row>
    <row r="856" spans="1:3" x14ac:dyDescent="0.35">
      <c r="A856">
        <v>0</v>
      </c>
      <c r="B856">
        <v>0</v>
      </c>
      <c r="C856">
        <v>0</v>
      </c>
    </row>
    <row r="857" spans="1:3" x14ac:dyDescent="0.35">
      <c r="A857">
        <v>0</v>
      </c>
      <c r="B857">
        <v>0</v>
      </c>
      <c r="C857">
        <v>0</v>
      </c>
    </row>
    <row r="858" spans="1:3" x14ac:dyDescent="0.35">
      <c r="A858">
        <v>0</v>
      </c>
      <c r="B858">
        <v>0</v>
      </c>
      <c r="C858">
        <v>0</v>
      </c>
    </row>
    <row r="859" spans="1:3" x14ac:dyDescent="0.35">
      <c r="A859">
        <v>0</v>
      </c>
      <c r="B859">
        <v>0</v>
      </c>
      <c r="C859">
        <v>0</v>
      </c>
    </row>
    <row r="860" spans="1:3" x14ac:dyDescent="0.35">
      <c r="A860">
        <v>0</v>
      </c>
      <c r="B860">
        <v>0</v>
      </c>
      <c r="C860">
        <v>0</v>
      </c>
    </row>
    <row r="861" spans="1:3" x14ac:dyDescent="0.35">
      <c r="A861">
        <v>0</v>
      </c>
      <c r="B861">
        <v>0</v>
      </c>
      <c r="C861">
        <v>0</v>
      </c>
    </row>
    <row r="862" spans="1:3" x14ac:dyDescent="0.35">
      <c r="A862">
        <v>0</v>
      </c>
      <c r="B862">
        <v>0</v>
      </c>
      <c r="C862">
        <v>0</v>
      </c>
    </row>
    <row r="863" spans="1:3" x14ac:dyDescent="0.35">
      <c r="A863">
        <v>0</v>
      </c>
      <c r="B863">
        <v>0</v>
      </c>
      <c r="C863">
        <v>0</v>
      </c>
    </row>
    <row r="864" spans="1:3" x14ac:dyDescent="0.35">
      <c r="A864">
        <v>0</v>
      </c>
      <c r="B864">
        <v>0</v>
      </c>
      <c r="C864">
        <v>0</v>
      </c>
    </row>
    <row r="865" spans="1:3" x14ac:dyDescent="0.35">
      <c r="A865">
        <v>0</v>
      </c>
      <c r="B865">
        <v>0</v>
      </c>
      <c r="C865">
        <v>0</v>
      </c>
    </row>
    <row r="866" spans="1:3" x14ac:dyDescent="0.35">
      <c r="A866">
        <v>0</v>
      </c>
      <c r="B866">
        <v>1</v>
      </c>
      <c r="C866">
        <v>0</v>
      </c>
    </row>
    <row r="867" spans="1:3" x14ac:dyDescent="0.35">
      <c r="A867">
        <v>0</v>
      </c>
      <c r="B867">
        <v>0</v>
      </c>
      <c r="C867">
        <v>0</v>
      </c>
    </row>
    <row r="868" spans="1:3" x14ac:dyDescent="0.35">
      <c r="A868">
        <v>0</v>
      </c>
      <c r="B868">
        <v>0</v>
      </c>
      <c r="C868">
        <v>0</v>
      </c>
    </row>
    <row r="869" spans="1:3" x14ac:dyDescent="0.35">
      <c r="A869">
        <v>0</v>
      </c>
      <c r="B869">
        <v>0</v>
      </c>
      <c r="C869">
        <v>0</v>
      </c>
    </row>
    <row r="870" spans="1:3" x14ac:dyDescent="0.35">
      <c r="A870">
        <v>0</v>
      </c>
      <c r="B870">
        <v>0</v>
      </c>
      <c r="C870">
        <v>0</v>
      </c>
    </row>
    <row r="871" spans="1:3" x14ac:dyDescent="0.35">
      <c r="A871">
        <v>0</v>
      </c>
      <c r="B871">
        <v>0</v>
      </c>
      <c r="C871">
        <v>0</v>
      </c>
    </row>
    <row r="872" spans="1:3" x14ac:dyDescent="0.35">
      <c r="A872">
        <v>0</v>
      </c>
      <c r="B872">
        <v>0</v>
      </c>
      <c r="C872">
        <v>0</v>
      </c>
    </row>
    <row r="873" spans="1:3" x14ac:dyDescent="0.35">
      <c r="A873">
        <v>0</v>
      </c>
      <c r="B873">
        <v>0</v>
      </c>
      <c r="C873">
        <v>0</v>
      </c>
    </row>
    <row r="874" spans="1:3" x14ac:dyDescent="0.35">
      <c r="A874">
        <v>0</v>
      </c>
      <c r="B874">
        <v>0</v>
      </c>
      <c r="C874">
        <v>0</v>
      </c>
    </row>
    <row r="875" spans="1:3" x14ac:dyDescent="0.35">
      <c r="A875">
        <v>0</v>
      </c>
      <c r="B875">
        <v>0</v>
      </c>
      <c r="C875">
        <v>0</v>
      </c>
    </row>
    <row r="876" spans="1:3" x14ac:dyDescent="0.35">
      <c r="A876">
        <v>0</v>
      </c>
      <c r="B876">
        <v>0</v>
      </c>
      <c r="C876">
        <v>0</v>
      </c>
    </row>
    <row r="877" spans="1:3" x14ac:dyDescent="0.35">
      <c r="A877">
        <v>0</v>
      </c>
      <c r="B877">
        <v>0</v>
      </c>
      <c r="C877">
        <v>0</v>
      </c>
    </row>
    <row r="878" spans="1:3" x14ac:dyDescent="0.35">
      <c r="A878">
        <v>0</v>
      </c>
      <c r="B878">
        <v>0</v>
      </c>
      <c r="C878">
        <v>0</v>
      </c>
    </row>
    <row r="879" spans="1:3" x14ac:dyDescent="0.35">
      <c r="A879">
        <v>0</v>
      </c>
      <c r="B879">
        <v>0</v>
      </c>
      <c r="C879">
        <v>0</v>
      </c>
    </row>
    <row r="880" spans="1:3" x14ac:dyDescent="0.35">
      <c r="A880">
        <v>0</v>
      </c>
      <c r="B880">
        <v>1</v>
      </c>
      <c r="C880">
        <v>1</v>
      </c>
    </row>
    <row r="881" spans="1:3" x14ac:dyDescent="0.35">
      <c r="A881">
        <v>0</v>
      </c>
      <c r="B881">
        <v>1</v>
      </c>
      <c r="C881">
        <v>1</v>
      </c>
    </row>
    <row r="882" spans="1:3" x14ac:dyDescent="0.35">
      <c r="A882">
        <v>1</v>
      </c>
      <c r="B882">
        <v>1</v>
      </c>
      <c r="C882">
        <v>0</v>
      </c>
    </row>
    <row r="883" spans="1:3" x14ac:dyDescent="0.35">
      <c r="A883">
        <v>1</v>
      </c>
      <c r="B883">
        <v>0</v>
      </c>
      <c r="C883">
        <v>0</v>
      </c>
    </row>
    <row r="884" spans="1:3" x14ac:dyDescent="0.35">
      <c r="A884">
        <v>1</v>
      </c>
      <c r="B884">
        <v>0</v>
      </c>
      <c r="C884">
        <v>0</v>
      </c>
    </row>
    <row r="885" spans="1:3" x14ac:dyDescent="0.35">
      <c r="A885">
        <v>1</v>
      </c>
      <c r="B885">
        <v>0</v>
      </c>
      <c r="C885">
        <v>0</v>
      </c>
    </row>
    <row r="886" spans="1:3" x14ac:dyDescent="0.35">
      <c r="A886">
        <v>0</v>
      </c>
      <c r="B886">
        <v>0</v>
      </c>
      <c r="C886">
        <v>0</v>
      </c>
    </row>
    <row r="887" spans="1:3" x14ac:dyDescent="0.35">
      <c r="A887">
        <v>0</v>
      </c>
      <c r="B887">
        <v>0</v>
      </c>
      <c r="C887">
        <v>0</v>
      </c>
    </row>
    <row r="888" spans="1:3" x14ac:dyDescent="0.35">
      <c r="A888">
        <v>0</v>
      </c>
      <c r="B888">
        <v>0</v>
      </c>
      <c r="C888">
        <v>0</v>
      </c>
    </row>
    <row r="889" spans="1:3" x14ac:dyDescent="0.35">
      <c r="A889">
        <v>0</v>
      </c>
      <c r="B889">
        <v>0</v>
      </c>
      <c r="C889">
        <v>0</v>
      </c>
    </row>
    <row r="890" spans="1:3" x14ac:dyDescent="0.35">
      <c r="A890">
        <v>0</v>
      </c>
      <c r="B890">
        <v>0</v>
      </c>
      <c r="C890">
        <v>0</v>
      </c>
    </row>
    <row r="891" spans="1:3" x14ac:dyDescent="0.35">
      <c r="A891">
        <v>0</v>
      </c>
      <c r="B891">
        <v>0</v>
      </c>
      <c r="C891">
        <v>0</v>
      </c>
    </row>
    <row r="892" spans="1:3" x14ac:dyDescent="0.35">
      <c r="A892">
        <v>0</v>
      </c>
      <c r="B892">
        <v>0</v>
      </c>
      <c r="C892">
        <v>0</v>
      </c>
    </row>
    <row r="893" spans="1:3" x14ac:dyDescent="0.35">
      <c r="A893">
        <v>0</v>
      </c>
      <c r="B893">
        <v>0</v>
      </c>
      <c r="C893">
        <v>0</v>
      </c>
    </row>
    <row r="894" spans="1:3" x14ac:dyDescent="0.35">
      <c r="A894">
        <v>0</v>
      </c>
      <c r="B894">
        <v>0</v>
      </c>
      <c r="C894">
        <v>0</v>
      </c>
    </row>
    <row r="895" spans="1:3" x14ac:dyDescent="0.35">
      <c r="A895">
        <v>0</v>
      </c>
      <c r="B895">
        <v>0</v>
      </c>
      <c r="C895">
        <v>0</v>
      </c>
    </row>
    <row r="896" spans="1:3" x14ac:dyDescent="0.35">
      <c r="A896">
        <v>0</v>
      </c>
      <c r="B896">
        <v>0</v>
      </c>
      <c r="C896">
        <v>0</v>
      </c>
    </row>
    <row r="897" spans="1:3" x14ac:dyDescent="0.35">
      <c r="A897">
        <v>0</v>
      </c>
      <c r="B897">
        <v>0</v>
      </c>
      <c r="C897">
        <v>0</v>
      </c>
    </row>
    <row r="898" spans="1:3" x14ac:dyDescent="0.35">
      <c r="A898">
        <v>0</v>
      </c>
      <c r="B898">
        <v>0</v>
      </c>
      <c r="C898">
        <v>0</v>
      </c>
    </row>
    <row r="899" spans="1:3" x14ac:dyDescent="0.35">
      <c r="A899">
        <v>0</v>
      </c>
      <c r="B899">
        <v>0</v>
      </c>
      <c r="C899">
        <v>0</v>
      </c>
    </row>
    <row r="900" spans="1:3" x14ac:dyDescent="0.35">
      <c r="A900">
        <v>0</v>
      </c>
      <c r="B900">
        <v>0</v>
      </c>
      <c r="C900">
        <v>0</v>
      </c>
    </row>
    <row r="901" spans="1:3" x14ac:dyDescent="0.35">
      <c r="A901">
        <v>0</v>
      </c>
      <c r="B901">
        <v>0</v>
      </c>
      <c r="C901">
        <v>0</v>
      </c>
    </row>
    <row r="902" spans="1:3" x14ac:dyDescent="0.35">
      <c r="A902">
        <v>0</v>
      </c>
      <c r="B902">
        <v>0</v>
      </c>
      <c r="C902">
        <v>0</v>
      </c>
    </row>
    <row r="903" spans="1:3" x14ac:dyDescent="0.35">
      <c r="A903">
        <v>0</v>
      </c>
      <c r="B903">
        <v>0</v>
      </c>
      <c r="C903">
        <v>0</v>
      </c>
    </row>
    <row r="904" spans="1:3" x14ac:dyDescent="0.35">
      <c r="A904">
        <v>0</v>
      </c>
      <c r="B904">
        <v>0</v>
      </c>
      <c r="C904">
        <v>0</v>
      </c>
    </row>
    <row r="905" spans="1:3" x14ac:dyDescent="0.35">
      <c r="A905">
        <v>0</v>
      </c>
      <c r="B905">
        <v>0</v>
      </c>
      <c r="C905">
        <v>0</v>
      </c>
    </row>
    <row r="906" spans="1:3" x14ac:dyDescent="0.35">
      <c r="A906">
        <v>0</v>
      </c>
      <c r="B906">
        <v>0</v>
      </c>
      <c r="C906">
        <v>0</v>
      </c>
    </row>
    <row r="907" spans="1:3" x14ac:dyDescent="0.35">
      <c r="A907">
        <v>0</v>
      </c>
      <c r="B907">
        <v>0</v>
      </c>
      <c r="C907">
        <v>0</v>
      </c>
    </row>
    <row r="908" spans="1:3" x14ac:dyDescent="0.35">
      <c r="A908">
        <v>0</v>
      </c>
      <c r="B908">
        <v>0</v>
      </c>
      <c r="C908">
        <v>0</v>
      </c>
    </row>
    <row r="909" spans="1:3" x14ac:dyDescent="0.35">
      <c r="A909">
        <v>0</v>
      </c>
      <c r="B909">
        <v>0</v>
      </c>
      <c r="C909">
        <v>0</v>
      </c>
    </row>
    <row r="910" spans="1:3" x14ac:dyDescent="0.35">
      <c r="A910">
        <v>0</v>
      </c>
      <c r="B910">
        <v>0</v>
      </c>
      <c r="C910">
        <v>0</v>
      </c>
    </row>
    <row r="911" spans="1:3" x14ac:dyDescent="0.35">
      <c r="A911">
        <v>0</v>
      </c>
      <c r="B911">
        <v>0</v>
      </c>
      <c r="C911">
        <v>0</v>
      </c>
    </row>
    <row r="912" spans="1:3" x14ac:dyDescent="0.35">
      <c r="A912">
        <v>0</v>
      </c>
      <c r="B912">
        <v>0</v>
      </c>
      <c r="C912">
        <v>0</v>
      </c>
    </row>
    <row r="913" spans="1:3" x14ac:dyDescent="0.35">
      <c r="A913">
        <v>0</v>
      </c>
      <c r="B913">
        <v>0</v>
      </c>
      <c r="C913">
        <v>0</v>
      </c>
    </row>
    <row r="914" spans="1:3" x14ac:dyDescent="0.35">
      <c r="A914">
        <v>0</v>
      </c>
      <c r="B914">
        <v>0</v>
      </c>
      <c r="C914">
        <v>0</v>
      </c>
    </row>
    <row r="915" spans="1:3" x14ac:dyDescent="0.35">
      <c r="A915">
        <v>0</v>
      </c>
      <c r="B915">
        <v>0</v>
      </c>
      <c r="C915">
        <v>0</v>
      </c>
    </row>
    <row r="916" spans="1:3" x14ac:dyDescent="0.35">
      <c r="A916">
        <v>0</v>
      </c>
      <c r="B916">
        <v>0</v>
      </c>
      <c r="C916">
        <v>0</v>
      </c>
    </row>
    <row r="917" spans="1:3" x14ac:dyDescent="0.35">
      <c r="A917">
        <v>0</v>
      </c>
      <c r="B917">
        <v>0</v>
      </c>
      <c r="C917">
        <v>0</v>
      </c>
    </row>
    <row r="918" spans="1:3" x14ac:dyDescent="0.35">
      <c r="A918">
        <v>0</v>
      </c>
      <c r="B918">
        <v>0</v>
      </c>
      <c r="C918">
        <v>0</v>
      </c>
    </row>
    <row r="919" spans="1:3" x14ac:dyDescent="0.35">
      <c r="A919">
        <v>0</v>
      </c>
      <c r="B919">
        <v>0</v>
      </c>
      <c r="C919">
        <v>0</v>
      </c>
    </row>
    <row r="920" spans="1:3" x14ac:dyDescent="0.35">
      <c r="A920">
        <v>0</v>
      </c>
      <c r="B920">
        <v>0</v>
      </c>
      <c r="C920">
        <v>0</v>
      </c>
    </row>
    <row r="921" spans="1:3" x14ac:dyDescent="0.35">
      <c r="A921">
        <v>0</v>
      </c>
      <c r="B921">
        <v>0</v>
      </c>
      <c r="C921">
        <v>0</v>
      </c>
    </row>
    <row r="922" spans="1:3" x14ac:dyDescent="0.35">
      <c r="A922">
        <v>0</v>
      </c>
      <c r="B922">
        <v>0</v>
      </c>
      <c r="C922">
        <v>0</v>
      </c>
    </row>
    <row r="923" spans="1:3" x14ac:dyDescent="0.35">
      <c r="A923">
        <v>0</v>
      </c>
      <c r="B923">
        <v>0</v>
      </c>
      <c r="C923">
        <v>0</v>
      </c>
    </row>
    <row r="924" spans="1:3" x14ac:dyDescent="0.35">
      <c r="A924">
        <v>0</v>
      </c>
      <c r="B924">
        <v>0</v>
      </c>
      <c r="C924">
        <v>0</v>
      </c>
    </row>
    <row r="925" spans="1:3" x14ac:dyDescent="0.35">
      <c r="A925">
        <v>0</v>
      </c>
      <c r="B925">
        <v>0</v>
      </c>
      <c r="C925">
        <v>0</v>
      </c>
    </row>
    <row r="926" spans="1:3" x14ac:dyDescent="0.35">
      <c r="A926">
        <v>0</v>
      </c>
      <c r="B926">
        <v>0</v>
      </c>
      <c r="C926">
        <v>0</v>
      </c>
    </row>
    <row r="927" spans="1:3" x14ac:dyDescent="0.35">
      <c r="A927">
        <v>0</v>
      </c>
      <c r="B927">
        <v>0</v>
      </c>
      <c r="C927">
        <v>0</v>
      </c>
    </row>
    <row r="928" spans="1:3" x14ac:dyDescent="0.35">
      <c r="A928">
        <v>0</v>
      </c>
      <c r="B928">
        <v>0</v>
      </c>
      <c r="C928">
        <v>0</v>
      </c>
    </row>
    <row r="929" spans="1:3" x14ac:dyDescent="0.35">
      <c r="A929">
        <v>0</v>
      </c>
      <c r="B929">
        <v>0</v>
      </c>
      <c r="C929">
        <v>0</v>
      </c>
    </row>
    <row r="930" spans="1:3" x14ac:dyDescent="0.35">
      <c r="A930">
        <v>0</v>
      </c>
      <c r="B930">
        <v>0</v>
      </c>
      <c r="C930">
        <v>0</v>
      </c>
    </row>
    <row r="931" spans="1:3" x14ac:dyDescent="0.35">
      <c r="A931">
        <v>0</v>
      </c>
      <c r="B931">
        <v>0</v>
      </c>
      <c r="C931">
        <v>0</v>
      </c>
    </row>
    <row r="932" spans="1:3" x14ac:dyDescent="0.35">
      <c r="A932">
        <v>0</v>
      </c>
      <c r="B932">
        <v>0</v>
      </c>
      <c r="C932">
        <v>0</v>
      </c>
    </row>
    <row r="933" spans="1:3" x14ac:dyDescent="0.35">
      <c r="A933">
        <v>0</v>
      </c>
      <c r="B933">
        <v>0</v>
      </c>
      <c r="C933">
        <v>0</v>
      </c>
    </row>
    <row r="934" spans="1:3" x14ac:dyDescent="0.35">
      <c r="A934">
        <v>0</v>
      </c>
      <c r="B934">
        <v>0</v>
      </c>
      <c r="C934">
        <v>0</v>
      </c>
    </row>
    <row r="935" spans="1:3" x14ac:dyDescent="0.35">
      <c r="A935">
        <v>0</v>
      </c>
      <c r="B935">
        <v>0</v>
      </c>
      <c r="C935">
        <v>0</v>
      </c>
    </row>
    <row r="936" spans="1:3" x14ac:dyDescent="0.35">
      <c r="A936">
        <v>0</v>
      </c>
      <c r="B936">
        <v>0</v>
      </c>
      <c r="C936">
        <v>0</v>
      </c>
    </row>
    <row r="937" spans="1:3" x14ac:dyDescent="0.35">
      <c r="A937">
        <v>0</v>
      </c>
      <c r="B937">
        <v>0</v>
      </c>
      <c r="C937">
        <v>0</v>
      </c>
    </row>
    <row r="938" spans="1:3" x14ac:dyDescent="0.35">
      <c r="A938">
        <v>0</v>
      </c>
      <c r="B938">
        <v>0</v>
      </c>
      <c r="C938">
        <v>0</v>
      </c>
    </row>
    <row r="939" spans="1:3" x14ac:dyDescent="0.35">
      <c r="A939">
        <v>0</v>
      </c>
      <c r="B939">
        <v>0</v>
      </c>
      <c r="C939">
        <v>0</v>
      </c>
    </row>
    <row r="940" spans="1:3" x14ac:dyDescent="0.35">
      <c r="A940">
        <v>0</v>
      </c>
      <c r="B940">
        <v>0</v>
      </c>
      <c r="C940">
        <v>0</v>
      </c>
    </row>
    <row r="941" spans="1:3" x14ac:dyDescent="0.35">
      <c r="A941">
        <v>0</v>
      </c>
      <c r="B941">
        <v>0</v>
      </c>
      <c r="C941">
        <v>0</v>
      </c>
    </row>
    <row r="942" spans="1:3" x14ac:dyDescent="0.35">
      <c r="A942">
        <v>0</v>
      </c>
      <c r="B942">
        <v>0</v>
      </c>
      <c r="C942">
        <v>0</v>
      </c>
    </row>
    <row r="943" spans="1:3" x14ac:dyDescent="0.35">
      <c r="A943">
        <v>0</v>
      </c>
      <c r="B943">
        <v>0</v>
      </c>
      <c r="C943">
        <v>0</v>
      </c>
    </row>
    <row r="944" spans="1:3" x14ac:dyDescent="0.35">
      <c r="A944">
        <v>0</v>
      </c>
      <c r="B944">
        <v>0</v>
      </c>
      <c r="C944">
        <v>0</v>
      </c>
    </row>
    <row r="945" spans="1:3" x14ac:dyDescent="0.35">
      <c r="A945">
        <v>0</v>
      </c>
      <c r="B945">
        <v>0</v>
      </c>
      <c r="C945">
        <v>0</v>
      </c>
    </row>
    <row r="946" spans="1:3" x14ac:dyDescent="0.35">
      <c r="A946">
        <v>0</v>
      </c>
      <c r="B946">
        <v>1</v>
      </c>
      <c r="C946">
        <v>0</v>
      </c>
    </row>
    <row r="947" spans="1:3" x14ac:dyDescent="0.35">
      <c r="A947">
        <v>0</v>
      </c>
      <c r="B947">
        <v>1</v>
      </c>
      <c r="C947">
        <v>0</v>
      </c>
    </row>
    <row r="948" spans="1:3" x14ac:dyDescent="0.35">
      <c r="A948">
        <v>0</v>
      </c>
      <c r="B948">
        <v>1</v>
      </c>
      <c r="C948">
        <v>0</v>
      </c>
    </row>
    <row r="949" spans="1:3" x14ac:dyDescent="0.35">
      <c r="A949">
        <v>0</v>
      </c>
      <c r="B949">
        <v>0</v>
      </c>
      <c r="C949">
        <v>0</v>
      </c>
    </row>
    <row r="950" spans="1:3" x14ac:dyDescent="0.35">
      <c r="A950">
        <v>0</v>
      </c>
      <c r="B950">
        <v>0</v>
      </c>
      <c r="C950">
        <v>0</v>
      </c>
    </row>
    <row r="951" spans="1:3" x14ac:dyDescent="0.35">
      <c r="A951">
        <v>0</v>
      </c>
      <c r="B951">
        <v>0</v>
      </c>
      <c r="C95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6</vt:i4>
      </vt:variant>
    </vt:vector>
  </HeadingPairs>
  <TitlesOfParts>
    <vt:vector size="6" baseType="lpstr">
      <vt:lpstr>Data</vt:lpstr>
      <vt:lpstr>Parametrar</vt:lpstr>
      <vt:lpstr>Rebaserat_Basår</vt:lpstr>
      <vt:lpstr>MoM</vt:lpstr>
      <vt:lpstr>Markovserien</vt:lpstr>
      <vt:lpstr>Confusion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Björn Schmidt</cp:lastModifiedBy>
  <cp:revision/>
  <cp:lastPrinted>2026-04-14T16:35:50Z</cp:lastPrinted>
  <dcterms:created xsi:type="dcterms:W3CDTF">2026-03-27T11:02:07Z</dcterms:created>
  <dcterms:modified xsi:type="dcterms:W3CDTF">2026-04-20T12:03:20Z</dcterms:modified>
  <cp:category/>
  <cp:contentStatus/>
</cp:coreProperties>
</file>